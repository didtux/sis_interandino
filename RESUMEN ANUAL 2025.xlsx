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Caja-IAB\Documents\DOC. CAJA\CAJA 2025\"/>
    </mc:Choice>
  </mc:AlternateContent>
  <xr:revisionPtr revIDLastSave="0" documentId="8_{3E3CDA69-A1BD-4798-9404-148BB9B9F817}" xr6:coauthVersionLast="47" xr6:coauthVersionMax="47" xr10:uidLastSave="{00000000-0000-0000-0000-000000000000}"/>
  <bookViews>
    <workbookView xWindow="-120" yWindow="-120" windowWidth="20730" windowHeight="11160" xr2:uid="{537F8841-D3D3-4C98-8674-FF6373B49D23}"/>
  </bookViews>
  <sheets>
    <sheet name="PENSIONES FIN DE AÑO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36" i="1" l="1"/>
  <c r="AI36" i="1"/>
  <c r="AF36" i="1"/>
  <c r="AC36" i="1"/>
  <c r="Z36" i="1"/>
  <c r="W36" i="1"/>
  <c r="S36" i="1"/>
  <c r="O36" i="1"/>
  <c r="K36" i="1"/>
  <c r="H36" i="1"/>
  <c r="E36" i="1"/>
  <c r="B36" i="1"/>
  <c r="AL37" i="1" s="1"/>
  <c r="AK28" i="1"/>
  <c r="AJ28" i="1"/>
  <c r="AG28" i="1"/>
  <c r="AD28" i="1"/>
  <c r="AA28" i="1"/>
  <c r="X28" i="1"/>
  <c r="U28" i="1"/>
  <c r="T28" i="1"/>
  <c r="Q28" i="1"/>
  <c r="P28" i="1"/>
  <c r="M28" i="1"/>
  <c r="L28" i="1"/>
  <c r="I28" i="1"/>
  <c r="F28" i="1"/>
  <c r="C28" i="1"/>
  <c r="B28" i="1"/>
  <c r="AI27" i="1"/>
  <c r="J27" i="1"/>
  <c r="N27" i="1" s="1"/>
  <c r="R27" i="1" s="1"/>
  <c r="V27" i="1" s="1"/>
  <c r="Y27" i="1" s="1"/>
  <c r="AB27" i="1" s="1"/>
  <c r="AE27" i="1" s="1"/>
  <c r="AH27" i="1" s="1"/>
  <c r="H27" i="1"/>
  <c r="K27" i="1" s="1"/>
  <c r="O27" i="1" s="1"/>
  <c r="S27" i="1" s="1"/>
  <c r="W27" i="1" s="1"/>
  <c r="Z27" i="1" s="1"/>
  <c r="AC27" i="1" s="1"/>
  <c r="AF27" i="1" s="1"/>
  <c r="G27" i="1"/>
  <c r="E27" i="1"/>
  <c r="AI26" i="1"/>
  <c r="AE26" i="1"/>
  <c r="AH26" i="1" s="1"/>
  <c r="V26" i="1"/>
  <c r="Y26" i="1" s="1"/>
  <c r="AB26" i="1" s="1"/>
  <c r="J26" i="1"/>
  <c r="N26" i="1" s="1"/>
  <c r="R26" i="1" s="1"/>
  <c r="G26" i="1"/>
  <c r="E26" i="1"/>
  <c r="H26" i="1" s="1"/>
  <c r="K26" i="1" s="1"/>
  <c r="O26" i="1" s="1"/>
  <c r="S26" i="1" s="1"/>
  <c r="W26" i="1" s="1"/>
  <c r="Z26" i="1" s="1"/>
  <c r="AC26" i="1" s="1"/>
  <c r="AF26" i="1" s="1"/>
  <c r="AI25" i="1"/>
  <c r="N25" i="1"/>
  <c r="R25" i="1" s="1"/>
  <c r="V25" i="1" s="1"/>
  <c r="Y25" i="1" s="1"/>
  <c r="AB25" i="1" s="1"/>
  <c r="AE25" i="1" s="1"/>
  <c r="AH25" i="1" s="1"/>
  <c r="K25" i="1"/>
  <c r="O25" i="1" s="1"/>
  <c r="S25" i="1" s="1"/>
  <c r="W25" i="1" s="1"/>
  <c r="Z25" i="1" s="1"/>
  <c r="AC25" i="1" s="1"/>
  <c r="AF25" i="1" s="1"/>
  <c r="H25" i="1"/>
  <c r="G25" i="1"/>
  <c r="J25" i="1" s="1"/>
  <c r="E25" i="1"/>
  <c r="AI24" i="1"/>
  <c r="AH24" i="1"/>
  <c r="Y24" i="1"/>
  <c r="AB24" i="1" s="1"/>
  <c r="AE24" i="1" s="1"/>
  <c r="N24" i="1"/>
  <c r="R24" i="1" s="1"/>
  <c r="V24" i="1" s="1"/>
  <c r="J24" i="1"/>
  <c r="G24" i="1"/>
  <c r="E24" i="1"/>
  <c r="H24" i="1" s="1"/>
  <c r="K24" i="1" s="1"/>
  <c r="O24" i="1" s="1"/>
  <c r="S24" i="1" s="1"/>
  <c r="W24" i="1" s="1"/>
  <c r="Z24" i="1" s="1"/>
  <c r="AC24" i="1" s="1"/>
  <c r="AF24" i="1" s="1"/>
  <c r="AI23" i="1"/>
  <c r="O23" i="1"/>
  <c r="S23" i="1" s="1"/>
  <c r="W23" i="1" s="1"/>
  <c r="Z23" i="1" s="1"/>
  <c r="AC23" i="1" s="1"/>
  <c r="AF23" i="1" s="1"/>
  <c r="G23" i="1"/>
  <c r="J23" i="1" s="1"/>
  <c r="N23" i="1" s="1"/>
  <c r="R23" i="1" s="1"/>
  <c r="V23" i="1" s="1"/>
  <c r="Y23" i="1" s="1"/>
  <c r="AB23" i="1" s="1"/>
  <c r="AE23" i="1" s="1"/>
  <c r="AH23" i="1" s="1"/>
  <c r="E23" i="1"/>
  <c r="H23" i="1" s="1"/>
  <c r="K23" i="1" s="1"/>
  <c r="AI22" i="1"/>
  <c r="S22" i="1"/>
  <c r="W22" i="1" s="1"/>
  <c r="Z22" i="1" s="1"/>
  <c r="AC22" i="1" s="1"/>
  <c r="AF22" i="1" s="1"/>
  <c r="R22" i="1"/>
  <c r="V22" i="1" s="1"/>
  <c r="Y22" i="1" s="1"/>
  <c r="AB22" i="1" s="1"/>
  <c r="AE22" i="1" s="1"/>
  <c r="AH22" i="1" s="1"/>
  <c r="H22" i="1"/>
  <c r="K22" i="1" s="1"/>
  <c r="O22" i="1" s="1"/>
  <c r="G22" i="1"/>
  <c r="J22" i="1" s="1"/>
  <c r="N22" i="1" s="1"/>
  <c r="E22" i="1"/>
  <c r="AI21" i="1"/>
  <c r="AC21" i="1"/>
  <c r="AF21" i="1" s="1"/>
  <c r="V21" i="1"/>
  <c r="Y21" i="1" s="1"/>
  <c r="AB21" i="1" s="1"/>
  <c r="AE21" i="1" s="1"/>
  <c r="AH21" i="1" s="1"/>
  <c r="S21" i="1"/>
  <c r="W21" i="1" s="1"/>
  <c r="Z21" i="1" s="1"/>
  <c r="J21" i="1"/>
  <c r="N21" i="1" s="1"/>
  <c r="R21" i="1" s="1"/>
  <c r="H21" i="1"/>
  <c r="K21" i="1" s="1"/>
  <c r="O21" i="1" s="1"/>
  <c r="G21" i="1"/>
  <c r="E21" i="1"/>
  <c r="AI20" i="1"/>
  <c r="K20" i="1"/>
  <c r="O20" i="1" s="1"/>
  <c r="S20" i="1" s="1"/>
  <c r="W20" i="1" s="1"/>
  <c r="Z20" i="1" s="1"/>
  <c r="AC20" i="1" s="1"/>
  <c r="AF20" i="1" s="1"/>
  <c r="J20" i="1"/>
  <c r="N20" i="1" s="1"/>
  <c r="R20" i="1" s="1"/>
  <c r="V20" i="1" s="1"/>
  <c r="Y20" i="1" s="1"/>
  <c r="AB20" i="1" s="1"/>
  <c r="AE20" i="1" s="1"/>
  <c r="AH20" i="1" s="1"/>
  <c r="G20" i="1"/>
  <c r="E20" i="1"/>
  <c r="H20" i="1" s="1"/>
  <c r="AI19" i="1"/>
  <c r="N19" i="1"/>
  <c r="R19" i="1" s="1"/>
  <c r="V19" i="1" s="1"/>
  <c r="Y19" i="1" s="1"/>
  <c r="AB19" i="1" s="1"/>
  <c r="AE19" i="1" s="1"/>
  <c r="AH19" i="1" s="1"/>
  <c r="K19" i="1"/>
  <c r="O19" i="1" s="1"/>
  <c r="S19" i="1" s="1"/>
  <c r="W19" i="1" s="1"/>
  <c r="Z19" i="1" s="1"/>
  <c r="AC19" i="1" s="1"/>
  <c r="AF19" i="1" s="1"/>
  <c r="H19" i="1"/>
  <c r="G19" i="1"/>
  <c r="J19" i="1" s="1"/>
  <c r="E19" i="1"/>
  <c r="AI18" i="1"/>
  <c r="N18" i="1"/>
  <c r="R18" i="1" s="1"/>
  <c r="V18" i="1" s="1"/>
  <c r="Y18" i="1" s="1"/>
  <c r="AB18" i="1" s="1"/>
  <c r="AE18" i="1" s="1"/>
  <c r="AH18" i="1" s="1"/>
  <c r="J18" i="1"/>
  <c r="H18" i="1"/>
  <c r="K18" i="1" s="1"/>
  <c r="O18" i="1" s="1"/>
  <c r="S18" i="1" s="1"/>
  <c r="W18" i="1" s="1"/>
  <c r="Z18" i="1" s="1"/>
  <c r="AC18" i="1" s="1"/>
  <c r="AF18" i="1" s="1"/>
  <c r="G18" i="1"/>
  <c r="E18" i="1"/>
  <c r="AI17" i="1"/>
  <c r="J17" i="1"/>
  <c r="N17" i="1" s="1"/>
  <c r="R17" i="1" s="1"/>
  <c r="V17" i="1" s="1"/>
  <c r="Y17" i="1" s="1"/>
  <c r="AB17" i="1" s="1"/>
  <c r="AE17" i="1" s="1"/>
  <c r="AH17" i="1" s="1"/>
  <c r="H17" i="1"/>
  <c r="K17" i="1" s="1"/>
  <c r="O17" i="1" s="1"/>
  <c r="S17" i="1" s="1"/>
  <c r="W17" i="1" s="1"/>
  <c r="Z17" i="1" s="1"/>
  <c r="AC17" i="1" s="1"/>
  <c r="AF17" i="1" s="1"/>
  <c r="G17" i="1"/>
  <c r="E17" i="1"/>
  <c r="AI16" i="1"/>
  <c r="R16" i="1"/>
  <c r="V16" i="1" s="1"/>
  <c r="Y16" i="1" s="1"/>
  <c r="AB16" i="1" s="1"/>
  <c r="AE16" i="1" s="1"/>
  <c r="AH16" i="1" s="1"/>
  <c r="K16" i="1"/>
  <c r="O16" i="1" s="1"/>
  <c r="S16" i="1" s="1"/>
  <c r="W16" i="1" s="1"/>
  <c r="Z16" i="1" s="1"/>
  <c r="AC16" i="1" s="1"/>
  <c r="AF16" i="1" s="1"/>
  <c r="J16" i="1"/>
  <c r="N16" i="1" s="1"/>
  <c r="H16" i="1"/>
  <c r="G16" i="1"/>
  <c r="E16" i="1"/>
  <c r="AI15" i="1"/>
  <c r="H15" i="1"/>
  <c r="K15" i="1" s="1"/>
  <c r="O15" i="1" s="1"/>
  <c r="S15" i="1" s="1"/>
  <c r="W15" i="1" s="1"/>
  <c r="Z15" i="1" s="1"/>
  <c r="AC15" i="1" s="1"/>
  <c r="AF15" i="1" s="1"/>
  <c r="E15" i="1"/>
  <c r="D15" i="1"/>
  <c r="AI14" i="1"/>
  <c r="N14" i="1"/>
  <c r="R14" i="1" s="1"/>
  <c r="V14" i="1" s="1"/>
  <c r="Y14" i="1" s="1"/>
  <c r="AB14" i="1" s="1"/>
  <c r="AE14" i="1" s="1"/>
  <c r="AH14" i="1" s="1"/>
  <c r="K14" i="1"/>
  <c r="O14" i="1" s="1"/>
  <c r="S14" i="1" s="1"/>
  <c r="W14" i="1" s="1"/>
  <c r="Z14" i="1" s="1"/>
  <c r="AC14" i="1" s="1"/>
  <c r="AF14" i="1" s="1"/>
  <c r="G14" i="1"/>
  <c r="J14" i="1" s="1"/>
  <c r="E14" i="1"/>
  <c r="H14" i="1" s="1"/>
  <c r="AI13" i="1"/>
  <c r="O13" i="1"/>
  <c r="S13" i="1" s="1"/>
  <c r="W13" i="1" s="1"/>
  <c r="Z13" i="1" s="1"/>
  <c r="AC13" i="1" s="1"/>
  <c r="AF13" i="1" s="1"/>
  <c r="N13" i="1"/>
  <c r="R13" i="1" s="1"/>
  <c r="V13" i="1" s="1"/>
  <c r="Y13" i="1" s="1"/>
  <c r="AB13" i="1" s="1"/>
  <c r="AE13" i="1" s="1"/>
  <c r="AH13" i="1" s="1"/>
  <c r="H13" i="1"/>
  <c r="K13" i="1" s="1"/>
  <c r="G13" i="1"/>
  <c r="J13" i="1" s="1"/>
  <c r="E13" i="1"/>
  <c r="AI12" i="1"/>
  <c r="R12" i="1"/>
  <c r="V12" i="1" s="1"/>
  <c r="Y12" i="1" s="1"/>
  <c r="AB12" i="1" s="1"/>
  <c r="AE12" i="1" s="1"/>
  <c r="AH12" i="1" s="1"/>
  <c r="J12" i="1"/>
  <c r="N12" i="1" s="1"/>
  <c r="G12" i="1"/>
  <c r="E12" i="1"/>
  <c r="H12" i="1" s="1"/>
  <c r="K12" i="1" s="1"/>
  <c r="O12" i="1" s="1"/>
  <c r="S12" i="1" s="1"/>
  <c r="W12" i="1" s="1"/>
  <c r="Z12" i="1" s="1"/>
  <c r="AC12" i="1" s="1"/>
  <c r="AF12" i="1" s="1"/>
  <c r="AI11" i="1"/>
  <c r="AI28" i="1" s="1"/>
  <c r="H11" i="1"/>
  <c r="G11" i="1"/>
  <c r="E11" i="1"/>
  <c r="E28" i="1" l="1"/>
  <c r="G28" i="1"/>
  <c r="J11" i="1"/>
  <c r="H28" i="1"/>
  <c r="K11" i="1"/>
  <c r="D28" i="1"/>
  <c r="G15" i="1"/>
  <c r="J15" i="1" s="1"/>
  <c r="N15" i="1" s="1"/>
  <c r="R15" i="1" s="1"/>
  <c r="V15" i="1" s="1"/>
  <c r="Y15" i="1" s="1"/>
  <c r="AB15" i="1" s="1"/>
  <c r="AE15" i="1" s="1"/>
  <c r="AH15" i="1" s="1"/>
  <c r="O11" i="1" l="1"/>
  <c r="K28" i="1"/>
  <c r="J28" i="1"/>
  <c r="N11" i="1"/>
  <c r="O28" i="1" l="1"/>
  <c r="S11" i="1"/>
  <c r="N28" i="1"/>
  <c r="R11" i="1"/>
  <c r="S28" i="1" l="1"/>
  <c r="W11" i="1"/>
  <c r="R28" i="1"/>
  <c r="V11" i="1"/>
  <c r="V28" i="1" l="1"/>
  <c r="Y11" i="1"/>
  <c r="Z11" i="1"/>
  <c r="W28" i="1"/>
  <c r="Y28" i="1" l="1"/>
  <c r="AB11" i="1"/>
  <c r="Z28" i="1"/>
  <c r="AC11" i="1"/>
  <c r="AC28" i="1" l="1"/>
  <c r="AF11" i="1"/>
  <c r="AF28" i="1" s="1"/>
  <c r="AB28" i="1"/>
  <c r="AE11" i="1"/>
  <c r="AH11" i="1" l="1"/>
  <c r="AH28" i="1" s="1"/>
  <c r="AE28" i="1"/>
  <c r="AH29" i="1" l="1"/>
  <c r="AL38" i="1" s="1"/>
</calcChain>
</file>

<file path=xl/sharedStrings.xml><?xml version="1.0" encoding="utf-8"?>
<sst xmlns="http://schemas.openxmlformats.org/spreadsheetml/2006/main" count="110" uniqueCount="59">
  <si>
    <t>U.E. PRIVADA INTERANDINO BOLIVIANO</t>
  </si>
  <si>
    <t>CALLE  VICTOR GUTIERREZ N°3339</t>
  </si>
  <si>
    <t xml:space="preserve">TELEFONO: 2840320 - 67304340 </t>
  </si>
  <si>
    <t>EL ALTO - BOLIVIA</t>
  </si>
  <si>
    <t xml:space="preserve">De Febrero a Noviembre </t>
  </si>
  <si>
    <r>
      <rPr>
        <b/>
        <sz val="9"/>
        <color theme="1"/>
        <rFont val="Arial"/>
        <family val="2"/>
      </rPr>
      <t xml:space="preserve">REFFERENCIAS: </t>
    </r>
    <r>
      <rPr>
        <sz val="9"/>
        <color theme="1"/>
        <rFont val="Arial"/>
        <family val="2"/>
      </rPr>
      <t>I = Inscritos ; R = Retirados; N = Nuevo</t>
    </r>
  </si>
  <si>
    <t xml:space="preserve">          MES</t>
  </si>
  <si>
    <t>FEBRERO</t>
  </si>
  <si>
    <t>MARZO</t>
  </si>
  <si>
    <t>ABRIL</t>
  </si>
  <si>
    <t>MAYO</t>
  </si>
  <si>
    <t>JUNIO</t>
  </si>
  <si>
    <t>JULIO</t>
  </si>
  <si>
    <t>AGOSTO</t>
  </si>
  <si>
    <t>SEPTIEMBRE</t>
  </si>
  <si>
    <t>OCTUBRE</t>
  </si>
  <si>
    <t>NOVIEMBRE</t>
  </si>
  <si>
    <t>TOTAL RETIRADOS</t>
  </si>
  <si>
    <t>AL CONTADO</t>
  </si>
  <si>
    <t>BECA</t>
  </si>
  <si>
    <t>No Est:</t>
  </si>
  <si>
    <t xml:space="preserve">Ingreso  </t>
  </si>
  <si>
    <t xml:space="preserve">    CURSO</t>
  </si>
  <si>
    <t>I</t>
  </si>
  <si>
    <t>R</t>
  </si>
  <si>
    <t>N</t>
  </si>
  <si>
    <t>Inicial 1° Sección "A"</t>
  </si>
  <si>
    <t>Inicial 1° Sección "B"</t>
  </si>
  <si>
    <t>Inicial 2° Sección "A"</t>
  </si>
  <si>
    <t>Inicial 2° Sección "B"</t>
  </si>
  <si>
    <t>1° Primaria "A"</t>
  </si>
  <si>
    <t>1° Primaria "B"</t>
  </si>
  <si>
    <t>-</t>
  </si>
  <si>
    <t>2° Primaria "A"</t>
  </si>
  <si>
    <t>3° Primaria "A"</t>
  </si>
  <si>
    <t>4° Primaria "A"</t>
  </si>
  <si>
    <t>5° Primaria "A"</t>
  </si>
  <si>
    <t>6° Primaria "A"</t>
  </si>
  <si>
    <t>1° Secundaria "A"</t>
  </si>
  <si>
    <t>2° Secundaria "A"</t>
  </si>
  <si>
    <t>3° Secundaria "A"</t>
  </si>
  <si>
    <t>4° Secundaria "A"</t>
  </si>
  <si>
    <t>5° Secundaria  "A"</t>
  </si>
  <si>
    <t>6° Secundaria "A"</t>
  </si>
  <si>
    <t>TOTAL</t>
  </si>
  <si>
    <t>TOTAL A RECAUDAR GESTION 2023</t>
  </si>
  <si>
    <t>RESUMEN DE INGRESOS DE LA GESTION 2023</t>
  </si>
  <si>
    <t>DESCRIPCION</t>
  </si>
  <si>
    <t>MES</t>
  </si>
  <si>
    <t>ENERO</t>
  </si>
  <si>
    <t>DICIEMBRE</t>
  </si>
  <si>
    <t>PENSIONES S/D</t>
  </si>
  <si>
    <t>PENSIONES C/D</t>
  </si>
  <si>
    <t>TOTAL ENTREGADO</t>
  </si>
  <si>
    <t>TOTAL RECAUDADO HASTA EL 22/07/23</t>
  </si>
  <si>
    <t>SALDO POR RECAUDAR GESTION 2023</t>
  </si>
  <si>
    <r>
      <rPr>
        <b/>
        <sz val="12"/>
        <color rgb="FFFF0000"/>
        <rFont val="Arial"/>
        <family val="2"/>
      </rPr>
      <t>1° Nota.-</t>
    </r>
    <r>
      <rPr>
        <sz val="12"/>
        <color rgb="FFFF0000"/>
        <rFont val="Arial"/>
        <family val="2"/>
      </rPr>
      <t xml:space="preserve"> El estudiante Moya Botello Thiago Matias del 1ro. Primaria A, se incorporó a partir del 03/04/23, sin embargo cancelará las 10 mensualidades de Bs. 450 c/u.</t>
    </r>
  </si>
  <si>
    <r>
      <rPr>
        <b/>
        <sz val="12"/>
        <color rgb="FFFF0000"/>
        <rFont val="Arial"/>
        <family val="2"/>
      </rPr>
      <t>2° Nota.- 21/07/23</t>
    </r>
    <r>
      <rPr>
        <sz val="12"/>
        <color rgb="FFFF0000"/>
        <rFont val="Arial"/>
        <family val="2"/>
      </rPr>
      <t xml:space="preserve"> Se hizo la devolucion de Pensiones al Contado de la estudiante Quispe Huanca Madelen Silvia del 6to. de Secundaria A, ya que se retiro de la Unidad Educativa, Cobrandose asi solamente hasta el mes de Junio y haciendo la devolución de Bs. 1.688,60.-</t>
    </r>
  </si>
  <si>
    <t>INGRESO POR PENSIONES GESTIÓN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</si>
</sst>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9"/>
      <color theme="1"/>
      <name val="Arial"/>
      <family val="2"/>
    </font>
    <font>
      <sz val="7"/>
      <color theme="1"/>
      <name val="Arial"/>
      <family val="2"/>
    </font>
    <font>
      <b/>
      <sz val="16"/>
      <color theme="1"/>
      <name val="Arial Rounded MT Bold"/>
      <family val="2"/>
    </font>
    <font>
      <b/>
      <sz val="12"/>
      <color theme="1"/>
      <name val="Arial Rounded MT Bold"/>
      <family val="2"/>
    </font>
    <font>
      <b/>
      <sz val="9"/>
      <color theme="1"/>
      <name val="Arial"/>
      <family val="2"/>
    </font>
    <font>
      <b/>
      <sz val="7"/>
      <color theme="1"/>
      <name val="Arial"/>
      <family val="2"/>
    </font>
    <font>
      <sz val="8"/>
      <color theme="1"/>
      <name val="Arial"/>
      <family val="2"/>
    </font>
    <font>
      <b/>
      <sz val="8"/>
      <color theme="1"/>
      <name val="Arial"/>
      <family val="2"/>
    </font>
    <font>
      <b/>
      <sz val="12"/>
      <color theme="1"/>
      <name val="Arial"/>
      <family val="2"/>
    </font>
    <font>
      <sz val="12"/>
      <color theme="1"/>
      <name val="Arial"/>
      <family val="2"/>
    </font>
    <font>
      <b/>
      <sz val="11"/>
      <color rgb="FFFF0000"/>
      <name val="Arial"/>
      <family val="2"/>
    </font>
    <font>
      <b/>
      <sz val="10"/>
      <color theme="1"/>
      <name val="Arial"/>
      <family val="2"/>
    </font>
    <font>
      <b/>
      <sz val="11"/>
      <color theme="1"/>
      <name val="Arial"/>
      <family val="2"/>
    </font>
    <font>
      <sz val="12"/>
      <color rgb="FFFF0000"/>
      <name val="Arial"/>
      <family val="2"/>
    </font>
    <font>
      <b/>
      <sz val="12"/>
      <color rgb="FFFF0000"/>
      <name val="Arial"/>
      <family val="2"/>
    </font>
  </fonts>
  <fills count="2">
    <fill>
      <patternFill patternType="none"/>
    </fill>
    <fill>
      <patternFill patternType="gray125"/>
    </fill>
  </fills>
  <borders count="41">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diagonal/>
    </border>
    <border>
      <left/>
      <right/>
      <top style="hair">
        <color indexed="64"/>
      </top>
      <bottom style="hair">
        <color indexed="64"/>
      </bottom>
      <diagonal/>
    </border>
    <border>
      <left/>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thin">
        <color indexed="64"/>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4">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2" fillId="0" borderId="1" xfId="0" applyFont="1" applyBorder="1" applyAlignment="1">
      <alignment horizontal="left" vertical="center"/>
    </xf>
    <xf numFmtId="0" fontId="6" fillId="0" borderId="2" xfId="0" applyFont="1" applyBorder="1" applyAlignment="1">
      <alignment horizont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7" fillId="0" borderId="2" xfId="0" applyFont="1" applyBorder="1" applyAlignment="1">
      <alignment horizontal="center" vertical="center" textRotation="90" wrapText="1"/>
    </xf>
    <xf numFmtId="0" fontId="7" fillId="0" borderId="3" xfId="0" applyFont="1" applyBorder="1" applyAlignment="1">
      <alignment horizontal="center" vertical="center" textRotation="90" wrapText="1"/>
    </xf>
    <xf numFmtId="0" fontId="7" fillId="0" borderId="6" xfId="0" applyFont="1" applyBorder="1" applyAlignment="1">
      <alignment horizontal="center" vertical="center" textRotation="90"/>
    </xf>
    <xf numFmtId="0" fontId="6" fillId="0" borderId="7" xfId="0" applyFont="1" applyBorder="1" applyAlignment="1">
      <alignment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7" fillId="0" borderId="7" xfId="0" applyFont="1" applyBorder="1" applyAlignment="1">
      <alignment horizontal="center" vertical="center" textRotation="90" wrapText="1"/>
    </xf>
    <xf numFmtId="0" fontId="7" fillId="0" borderId="8" xfId="0" applyFont="1" applyBorder="1" applyAlignment="1">
      <alignment horizontal="center" vertical="center" textRotation="90" wrapText="1"/>
    </xf>
    <xf numFmtId="0" fontId="7" fillId="0" borderId="13" xfId="0" applyFont="1" applyBorder="1" applyAlignment="1">
      <alignment horizontal="center" vertical="center" textRotation="90"/>
    </xf>
    <xf numFmtId="0" fontId="6" fillId="0" borderId="14" xfId="0" applyFont="1" applyBorder="1" applyAlignment="1">
      <alignment horizontal="left" vertical="top"/>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7" fillId="0" borderId="14" xfId="0" applyFont="1" applyBorder="1" applyAlignment="1">
      <alignment horizontal="center" vertical="center" textRotation="90" wrapText="1"/>
    </xf>
    <xf numFmtId="0" fontId="7" fillId="0" borderId="18" xfId="0" applyFont="1" applyBorder="1" applyAlignment="1">
      <alignment horizontal="center" vertical="center" textRotation="90" wrapText="1"/>
    </xf>
    <xf numFmtId="0" fontId="7" fillId="0" borderId="19" xfId="0" applyFont="1" applyBorder="1" applyAlignment="1">
      <alignment horizontal="center" vertical="center" textRotation="90"/>
    </xf>
    <xf numFmtId="0" fontId="8" fillId="0" borderId="6" xfId="0" applyFont="1" applyBorder="1" applyAlignment="1">
      <alignment horizontal="left"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4" fontId="8" fillId="0" borderId="22" xfId="0" applyNumberFormat="1" applyFont="1" applyBorder="1" applyAlignment="1">
      <alignment vertical="center"/>
    </xf>
    <xf numFmtId="4" fontId="8" fillId="0" borderId="23" xfId="0" applyNumberFormat="1" applyFont="1" applyBorder="1" applyAlignment="1">
      <alignment vertical="center"/>
    </xf>
    <xf numFmtId="0" fontId="8" fillId="0" borderId="24" xfId="0" applyFont="1" applyBorder="1" applyAlignment="1">
      <alignment horizontal="center" vertical="center"/>
    </xf>
    <xf numFmtId="0" fontId="8" fillId="0" borderId="11" xfId="0"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8" fillId="0" borderId="13" xfId="0" applyFont="1" applyBorder="1" applyAlignment="1">
      <alignment horizontal="left"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4" fontId="8" fillId="0" borderId="26" xfId="0" applyNumberFormat="1" applyFont="1" applyBorder="1" applyAlignment="1">
      <alignment vertical="center"/>
    </xf>
    <xf numFmtId="0" fontId="8" fillId="0" borderId="9"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19" xfId="0" applyFont="1" applyBorder="1" applyAlignment="1">
      <alignment horizontal="left" vertical="center"/>
    </xf>
    <xf numFmtId="0" fontId="8" fillId="0" borderId="15" xfId="0" applyFont="1" applyBorder="1" applyAlignment="1">
      <alignment horizontal="center" vertical="center"/>
    </xf>
    <xf numFmtId="0" fontId="8" fillId="0" borderId="16" xfId="0" applyFont="1" applyBorder="1" applyAlignment="1">
      <alignment horizontal="center" vertical="center"/>
    </xf>
    <xf numFmtId="4" fontId="8" fillId="0" borderId="31" xfId="0" applyNumberFormat="1" applyFont="1" applyBorder="1" applyAlignment="1">
      <alignment vertical="center"/>
    </xf>
    <xf numFmtId="0" fontId="8" fillId="0" borderId="32" xfId="0" applyFont="1" applyBorder="1" applyAlignment="1">
      <alignment horizontal="center" vertical="center"/>
    </xf>
    <xf numFmtId="0" fontId="8" fillId="0" borderId="33" xfId="0" applyFont="1" applyBorder="1" applyAlignment="1">
      <alignment horizontal="center" vertical="center"/>
    </xf>
    <xf numFmtId="0" fontId="6" fillId="0" borderId="34" xfId="0" applyFont="1" applyBorder="1" applyAlignment="1">
      <alignment horizontal="center" vertical="center"/>
    </xf>
    <xf numFmtId="0" fontId="9" fillId="0" borderId="35" xfId="0" applyFont="1" applyBorder="1" applyAlignment="1">
      <alignment horizontal="center" vertical="center"/>
    </xf>
    <xf numFmtId="0" fontId="9" fillId="0" borderId="36" xfId="0" applyFont="1" applyBorder="1" applyAlignment="1">
      <alignment horizontal="center" vertical="center"/>
    </xf>
    <xf numFmtId="4" fontId="9" fillId="0" borderId="37" xfId="0" applyNumberFormat="1" applyFont="1" applyBorder="1" applyAlignment="1">
      <alignment horizontal="center" vertical="center"/>
    </xf>
    <xf numFmtId="0" fontId="9" fillId="0" borderId="38" xfId="0" applyFont="1" applyBorder="1" applyAlignment="1">
      <alignment horizontal="center" vertical="center"/>
    </xf>
    <xf numFmtId="4" fontId="9" fillId="0" borderId="39" xfId="0" applyNumberFormat="1" applyFont="1" applyBorder="1" applyAlignment="1">
      <alignment horizontal="center" vertical="center"/>
    </xf>
    <xf numFmtId="0" fontId="9" fillId="0" borderId="39" xfId="0" applyFont="1" applyBorder="1" applyAlignment="1">
      <alignment horizontal="center" vertical="center"/>
    </xf>
    <xf numFmtId="0" fontId="9" fillId="0" borderId="34" xfId="0" applyFont="1" applyBorder="1" applyAlignment="1">
      <alignment horizontal="center" vertical="center"/>
    </xf>
    <xf numFmtId="0" fontId="9" fillId="0" borderId="37" xfId="0" applyFont="1" applyBorder="1" applyAlignment="1">
      <alignment horizontal="center" vertical="center"/>
    </xf>
    <xf numFmtId="0" fontId="10" fillId="0" borderId="35" xfId="0" applyFont="1" applyBorder="1" applyAlignment="1">
      <alignment vertical="center"/>
    </xf>
    <xf numFmtId="0" fontId="10" fillId="0" borderId="39" xfId="0" applyFont="1" applyBorder="1" applyAlignment="1">
      <alignment vertical="center"/>
    </xf>
    <xf numFmtId="4" fontId="10" fillId="0" borderId="39" xfId="0" applyNumberFormat="1" applyFont="1" applyBorder="1" applyAlignment="1">
      <alignment horizontal="right" vertical="center"/>
    </xf>
    <xf numFmtId="4" fontId="10" fillId="0" borderId="40" xfId="0" applyNumberFormat="1" applyFont="1" applyBorder="1" applyAlignment="1">
      <alignment horizontal="right" vertical="center"/>
    </xf>
    <xf numFmtId="4" fontId="11" fillId="0" borderId="0" xfId="0" applyNumberFormat="1" applyFont="1" applyAlignment="1">
      <alignment vertical="center"/>
    </xf>
    <xf numFmtId="0" fontId="10" fillId="0" borderId="35" xfId="0" applyFont="1" applyBorder="1" applyAlignment="1">
      <alignment horizontal="center" vertical="center"/>
    </xf>
    <xf numFmtId="0" fontId="10" fillId="0" borderId="39" xfId="0" applyFont="1" applyBorder="1" applyAlignment="1">
      <alignment horizontal="center" vertical="center"/>
    </xf>
    <xf numFmtId="0" fontId="10" fillId="0" borderId="40" xfId="0" applyFont="1" applyBorder="1" applyAlignment="1">
      <alignment horizontal="center" vertical="center"/>
    </xf>
    <xf numFmtId="0" fontId="1" fillId="0" borderId="2" xfId="0" applyFont="1" applyBorder="1" applyAlignment="1">
      <alignment horizontal="center" vertical="center"/>
    </xf>
    <xf numFmtId="0" fontId="1" fillId="0" borderId="35" xfId="0" applyFont="1" applyBorder="1" applyAlignment="1">
      <alignment horizontal="center" vertical="center"/>
    </xf>
    <xf numFmtId="0" fontId="1" fillId="0" borderId="39" xfId="0" applyFont="1" applyBorder="1" applyAlignment="1">
      <alignment horizontal="center" vertical="center"/>
    </xf>
    <xf numFmtId="0" fontId="1" fillId="0" borderId="40" xfId="0" applyFont="1" applyBorder="1" applyAlignment="1">
      <alignment horizontal="center" vertical="center"/>
    </xf>
    <xf numFmtId="0" fontId="1" fillId="0" borderId="14" xfId="0" applyFont="1" applyBorder="1" applyAlignment="1">
      <alignment horizontal="center" vertical="center"/>
    </xf>
    <xf numFmtId="0" fontId="6" fillId="0" borderId="34" xfId="0" applyFont="1" applyBorder="1" applyAlignment="1">
      <alignment horizontal="center" vertical="center"/>
    </xf>
    <xf numFmtId="0" fontId="6" fillId="0" borderId="34" xfId="0" applyFont="1" applyBorder="1" applyAlignment="1">
      <alignment vertical="center"/>
    </xf>
    <xf numFmtId="4" fontId="2" fillId="0" borderId="34" xfId="0" applyNumberFormat="1" applyFont="1" applyBorder="1" applyAlignment="1">
      <alignment horizontal="right" vertical="center"/>
    </xf>
    <xf numFmtId="0" fontId="6" fillId="0" borderId="34" xfId="0" applyFont="1" applyBorder="1" applyAlignment="1">
      <alignment horizontal="left" vertical="center"/>
    </xf>
    <xf numFmtId="4" fontId="6" fillId="0" borderId="34" xfId="0" applyNumberFormat="1" applyFont="1" applyBorder="1" applyAlignment="1">
      <alignment horizontal="right" vertical="center"/>
    </xf>
    <xf numFmtId="0" fontId="6" fillId="0" borderId="34" xfId="0" applyFont="1" applyBorder="1" applyAlignment="1">
      <alignment horizontal="right" vertical="center"/>
    </xf>
    <xf numFmtId="0" fontId="12" fillId="0" borderId="35" xfId="0" applyFont="1" applyBorder="1" applyAlignment="1">
      <alignment vertical="center"/>
    </xf>
    <xf numFmtId="0" fontId="1" fillId="0" borderId="39" xfId="0" applyFont="1" applyBorder="1" applyAlignment="1">
      <alignment vertical="center"/>
    </xf>
    <xf numFmtId="0" fontId="7" fillId="0" borderId="39" xfId="0" applyFont="1" applyBorder="1" applyAlignment="1">
      <alignment vertical="center"/>
    </xf>
    <xf numFmtId="4" fontId="13" fillId="0" borderId="39" xfId="0" applyNumberFormat="1" applyFont="1" applyBorder="1" applyAlignment="1">
      <alignment vertical="center"/>
    </xf>
    <xf numFmtId="4" fontId="12" fillId="0" borderId="39" xfId="0" applyNumberFormat="1" applyFont="1" applyBorder="1" applyAlignment="1">
      <alignment horizontal="right" vertical="center"/>
    </xf>
    <xf numFmtId="4" fontId="12" fillId="0" borderId="40" xfId="0" applyNumberFormat="1" applyFont="1" applyBorder="1" applyAlignment="1">
      <alignment horizontal="right" vertical="center"/>
    </xf>
    <xf numFmtId="0" fontId="14" fillId="0" borderId="35" xfId="0" applyFont="1" applyBorder="1" applyAlignment="1">
      <alignment vertical="center"/>
    </xf>
    <xf numFmtId="0" fontId="0" fillId="0" borderId="39" xfId="0" applyBorder="1" applyAlignment="1">
      <alignment vertical="center"/>
    </xf>
    <xf numFmtId="0" fontId="3" fillId="0" borderId="39" xfId="0" applyFont="1" applyBorder="1" applyAlignment="1">
      <alignment vertical="center"/>
    </xf>
    <xf numFmtId="4" fontId="14" fillId="0" borderId="39" xfId="0" applyNumberFormat="1" applyFont="1" applyBorder="1" applyAlignment="1">
      <alignment horizontal="right" vertical="center"/>
    </xf>
    <xf numFmtId="4" fontId="14" fillId="0" borderId="40" xfId="0" applyNumberFormat="1" applyFont="1" applyBorder="1" applyAlignment="1">
      <alignment horizontal="right" vertical="center"/>
    </xf>
    <xf numFmtId="0" fontId="15" fillId="0" borderId="0" xfId="0" applyFont="1" applyAlignment="1">
      <alignment vertical="center"/>
    </xf>
    <xf numFmtId="0" fontId="0" fillId="0" borderId="0" xfId="0" applyAlignment="1">
      <alignment horizontal="center" vertical="center"/>
    </xf>
    <xf numFmtId="0" fontId="8" fillId="0" borderId="0" xfId="0"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36</xdr:col>
      <xdr:colOff>209117</xdr:colOff>
      <xdr:row>0</xdr:row>
      <xdr:rowOff>0</xdr:rowOff>
    </xdr:from>
    <xdr:to>
      <xdr:col>39</xdr:col>
      <xdr:colOff>219094</xdr:colOff>
      <xdr:row>4</xdr:row>
      <xdr:rowOff>157788</xdr:rowOff>
    </xdr:to>
    <xdr:pic>
      <xdr:nvPicPr>
        <xdr:cNvPr id="2" name="Imagen 1">
          <a:extLst>
            <a:ext uri="{FF2B5EF4-FFF2-40B4-BE49-F238E27FC236}">
              <a16:creationId xmlns:a16="http://schemas.microsoft.com/office/drawing/2014/main" id="{5F145F73-F0A4-4159-8EB0-156D92C182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20342" y="0"/>
          <a:ext cx="972002" cy="919788"/>
        </a:xfrm>
        <a:prstGeom prst="rect">
          <a:avLst/>
        </a:prstGeom>
      </xdr:spPr>
    </xdr:pic>
    <xdr:clientData/>
  </xdr:twoCellAnchor>
  <xdr:twoCellAnchor>
    <xdr:from>
      <xdr:col>0</xdr:col>
      <xdr:colOff>14654</xdr:colOff>
      <xdr:row>7</xdr:row>
      <xdr:rowOff>14654</xdr:rowOff>
    </xdr:from>
    <xdr:to>
      <xdr:col>0</xdr:col>
      <xdr:colOff>1164981</xdr:colOff>
      <xdr:row>9</xdr:row>
      <xdr:rowOff>212481</xdr:rowOff>
    </xdr:to>
    <xdr:cxnSp macro="">
      <xdr:nvCxnSpPr>
        <xdr:cNvPr id="3" name="Conector recto 2">
          <a:extLst>
            <a:ext uri="{FF2B5EF4-FFF2-40B4-BE49-F238E27FC236}">
              <a16:creationId xmlns:a16="http://schemas.microsoft.com/office/drawing/2014/main" id="{AC5381DF-FC74-4D76-9B98-B6D4407731F6}"/>
            </a:ext>
          </a:extLst>
        </xdr:cNvPr>
        <xdr:cNvCxnSpPr/>
      </xdr:nvCxnSpPr>
      <xdr:spPr>
        <a:xfrm>
          <a:off x="14654" y="1557704"/>
          <a:ext cx="1150327" cy="635977"/>
        </a:xfrm>
        <a:prstGeom prst="line">
          <a:avLst/>
        </a:prstGeom>
        <a:ln w="0">
          <a:solidFill>
            <a:sysClr val="windowText" lastClr="000000"/>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3DD1-84A2-4A94-B244-732BABB10ADE}">
  <dimension ref="A1:AN42"/>
  <sheetViews>
    <sheetView tabSelected="1" view="pageLayout" zoomScale="85" zoomScaleNormal="85" zoomScaleSheetLayoutView="115" zoomScalePageLayoutView="85" workbookViewId="0">
      <selection activeCell="R16" sqref="R16"/>
    </sheetView>
  </sheetViews>
  <sheetFormatPr baseColWidth="10" defaultRowHeight="15" x14ac:dyDescent="0.25"/>
  <cols>
    <col min="1" max="1" width="16.42578125" style="3" customWidth="1"/>
    <col min="2" max="2" width="4.28515625" style="3" customWidth="1"/>
    <col min="3" max="3" width="2.140625" style="2" customWidth="1"/>
    <col min="4" max="4" width="9.7109375" style="3" customWidth="1"/>
    <col min="5" max="5" width="4.28515625" style="3" customWidth="1"/>
    <col min="6" max="6" width="2.140625" style="3" customWidth="1"/>
    <col min="7" max="7" width="9.42578125" style="3" customWidth="1"/>
    <col min="8" max="8" width="4.28515625" style="2" customWidth="1"/>
    <col min="9" max="9" width="2.140625" style="3" customWidth="1"/>
    <col min="10" max="10" width="9.42578125" style="3" customWidth="1"/>
    <col min="11" max="11" width="4.28515625" style="2" customWidth="1"/>
    <col min="12" max="12" width="2.85546875" style="3" customWidth="1"/>
    <col min="13" max="13" width="2.140625" style="3" customWidth="1"/>
    <col min="14" max="14" width="9.42578125" style="3" customWidth="1"/>
    <col min="15" max="15" width="4.28515625" style="2" customWidth="1"/>
    <col min="16" max="17" width="2.140625" style="3" customWidth="1"/>
    <col min="18" max="18" width="9.42578125" style="2" customWidth="1"/>
    <col min="19" max="19" width="4.28515625" style="3" customWidth="1"/>
    <col min="20" max="21" width="2.140625" style="3" customWidth="1"/>
    <col min="22" max="22" width="9.42578125" style="2" customWidth="1"/>
    <col min="23" max="23" width="4.28515625" style="3" customWidth="1"/>
    <col min="24" max="24" width="2.140625" style="3" customWidth="1"/>
    <col min="25" max="25" width="9.42578125" style="2" customWidth="1"/>
    <col min="26" max="26" width="4.28515625" style="3" customWidth="1"/>
    <col min="27" max="27" width="2.140625" style="3" customWidth="1"/>
    <col min="28" max="28" width="9.42578125" style="2" customWidth="1"/>
    <col min="29" max="29" width="4.28515625" style="3" customWidth="1"/>
    <col min="30" max="30" width="2.140625" style="3" customWidth="1"/>
    <col min="31" max="31" width="9.42578125" style="2" customWidth="1"/>
    <col min="32" max="32" width="4.28515625" style="3" customWidth="1"/>
    <col min="33" max="33" width="2.140625" style="3" customWidth="1"/>
    <col min="34" max="34" width="9.42578125" style="2" customWidth="1"/>
    <col min="35" max="35" width="4.7109375" style="2" customWidth="1"/>
    <col min="36" max="37" width="4.7109375" style="3" customWidth="1"/>
    <col min="38" max="40" width="4.42578125" style="3" customWidth="1"/>
    <col min="41" max="16384" width="11.42578125" style="3"/>
  </cols>
  <sheetData>
    <row r="1" spans="1:40" x14ac:dyDescent="0.25">
      <c r="A1" s="1" t="s">
        <v>0</v>
      </c>
      <c r="B1" s="1"/>
      <c r="D1" s="1"/>
      <c r="E1" s="1"/>
      <c r="F1" s="1"/>
      <c r="G1" s="1"/>
      <c r="I1" s="1"/>
      <c r="J1" s="1"/>
      <c r="L1" s="1"/>
      <c r="M1" s="1"/>
      <c r="N1" s="1"/>
      <c r="P1" s="1"/>
      <c r="Q1" s="1"/>
      <c r="S1" s="1"/>
      <c r="T1" s="1"/>
      <c r="U1" s="1"/>
    </row>
    <row r="2" spans="1:40" x14ac:dyDescent="0.25">
      <c r="A2" s="1" t="s">
        <v>1</v>
      </c>
      <c r="B2" s="1"/>
      <c r="D2" s="1"/>
      <c r="E2" s="1"/>
      <c r="F2" s="1"/>
      <c r="G2" s="1"/>
      <c r="I2" s="1"/>
      <c r="J2" s="1"/>
      <c r="L2" s="1"/>
      <c r="M2" s="1"/>
      <c r="N2" s="1"/>
      <c r="P2" s="1"/>
      <c r="Q2" s="1"/>
      <c r="S2" s="1"/>
      <c r="T2" s="1"/>
      <c r="U2" s="1"/>
    </row>
    <row r="3" spans="1:40" x14ac:dyDescent="0.25">
      <c r="A3" s="1" t="s">
        <v>2</v>
      </c>
      <c r="B3" s="1"/>
      <c r="D3" s="1"/>
      <c r="E3" s="1"/>
      <c r="F3" s="1"/>
      <c r="G3" s="1"/>
      <c r="I3" s="1"/>
      <c r="J3" s="1"/>
      <c r="L3" s="1"/>
      <c r="M3" s="1"/>
      <c r="N3" s="1"/>
      <c r="P3" s="1"/>
      <c r="Q3" s="1"/>
      <c r="S3" s="1"/>
      <c r="T3" s="1"/>
      <c r="U3" s="1"/>
    </row>
    <row r="4" spans="1:40" ht="15" customHeight="1" x14ac:dyDescent="0.25">
      <c r="A4" s="1" t="s">
        <v>3</v>
      </c>
      <c r="B4" s="1"/>
      <c r="D4" s="1"/>
      <c r="E4" s="1"/>
      <c r="F4" s="1"/>
      <c r="G4" s="1"/>
      <c r="I4" s="1"/>
      <c r="J4" s="1"/>
      <c r="L4" s="1"/>
      <c r="M4" s="1"/>
      <c r="N4" s="1"/>
      <c r="P4" s="1"/>
      <c r="Q4" s="1"/>
      <c r="S4" s="1"/>
      <c r="T4" s="1"/>
      <c r="U4" s="1"/>
    </row>
    <row r="5" spans="1:40" ht="22.5" customHeight="1" x14ac:dyDescent="0.25">
      <c r="A5" s="4" t="s">
        <v>58</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row>
    <row r="6" spans="1:40" ht="22.5" customHeight="1" x14ac:dyDescent="0.25">
      <c r="A6" s="5" t="s">
        <v>4</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row>
    <row r="7" spans="1:40" ht="16.5" customHeight="1" x14ac:dyDescent="0.25">
      <c r="A7" s="6" t="s">
        <v>5</v>
      </c>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row>
    <row r="8" spans="1:40" ht="17.25" customHeight="1" x14ac:dyDescent="0.2">
      <c r="A8" s="7" t="s">
        <v>6</v>
      </c>
      <c r="B8" s="8" t="s">
        <v>7</v>
      </c>
      <c r="C8" s="9"/>
      <c r="D8" s="10"/>
      <c r="E8" s="8" t="s">
        <v>8</v>
      </c>
      <c r="F8" s="9"/>
      <c r="G8" s="10"/>
      <c r="H8" s="8" t="s">
        <v>9</v>
      </c>
      <c r="I8" s="9"/>
      <c r="J8" s="10"/>
      <c r="K8" s="8" t="s">
        <v>10</v>
      </c>
      <c r="L8" s="9"/>
      <c r="M8" s="9"/>
      <c r="N8" s="10"/>
      <c r="O8" s="8" t="s">
        <v>11</v>
      </c>
      <c r="P8" s="9"/>
      <c r="Q8" s="9"/>
      <c r="R8" s="10"/>
      <c r="S8" s="8" t="s">
        <v>12</v>
      </c>
      <c r="T8" s="9"/>
      <c r="U8" s="9"/>
      <c r="V8" s="10"/>
      <c r="W8" s="8" t="s">
        <v>13</v>
      </c>
      <c r="X8" s="9"/>
      <c r="Y8" s="10"/>
      <c r="Z8" s="8" t="s">
        <v>14</v>
      </c>
      <c r="AA8" s="9"/>
      <c r="AB8" s="10"/>
      <c r="AC8" s="8" t="s">
        <v>15</v>
      </c>
      <c r="AD8" s="9"/>
      <c r="AE8" s="10"/>
      <c r="AF8" s="8" t="s">
        <v>16</v>
      </c>
      <c r="AG8" s="9"/>
      <c r="AH8" s="10"/>
      <c r="AI8" s="11" t="s">
        <v>17</v>
      </c>
      <c r="AJ8" s="12" t="s">
        <v>18</v>
      </c>
      <c r="AK8" s="13" t="s">
        <v>19</v>
      </c>
    </row>
    <row r="9" spans="1:40" ht="17.25" customHeight="1" x14ac:dyDescent="0.25">
      <c r="A9" s="14"/>
      <c r="B9" s="15" t="s">
        <v>20</v>
      </c>
      <c r="C9" s="16"/>
      <c r="D9" s="17" t="s">
        <v>21</v>
      </c>
      <c r="E9" s="15" t="s">
        <v>20</v>
      </c>
      <c r="F9" s="16"/>
      <c r="G9" s="17" t="s">
        <v>21</v>
      </c>
      <c r="H9" s="15" t="s">
        <v>20</v>
      </c>
      <c r="I9" s="16"/>
      <c r="J9" s="17" t="s">
        <v>21</v>
      </c>
      <c r="K9" s="15" t="s">
        <v>20</v>
      </c>
      <c r="L9" s="18"/>
      <c r="M9" s="16"/>
      <c r="N9" s="17" t="s">
        <v>21</v>
      </c>
      <c r="O9" s="15" t="s">
        <v>20</v>
      </c>
      <c r="P9" s="18"/>
      <c r="Q9" s="16"/>
      <c r="R9" s="17" t="s">
        <v>21</v>
      </c>
      <c r="S9" s="15" t="s">
        <v>20</v>
      </c>
      <c r="T9" s="16"/>
      <c r="U9" s="19"/>
      <c r="V9" s="17" t="s">
        <v>21</v>
      </c>
      <c r="W9" s="15" t="s">
        <v>20</v>
      </c>
      <c r="X9" s="16"/>
      <c r="Y9" s="17" t="s">
        <v>21</v>
      </c>
      <c r="Z9" s="15" t="s">
        <v>20</v>
      </c>
      <c r="AA9" s="16"/>
      <c r="AB9" s="17" t="s">
        <v>21</v>
      </c>
      <c r="AC9" s="15" t="s">
        <v>20</v>
      </c>
      <c r="AD9" s="16"/>
      <c r="AE9" s="17" t="s">
        <v>21</v>
      </c>
      <c r="AF9" s="15" t="s">
        <v>20</v>
      </c>
      <c r="AG9" s="16"/>
      <c r="AH9" s="17" t="s">
        <v>21</v>
      </c>
      <c r="AI9" s="20"/>
      <c r="AJ9" s="21"/>
      <c r="AK9" s="22"/>
    </row>
    <row r="10" spans="1:40" ht="17.25" customHeight="1" x14ac:dyDescent="0.25">
      <c r="A10" s="23" t="s">
        <v>22</v>
      </c>
      <c r="B10" s="24" t="s">
        <v>23</v>
      </c>
      <c r="C10" s="25" t="s">
        <v>24</v>
      </c>
      <c r="D10" s="26"/>
      <c r="E10" s="24" t="s">
        <v>23</v>
      </c>
      <c r="F10" s="25" t="s">
        <v>24</v>
      </c>
      <c r="G10" s="26"/>
      <c r="H10" s="24" t="s">
        <v>23</v>
      </c>
      <c r="I10" s="25" t="s">
        <v>25</v>
      </c>
      <c r="J10" s="26"/>
      <c r="K10" s="24" t="s">
        <v>23</v>
      </c>
      <c r="L10" s="25" t="s">
        <v>25</v>
      </c>
      <c r="M10" s="25" t="s">
        <v>24</v>
      </c>
      <c r="N10" s="26"/>
      <c r="O10" s="24" t="s">
        <v>23</v>
      </c>
      <c r="P10" s="25" t="s">
        <v>25</v>
      </c>
      <c r="Q10" s="25" t="s">
        <v>24</v>
      </c>
      <c r="R10" s="26"/>
      <c r="S10" s="24" t="s">
        <v>23</v>
      </c>
      <c r="T10" s="25" t="s">
        <v>25</v>
      </c>
      <c r="U10" s="25" t="s">
        <v>24</v>
      </c>
      <c r="V10" s="26"/>
      <c r="W10" s="24" t="s">
        <v>23</v>
      </c>
      <c r="X10" s="25" t="s">
        <v>24</v>
      </c>
      <c r="Y10" s="26"/>
      <c r="Z10" s="24" t="s">
        <v>23</v>
      </c>
      <c r="AA10" s="25" t="s">
        <v>24</v>
      </c>
      <c r="AB10" s="26"/>
      <c r="AC10" s="24" t="s">
        <v>23</v>
      </c>
      <c r="AD10" s="25" t="s">
        <v>24</v>
      </c>
      <c r="AE10" s="26"/>
      <c r="AF10" s="24" t="s">
        <v>23</v>
      </c>
      <c r="AG10" s="25" t="s">
        <v>24</v>
      </c>
      <c r="AH10" s="26"/>
      <c r="AI10" s="27"/>
      <c r="AJ10" s="28"/>
      <c r="AK10" s="29"/>
    </row>
    <row r="11" spans="1:40" x14ac:dyDescent="0.25">
      <c r="A11" s="30" t="s">
        <v>26</v>
      </c>
      <c r="B11" s="31">
        <v>12</v>
      </c>
      <c r="C11" s="32">
        <v>1</v>
      </c>
      <c r="D11" s="33">
        <v>5107.5</v>
      </c>
      <c r="E11" s="31">
        <f>B11-C11</f>
        <v>11</v>
      </c>
      <c r="F11" s="32"/>
      <c r="G11" s="33">
        <f t="shared" ref="G11:G27" si="0">(D11-(C11*450))</f>
        <v>4657.5</v>
      </c>
      <c r="H11" s="31">
        <f t="shared" ref="H11:H27" si="1">E11-F11</f>
        <v>11</v>
      </c>
      <c r="I11" s="32"/>
      <c r="J11" s="33">
        <f t="shared" ref="J11:J20" si="2">(G11-(F11*450))</f>
        <v>4657.5</v>
      </c>
      <c r="K11" s="31">
        <f>H11-I11</f>
        <v>11</v>
      </c>
      <c r="L11" s="32"/>
      <c r="M11" s="32"/>
      <c r="N11" s="34">
        <f>(J11+(L11*450))</f>
        <v>4657.5</v>
      </c>
      <c r="O11" s="31">
        <f t="shared" ref="O11:O27" si="3">L11+(K11-M11)</f>
        <v>11</v>
      </c>
      <c r="P11" s="32"/>
      <c r="Q11" s="32"/>
      <c r="R11" s="34">
        <f>(N11-(M11*450))</f>
        <v>4657.5</v>
      </c>
      <c r="S11" s="31">
        <f>O11-Q11</f>
        <v>11</v>
      </c>
      <c r="T11" s="32"/>
      <c r="U11" s="32"/>
      <c r="V11" s="34">
        <f>(R11-(Q11*450))</f>
        <v>4657.5</v>
      </c>
      <c r="W11" s="35">
        <f>S11-T11</f>
        <v>11</v>
      </c>
      <c r="X11" s="32"/>
      <c r="Y11" s="34">
        <f>(V11-(T11*450))</f>
        <v>4657.5</v>
      </c>
      <c r="Z11" s="35">
        <f>W11-X11</f>
        <v>11</v>
      </c>
      <c r="AA11" s="32"/>
      <c r="AB11" s="34">
        <f>(Y11-(X11*450))</f>
        <v>4657.5</v>
      </c>
      <c r="AC11" s="35">
        <f>Z11-AA11</f>
        <v>11</v>
      </c>
      <c r="AD11" s="32"/>
      <c r="AE11" s="34">
        <f>(AB11-(AA11*450))</f>
        <v>4657.5</v>
      </c>
      <c r="AF11" s="35">
        <f>AC11-AD11</f>
        <v>11</v>
      </c>
      <c r="AG11" s="32"/>
      <c r="AH11" s="34">
        <f>(AE11-(AD11*450))</f>
        <v>4657.5</v>
      </c>
      <c r="AI11" s="36">
        <f>C11+F11+M11+Q11+U11+X11+AA11+AD11+AG11</f>
        <v>1</v>
      </c>
      <c r="AJ11" s="37">
        <v>5</v>
      </c>
      <c r="AK11" s="38">
        <v>1</v>
      </c>
    </row>
    <row r="12" spans="1:40" x14ac:dyDescent="0.25">
      <c r="A12" s="39" t="s">
        <v>27</v>
      </c>
      <c r="B12" s="40">
        <v>13</v>
      </c>
      <c r="C12" s="41">
        <v>1</v>
      </c>
      <c r="D12" s="42">
        <v>5827.5</v>
      </c>
      <c r="E12" s="40">
        <f t="shared" ref="E12:E27" si="4">B12-C12</f>
        <v>12</v>
      </c>
      <c r="F12" s="41"/>
      <c r="G12" s="42">
        <f t="shared" si="0"/>
        <v>5377.5</v>
      </c>
      <c r="H12" s="40">
        <f t="shared" si="1"/>
        <v>12</v>
      </c>
      <c r="I12" s="41"/>
      <c r="J12" s="42">
        <f t="shared" si="2"/>
        <v>5377.5</v>
      </c>
      <c r="K12" s="40">
        <f>H12-I12</f>
        <v>12</v>
      </c>
      <c r="L12" s="41"/>
      <c r="M12" s="41">
        <v>1</v>
      </c>
      <c r="N12" s="42">
        <f>(J12+(L12*450))</f>
        <v>5377.5</v>
      </c>
      <c r="O12" s="40">
        <f t="shared" si="3"/>
        <v>11</v>
      </c>
      <c r="P12" s="41"/>
      <c r="Q12" s="41"/>
      <c r="R12" s="42">
        <f>(N12-(M12*450))</f>
        <v>4927.5</v>
      </c>
      <c r="S12" s="40">
        <f t="shared" ref="S12:S27" si="5">O12-Q12</f>
        <v>11</v>
      </c>
      <c r="T12" s="41"/>
      <c r="U12" s="41"/>
      <c r="V12" s="42">
        <f>(R12-(Q12*450))</f>
        <v>4927.5</v>
      </c>
      <c r="W12" s="43">
        <f t="shared" ref="W12:W26" si="6">S12-T12</f>
        <v>11</v>
      </c>
      <c r="X12" s="41"/>
      <c r="Y12" s="42">
        <f>(V12-(T12*450))</f>
        <v>4927.5</v>
      </c>
      <c r="Z12" s="43">
        <f t="shared" ref="Z12:Z27" si="7">W12-X12</f>
        <v>11</v>
      </c>
      <c r="AA12" s="41"/>
      <c r="AB12" s="42">
        <f>(Y12-(X12*450))</f>
        <v>4927.5</v>
      </c>
      <c r="AC12" s="43">
        <f t="shared" ref="AC12:AC27" si="8">Z12-AA12</f>
        <v>11</v>
      </c>
      <c r="AD12" s="41"/>
      <c r="AE12" s="42">
        <f>(AB12-(AA12*450))</f>
        <v>4927.5</v>
      </c>
      <c r="AF12" s="43">
        <f t="shared" ref="AF12:AF27" si="9">AC12-AD12</f>
        <v>11</v>
      </c>
      <c r="AG12" s="41"/>
      <c r="AH12" s="42">
        <f>(AE12-(AD12*450))</f>
        <v>4927.5</v>
      </c>
      <c r="AI12" s="36">
        <f>C12+F12+M12+Q12+X12+AA12+AD12+AG12</f>
        <v>2</v>
      </c>
      <c r="AJ12" s="44">
        <v>0</v>
      </c>
      <c r="AK12" s="38">
        <v>1</v>
      </c>
    </row>
    <row r="13" spans="1:40" x14ac:dyDescent="0.25">
      <c r="A13" s="39" t="s">
        <v>28</v>
      </c>
      <c r="B13" s="40">
        <v>15</v>
      </c>
      <c r="C13" s="41"/>
      <c r="D13" s="42">
        <v>6547.5</v>
      </c>
      <c r="E13" s="40">
        <f t="shared" si="4"/>
        <v>15</v>
      </c>
      <c r="F13" s="41"/>
      <c r="G13" s="42">
        <f t="shared" si="0"/>
        <v>6547.5</v>
      </c>
      <c r="H13" s="40">
        <f t="shared" si="1"/>
        <v>15</v>
      </c>
      <c r="I13" s="41"/>
      <c r="J13" s="42">
        <f t="shared" si="2"/>
        <v>6547.5</v>
      </c>
      <c r="K13" s="40">
        <f t="shared" ref="K13:K26" si="10">H13-I13</f>
        <v>15</v>
      </c>
      <c r="L13" s="41"/>
      <c r="M13" s="41"/>
      <c r="N13" s="42">
        <f>(J13+(L13*450))</f>
        <v>6547.5</v>
      </c>
      <c r="O13" s="40">
        <f t="shared" si="3"/>
        <v>15</v>
      </c>
      <c r="P13" s="41"/>
      <c r="Q13" s="41"/>
      <c r="R13" s="42">
        <f t="shared" ref="R13:R26" si="11">(N13-(M13*450))</f>
        <v>6547.5</v>
      </c>
      <c r="S13" s="40">
        <f t="shared" si="5"/>
        <v>15</v>
      </c>
      <c r="T13" s="41"/>
      <c r="U13" s="41"/>
      <c r="V13" s="42">
        <f t="shared" ref="V13:V26" si="12">(R13-(Q13*450))</f>
        <v>6547.5</v>
      </c>
      <c r="W13" s="43">
        <f t="shared" si="6"/>
        <v>15</v>
      </c>
      <c r="X13" s="41"/>
      <c r="Y13" s="42">
        <f t="shared" ref="Y13:Y26" si="13">(V13-(T13*450))</f>
        <v>6547.5</v>
      </c>
      <c r="Z13" s="43">
        <f t="shared" si="7"/>
        <v>15</v>
      </c>
      <c r="AA13" s="41"/>
      <c r="AB13" s="42">
        <f t="shared" ref="AB13:AB27" si="14">(Y13-(X13*450))</f>
        <v>6547.5</v>
      </c>
      <c r="AC13" s="43">
        <f t="shared" si="8"/>
        <v>15</v>
      </c>
      <c r="AD13" s="41"/>
      <c r="AE13" s="42">
        <f t="shared" ref="AE13:AE27" si="15">(AB13-(AA13*450))</f>
        <v>6547.5</v>
      </c>
      <c r="AF13" s="43">
        <f t="shared" si="9"/>
        <v>15</v>
      </c>
      <c r="AG13" s="41"/>
      <c r="AH13" s="42">
        <f t="shared" ref="AH13:AH27" si="16">(AE13-(AD13*450))</f>
        <v>6547.5</v>
      </c>
      <c r="AI13" s="36">
        <f t="shared" ref="AI13:AI26" si="17">C13+F13+M13+Q13+X13+AA13+AD13+AG13</f>
        <v>0</v>
      </c>
      <c r="AJ13" s="44">
        <v>1</v>
      </c>
      <c r="AK13" s="38">
        <v>1</v>
      </c>
    </row>
    <row r="14" spans="1:40" x14ac:dyDescent="0.25">
      <c r="A14" s="39" t="s">
        <v>29</v>
      </c>
      <c r="B14" s="40">
        <v>15</v>
      </c>
      <c r="C14" s="41"/>
      <c r="D14" s="42">
        <v>6322.5</v>
      </c>
      <c r="E14" s="40">
        <f t="shared" si="4"/>
        <v>15</v>
      </c>
      <c r="F14" s="41"/>
      <c r="G14" s="42">
        <f t="shared" si="0"/>
        <v>6322.5</v>
      </c>
      <c r="H14" s="40">
        <f t="shared" si="1"/>
        <v>15</v>
      </c>
      <c r="I14" s="41"/>
      <c r="J14" s="42">
        <f t="shared" si="2"/>
        <v>6322.5</v>
      </c>
      <c r="K14" s="40">
        <f t="shared" si="10"/>
        <v>15</v>
      </c>
      <c r="L14" s="41">
        <v>1</v>
      </c>
      <c r="M14" s="41"/>
      <c r="N14" s="42">
        <f>(J14+(L14*450))</f>
        <v>6772.5</v>
      </c>
      <c r="O14" s="40">
        <f t="shared" si="3"/>
        <v>16</v>
      </c>
      <c r="P14" s="41"/>
      <c r="Q14" s="41"/>
      <c r="R14" s="42">
        <f t="shared" si="11"/>
        <v>6772.5</v>
      </c>
      <c r="S14" s="40">
        <f t="shared" si="5"/>
        <v>16</v>
      </c>
      <c r="T14" s="41"/>
      <c r="U14" s="41"/>
      <c r="V14" s="42">
        <f t="shared" si="12"/>
        <v>6772.5</v>
      </c>
      <c r="W14" s="43">
        <f t="shared" si="6"/>
        <v>16</v>
      </c>
      <c r="X14" s="41"/>
      <c r="Y14" s="42">
        <f t="shared" si="13"/>
        <v>6772.5</v>
      </c>
      <c r="Z14" s="43">
        <f t="shared" si="7"/>
        <v>16</v>
      </c>
      <c r="AA14" s="41"/>
      <c r="AB14" s="42">
        <f t="shared" si="14"/>
        <v>6772.5</v>
      </c>
      <c r="AC14" s="43">
        <f t="shared" si="8"/>
        <v>16</v>
      </c>
      <c r="AD14" s="41"/>
      <c r="AE14" s="42">
        <f t="shared" si="15"/>
        <v>6772.5</v>
      </c>
      <c r="AF14" s="43">
        <f t="shared" si="9"/>
        <v>16</v>
      </c>
      <c r="AG14" s="41"/>
      <c r="AH14" s="42">
        <f t="shared" si="16"/>
        <v>6772.5</v>
      </c>
      <c r="AI14" s="36">
        <f t="shared" si="17"/>
        <v>0</v>
      </c>
      <c r="AJ14" s="44">
        <v>2</v>
      </c>
      <c r="AK14" s="38">
        <v>1</v>
      </c>
    </row>
    <row r="15" spans="1:40" x14ac:dyDescent="0.25">
      <c r="A15" s="39" t="s">
        <v>30</v>
      </c>
      <c r="B15" s="40">
        <v>18</v>
      </c>
      <c r="C15" s="41"/>
      <c r="D15" s="42">
        <f>7830+450</f>
        <v>8280</v>
      </c>
      <c r="E15" s="40">
        <f t="shared" si="4"/>
        <v>18</v>
      </c>
      <c r="F15" s="41"/>
      <c r="G15" s="42">
        <f t="shared" si="0"/>
        <v>8280</v>
      </c>
      <c r="H15" s="40">
        <f t="shared" si="1"/>
        <v>18</v>
      </c>
      <c r="I15" s="41">
        <v>1</v>
      </c>
      <c r="J15" s="42">
        <f t="shared" si="2"/>
        <v>8280</v>
      </c>
      <c r="K15" s="40">
        <f>H15+I15</f>
        <v>19</v>
      </c>
      <c r="L15" s="41"/>
      <c r="M15" s="41"/>
      <c r="N15" s="42">
        <f t="shared" ref="N15:N26" si="18">(J15+(L15*450))</f>
        <v>8280</v>
      </c>
      <c r="O15" s="40">
        <f t="shared" si="3"/>
        <v>19</v>
      </c>
      <c r="P15" s="41"/>
      <c r="Q15" s="41"/>
      <c r="R15" s="42">
        <f t="shared" si="11"/>
        <v>8280</v>
      </c>
      <c r="S15" s="40">
        <f t="shared" si="5"/>
        <v>19</v>
      </c>
      <c r="T15" s="41"/>
      <c r="U15" s="41"/>
      <c r="V15" s="42">
        <f t="shared" si="12"/>
        <v>8280</v>
      </c>
      <c r="W15" s="43">
        <f t="shared" si="6"/>
        <v>19</v>
      </c>
      <c r="X15" s="41"/>
      <c r="Y15" s="42">
        <f t="shared" si="13"/>
        <v>8280</v>
      </c>
      <c r="Z15" s="43">
        <f t="shared" si="7"/>
        <v>19</v>
      </c>
      <c r="AA15" s="41"/>
      <c r="AB15" s="42">
        <f t="shared" si="14"/>
        <v>8280</v>
      </c>
      <c r="AC15" s="43">
        <f t="shared" si="8"/>
        <v>19</v>
      </c>
      <c r="AD15" s="41"/>
      <c r="AE15" s="42">
        <f t="shared" si="15"/>
        <v>8280</v>
      </c>
      <c r="AF15" s="43">
        <f t="shared" si="9"/>
        <v>19</v>
      </c>
      <c r="AG15" s="41"/>
      <c r="AH15" s="42">
        <f t="shared" si="16"/>
        <v>8280</v>
      </c>
      <c r="AI15" s="36">
        <f t="shared" si="17"/>
        <v>0</v>
      </c>
      <c r="AJ15" s="44">
        <v>3</v>
      </c>
      <c r="AK15" s="38">
        <v>1</v>
      </c>
    </row>
    <row r="16" spans="1:40" x14ac:dyDescent="0.25">
      <c r="A16" s="39" t="s">
        <v>31</v>
      </c>
      <c r="B16" s="40">
        <v>20</v>
      </c>
      <c r="C16" s="41">
        <v>3</v>
      </c>
      <c r="D16" s="42">
        <v>8887.5</v>
      </c>
      <c r="E16" s="40">
        <f t="shared" si="4"/>
        <v>17</v>
      </c>
      <c r="F16" s="41"/>
      <c r="G16" s="42">
        <f t="shared" si="0"/>
        <v>7537.5</v>
      </c>
      <c r="H16" s="40">
        <f t="shared" si="1"/>
        <v>17</v>
      </c>
      <c r="I16" s="41"/>
      <c r="J16" s="42">
        <f t="shared" si="2"/>
        <v>7537.5</v>
      </c>
      <c r="K16" s="40">
        <f t="shared" si="10"/>
        <v>17</v>
      </c>
      <c r="L16" s="41">
        <v>1</v>
      </c>
      <c r="M16" s="41"/>
      <c r="N16" s="42">
        <f t="shared" si="18"/>
        <v>7987.5</v>
      </c>
      <c r="O16" s="40">
        <f t="shared" si="3"/>
        <v>18</v>
      </c>
      <c r="P16" s="41"/>
      <c r="Q16" s="41"/>
      <c r="R16" s="42">
        <f t="shared" si="11"/>
        <v>7987.5</v>
      </c>
      <c r="S16" s="40">
        <f t="shared" si="5"/>
        <v>18</v>
      </c>
      <c r="T16" s="41"/>
      <c r="U16" s="41"/>
      <c r="V16" s="42">
        <f t="shared" si="12"/>
        <v>7987.5</v>
      </c>
      <c r="W16" s="43">
        <f t="shared" si="6"/>
        <v>18</v>
      </c>
      <c r="X16" s="41"/>
      <c r="Y16" s="42">
        <f t="shared" si="13"/>
        <v>7987.5</v>
      </c>
      <c r="Z16" s="43">
        <f t="shared" si="7"/>
        <v>18</v>
      </c>
      <c r="AA16" s="41"/>
      <c r="AB16" s="42">
        <f t="shared" si="14"/>
        <v>7987.5</v>
      </c>
      <c r="AC16" s="43">
        <f t="shared" si="8"/>
        <v>18</v>
      </c>
      <c r="AD16" s="41"/>
      <c r="AE16" s="42">
        <f t="shared" si="15"/>
        <v>7987.5</v>
      </c>
      <c r="AF16" s="43">
        <f t="shared" si="9"/>
        <v>18</v>
      </c>
      <c r="AG16" s="41"/>
      <c r="AH16" s="42">
        <f t="shared" si="16"/>
        <v>7987.5</v>
      </c>
      <c r="AI16" s="36">
        <f t="shared" si="17"/>
        <v>3</v>
      </c>
      <c r="AJ16" s="44">
        <v>1</v>
      </c>
      <c r="AK16" s="38" t="s">
        <v>32</v>
      </c>
    </row>
    <row r="17" spans="1:40" x14ac:dyDescent="0.25">
      <c r="A17" s="39" t="s">
        <v>33</v>
      </c>
      <c r="B17" s="40">
        <v>30</v>
      </c>
      <c r="C17" s="41"/>
      <c r="D17" s="42">
        <v>12825</v>
      </c>
      <c r="E17" s="40">
        <f t="shared" si="4"/>
        <v>30</v>
      </c>
      <c r="F17" s="41"/>
      <c r="G17" s="42">
        <f t="shared" si="0"/>
        <v>12825</v>
      </c>
      <c r="H17" s="40">
        <f t="shared" si="1"/>
        <v>30</v>
      </c>
      <c r="I17" s="41"/>
      <c r="J17" s="42">
        <f t="shared" si="2"/>
        <v>12825</v>
      </c>
      <c r="K17" s="40">
        <f t="shared" si="10"/>
        <v>30</v>
      </c>
      <c r="L17" s="41"/>
      <c r="M17" s="41"/>
      <c r="N17" s="42">
        <f t="shared" si="18"/>
        <v>12825</v>
      </c>
      <c r="O17" s="40">
        <f t="shared" si="3"/>
        <v>30</v>
      </c>
      <c r="P17" s="41"/>
      <c r="Q17" s="41"/>
      <c r="R17" s="42">
        <f t="shared" si="11"/>
        <v>12825</v>
      </c>
      <c r="S17" s="40">
        <f t="shared" si="5"/>
        <v>30</v>
      </c>
      <c r="T17" s="41"/>
      <c r="U17" s="41"/>
      <c r="V17" s="42">
        <f t="shared" si="12"/>
        <v>12825</v>
      </c>
      <c r="W17" s="43">
        <f t="shared" si="6"/>
        <v>30</v>
      </c>
      <c r="X17" s="41"/>
      <c r="Y17" s="42">
        <f t="shared" si="13"/>
        <v>12825</v>
      </c>
      <c r="Z17" s="43">
        <f t="shared" si="7"/>
        <v>30</v>
      </c>
      <c r="AA17" s="41"/>
      <c r="AB17" s="42">
        <f t="shared" si="14"/>
        <v>12825</v>
      </c>
      <c r="AC17" s="43">
        <f t="shared" si="8"/>
        <v>30</v>
      </c>
      <c r="AD17" s="41"/>
      <c r="AE17" s="42">
        <f t="shared" si="15"/>
        <v>12825</v>
      </c>
      <c r="AF17" s="43">
        <f t="shared" si="9"/>
        <v>30</v>
      </c>
      <c r="AG17" s="41"/>
      <c r="AH17" s="42">
        <f t="shared" si="16"/>
        <v>12825</v>
      </c>
      <c r="AI17" s="36">
        <f t="shared" si="17"/>
        <v>0</v>
      </c>
      <c r="AJ17" s="44">
        <v>4</v>
      </c>
      <c r="AK17" s="38">
        <v>5</v>
      </c>
    </row>
    <row r="18" spans="1:40" x14ac:dyDescent="0.25">
      <c r="A18" s="39" t="s">
        <v>34</v>
      </c>
      <c r="B18" s="40">
        <v>32</v>
      </c>
      <c r="C18" s="41"/>
      <c r="D18" s="42">
        <v>13995</v>
      </c>
      <c r="E18" s="40">
        <f t="shared" si="4"/>
        <v>32</v>
      </c>
      <c r="F18" s="41"/>
      <c r="G18" s="42">
        <f t="shared" si="0"/>
        <v>13995</v>
      </c>
      <c r="H18" s="40">
        <f t="shared" si="1"/>
        <v>32</v>
      </c>
      <c r="I18" s="41"/>
      <c r="J18" s="42">
        <f t="shared" si="2"/>
        <v>13995</v>
      </c>
      <c r="K18" s="40">
        <f t="shared" si="10"/>
        <v>32</v>
      </c>
      <c r="L18" s="41">
        <v>1</v>
      </c>
      <c r="M18" s="41"/>
      <c r="N18" s="42">
        <f t="shared" si="18"/>
        <v>14445</v>
      </c>
      <c r="O18" s="40">
        <f t="shared" si="3"/>
        <v>33</v>
      </c>
      <c r="P18" s="41"/>
      <c r="Q18" s="41"/>
      <c r="R18" s="42">
        <f t="shared" si="11"/>
        <v>14445</v>
      </c>
      <c r="S18" s="40">
        <f t="shared" si="5"/>
        <v>33</v>
      </c>
      <c r="T18" s="41"/>
      <c r="U18" s="41"/>
      <c r="V18" s="42">
        <f t="shared" si="12"/>
        <v>14445</v>
      </c>
      <c r="W18" s="43">
        <f t="shared" si="6"/>
        <v>33</v>
      </c>
      <c r="X18" s="41"/>
      <c r="Y18" s="42">
        <f t="shared" si="13"/>
        <v>14445</v>
      </c>
      <c r="Z18" s="43">
        <f t="shared" si="7"/>
        <v>33</v>
      </c>
      <c r="AA18" s="41"/>
      <c r="AB18" s="42">
        <f t="shared" si="14"/>
        <v>14445</v>
      </c>
      <c r="AC18" s="43">
        <f t="shared" si="8"/>
        <v>33</v>
      </c>
      <c r="AD18" s="41"/>
      <c r="AE18" s="42">
        <f t="shared" si="15"/>
        <v>14445</v>
      </c>
      <c r="AF18" s="43">
        <f t="shared" si="9"/>
        <v>33</v>
      </c>
      <c r="AG18" s="41"/>
      <c r="AH18" s="42">
        <f t="shared" si="16"/>
        <v>14445</v>
      </c>
      <c r="AI18" s="36">
        <f t="shared" si="17"/>
        <v>0</v>
      </c>
      <c r="AJ18" s="44">
        <v>9</v>
      </c>
      <c r="AK18" s="38">
        <v>2</v>
      </c>
    </row>
    <row r="19" spans="1:40" x14ac:dyDescent="0.25">
      <c r="A19" s="39" t="s">
        <v>35</v>
      </c>
      <c r="B19" s="40">
        <v>32</v>
      </c>
      <c r="C19" s="41"/>
      <c r="D19" s="42">
        <v>14062.5</v>
      </c>
      <c r="E19" s="40">
        <f t="shared" si="4"/>
        <v>32</v>
      </c>
      <c r="F19" s="41"/>
      <c r="G19" s="42">
        <f t="shared" si="0"/>
        <v>14062.5</v>
      </c>
      <c r="H19" s="40">
        <f t="shared" si="1"/>
        <v>32</v>
      </c>
      <c r="I19" s="41"/>
      <c r="J19" s="42">
        <f t="shared" si="2"/>
        <v>14062.5</v>
      </c>
      <c r="K19" s="40">
        <f t="shared" si="10"/>
        <v>32</v>
      </c>
      <c r="L19" s="41">
        <v>3</v>
      </c>
      <c r="M19" s="41"/>
      <c r="N19" s="42">
        <f t="shared" si="18"/>
        <v>15412.5</v>
      </c>
      <c r="O19" s="40">
        <f t="shared" si="3"/>
        <v>35</v>
      </c>
      <c r="P19" s="41"/>
      <c r="Q19" s="41"/>
      <c r="R19" s="42">
        <f t="shared" si="11"/>
        <v>15412.5</v>
      </c>
      <c r="S19" s="40">
        <f t="shared" si="5"/>
        <v>35</v>
      </c>
      <c r="T19" s="41"/>
      <c r="U19" s="41"/>
      <c r="V19" s="42">
        <f t="shared" si="12"/>
        <v>15412.5</v>
      </c>
      <c r="W19" s="43">
        <f t="shared" si="6"/>
        <v>35</v>
      </c>
      <c r="X19" s="41"/>
      <c r="Y19" s="42">
        <f t="shared" si="13"/>
        <v>15412.5</v>
      </c>
      <c r="Z19" s="43">
        <f t="shared" si="7"/>
        <v>35</v>
      </c>
      <c r="AA19" s="41"/>
      <c r="AB19" s="42">
        <f t="shared" si="14"/>
        <v>15412.5</v>
      </c>
      <c r="AC19" s="43">
        <f t="shared" si="8"/>
        <v>35</v>
      </c>
      <c r="AD19" s="41"/>
      <c r="AE19" s="42">
        <f t="shared" si="15"/>
        <v>15412.5</v>
      </c>
      <c r="AF19" s="43">
        <f t="shared" si="9"/>
        <v>35</v>
      </c>
      <c r="AG19" s="41"/>
      <c r="AH19" s="42">
        <f t="shared" si="16"/>
        <v>15412.5</v>
      </c>
      <c r="AI19" s="36">
        <f t="shared" si="17"/>
        <v>0</v>
      </c>
      <c r="AJ19" s="44">
        <v>4</v>
      </c>
      <c r="AK19" s="38">
        <v>3</v>
      </c>
    </row>
    <row r="20" spans="1:40" x14ac:dyDescent="0.25">
      <c r="A20" s="39" t="s">
        <v>36</v>
      </c>
      <c r="B20" s="40">
        <v>29</v>
      </c>
      <c r="C20" s="41">
        <v>1</v>
      </c>
      <c r="D20" s="42">
        <v>12667.5</v>
      </c>
      <c r="E20" s="40">
        <f t="shared" si="4"/>
        <v>28</v>
      </c>
      <c r="F20" s="41"/>
      <c r="G20" s="42">
        <f t="shared" si="0"/>
        <v>12217.5</v>
      </c>
      <c r="H20" s="40">
        <f t="shared" si="1"/>
        <v>28</v>
      </c>
      <c r="I20" s="41"/>
      <c r="J20" s="42">
        <f t="shared" si="2"/>
        <v>12217.5</v>
      </c>
      <c r="K20" s="40">
        <f t="shared" si="10"/>
        <v>28</v>
      </c>
      <c r="L20" s="41"/>
      <c r="M20" s="41">
        <v>1</v>
      </c>
      <c r="N20" s="42">
        <f t="shared" si="18"/>
        <v>12217.5</v>
      </c>
      <c r="O20" s="40">
        <f t="shared" si="3"/>
        <v>27</v>
      </c>
      <c r="P20" s="41"/>
      <c r="Q20" s="41"/>
      <c r="R20" s="42">
        <f>(N20-(M20*427.5))</f>
        <v>11790</v>
      </c>
      <c r="S20" s="40">
        <f t="shared" si="5"/>
        <v>27</v>
      </c>
      <c r="T20" s="41"/>
      <c r="U20" s="41"/>
      <c r="V20" s="42">
        <f t="shared" si="12"/>
        <v>11790</v>
      </c>
      <c r="W20" s="43">
        <f t="shared" si="6"/>
        <v>27</v>
      </c>
      <c r="X20" s="41"/>
      <c r="Y20" s="42">
        <f t="shared" si="13"/>
        <v>11790</v>
      </c>
      <c r="Z20" s="43">
        <f t="shared" si="7"/>
        <v>27</v>
      </c>
      <c r="AA20" s="41"/>
      <c r="AB20" s="42">
        <f t="shared" si="14"/>
        <v>11790</v>
      </c>
      <c r="AC20" s="43">
        <f t="shared" si="8"/>
        <v>27</v>
      </c>
      <c r="AD20" s="41"/>
      <c r="AE20" s="42">
        <f t="shared" si="15"/>
        <v>11790</v>
      </c>
      <c r="AF20" s="43">
        <f t="shared" si="9"/>
        <v>27</v>
      </c>
      <c r="AG20" s="41"/>
      <c r="AH20" s="42">
        <f t="shared" si="16"/>
        <v>11790</v>
      </c>
      <c r="AI20" s="36">
        <f t="shared" si="17"/>
        <v>2</v>
      </c>
      <c r="AJ20" s="44">
        <v>6</v>
      </c>
      <c r="AK20" s="38">
        <v>4</v>
      </c>
    </row>
    <row r="21" spans="1:40" x14ac:dyDescent="0.25">
      <c r="A21" s="39" t="s">
        <v>37</v>
      </c>
      <c r="B21" s="40">
        <v>20</v>
      </c>
      <c r="C21" s="41"/>
      <c r="D21" s="42">
        <v>8775</v>
      </c>
      <c r="E21" s="40">
        <f t="shared" si="4"/>
        <v>20</v>
      </c>
      <c r="F21" s="41"/>
      <c r="G21" s="42">
        <f t="shared" si="0"/>
        <v>8775</v>
      </c>
      <c r="H21" s="40">
        <f t="shared" si="1"/>
        <v>20</v>
      </c>
      <c r="I21" s="41"/>
      <c r="J21" s="42">
        <f>(G21-(F21*405))</f>
        <v>8775</v>
      </c>
      <c r="K21" s="40">
        <f t="shared" si="10"/>
        <v>20</v>
      </c>
      <c r="L21" s="41">
        <v>1</v>
      </c>
      <c r="M21" s="41"/>
      <c r="N21" s="42">
        <f t="shared" si="18"/>
        <v>9225</v>
      </c>
      <c r="O21" s="40">
        <f t="shared" si="3"/>
        <v>21</v>
      </c>
      <c r="P21" s="41"/>
      <c r="Q21" s="41"/>
      <c r="R21" s="42">
        <f t="shared" si="11"/>
        <v>9225</v>
      </c>
      <c r="S21" s="40">
        <f t="shared" si="5"/>
        <v>21</v>
      </c>
      <c r="T21" s="41">
        <v>1</v>
      </c>
      <c r="U21" s="41"/>
      <c r="V21" s="42">
        <f>(R21+(T21*450))</f>
        <v>9675</v>
      </c>
      <c r="W21" s="43">
        <f>S21+T21</f>
        <v>22</v>
      </c>
      <c r="X21" s="41"/>
      <c r="Y21" s="42">
        <f>(V21+(U21*450))</f>
        <v>9675</v>
      </c>
      <c r="Z21" s="43">
        <f t="shared" si="7"/>
        <v>22</v>
      </c>
      <c r="AA21" s="41"/>
      <c r="AB21" s="42">
        <f t="shared" si="14"/>
        <v>9675</v>
      </c>
      <c r="AC21" s="43">
        <f t="shared" si="8"/>
        <v>22</v>
      </c>
      <c r="AD21" s="41"/>
      <c r="AE21" s="42">
        <f t="shared" si="15"/>
        <v>9675</v>
      </c>
      <c r="AF21" s="43">
        <f t="shared" si="9"/>
        <v>22</v>
      </c>
      <c r="AG21" s="41"/>
      <c r="AH21" s="42">
        <f t="shared" si="16"/>
        <v>9675</v>
      </c>
      <c r="AI21" s="36">
        <f t="shared" si="17"/>
        <v>0</v>
      </c>
      <c r="AJ21" s="44">
        <v>3</v>
      </c>
      <c r="AK21" s="38" t="s">
        <v>32</v>
      </c>
    </row>
    <row r="22" spans="1:40" x14ac:dyDescent="0.25">
      <c r="A22" s="39" t="s">
        <v>38</v>
      </c>
      <c r="B22" s="40">
        <v>38</v>
      </c>
      <c r="C22" s="41"/>
      <c r="D22" s="42">
        <v>16762.5</v>
      </c>
      <c r="E22" s="40">
        <f t="shared" si="4"/>
        <v>38</v>
      </c>
      <c r="F22" s="41"/>
      <c r="G22" s="42">
        <f t="shared" si="0"/>
        <v>16762.5</v>
      </c>
      <c r="H22" s="40">
        <f t="shared" si="1"/>
        <v>38</v>
      </c>
      <c r="I22" s="41"/>
      <c r="J22" s="42">
        <f>(G22-(F22*427.5))</f>
        <v>16762.5</v>
      </c>
      <c r="K22" s="40">
        <f t="shared" si="10"/>
        <v>38</v>
      </c>
      <c r="L22" s="41"/>
      <c r="M22" s="41"/>
      <c r="N22" s="42">
        <f t="shared" si="18"/>
        <v>16762.5</v>
      </c>
      <c r="O22" s="40">
        <f t="shared" si="3"/>
        <v>38</v>
      </c>
      <c r="P22" s="41"/>
      <c r="Q22" s="41"/>
      <c r="R22" s="42">
        <f t="shared" si="11"/>
        <v>16762.5</v>
      </c>
      <c r="S22" s="40">
        <f t="shared" si="5"/>
        <v>38</v>
      </c>
      <c r="T22" s="41"/>
      <c r="U22" s="41"/>
      <c r="V22" s="42">
        <f t="shared" si="12"/>
        <v>16762.5</v>
      </c>
      <c r="W22" s="43">
        <f t="shared" si="6"/>
        <v>38</v>
      </c>
      <c r="X22" s="41"/>
      <c r="Y22" s="42">
        <f t="shared" si="13"/>
        <v>16762.5</v>
      </c>
      <c r="Z22" s="43">
        <f t="shared" si="7"/>
        <v>38</v>
      </c>
      <c r="AA22" s="45"/>
      <c r="AB22" s="42">
        <f t="shared" si="14"/>
        <v>16762.5</v>
      </c>
      <c r="AC22" s="43">
        <f t="shared" si="8"/>
        <v>38</v>
      </c>
      <c r="AD22" s="45"/>
      <c r="AE22" s="42">
        <f t="shared" si="15"/>
        <v>16762.5</v>
      </c>
      <c r="AF22" s="43">
        <f t="shared" si="9"/>
        <v>38</v>
      </c>
      <c r="AG22" s="45"/>
      <c r="AH22" s="42">
        <f t="shared" si="16"/>
        <v>16762.5</v>
      </c>
      <c r="AI22" s="36">
        <f t="shared" si="17"/>
        <v>0</v>
      </c>
      <c r="AJ22" s="44">
        <v>4</v>
      </c>
      <c r="AK22" s="38">
        <v>2</v>
      </c>
    </row>
    <row r="23" spans="1:40" x14ac:dyDescent="0.25">
      <c r="A23" s="39" t="s">
        <v>39</v>
      </c>
      <c r="B23" s="40">
        <v>26</v>
      </c>
      <c r="C23" s="41">
        <v>1</v>
      </c>
      <c r="D23" s="42">
        <v>11520</v>
      </c>
      <c r="E23" s="40">
        <f t="shared" si="4"/>
        <v>25</v>
      </c>
      <c r="F23" s="41"/>
      <c r="G23" s="42">
        <f t="shared" si="0"/>
        <v>11070</v>
      </c>
      <c r="H23" s="40">
        <f t="shared" si="1"/>
        <v>25</v>
      </c>
      <c r="I23" s="41"/>
      <c r="J23" s="42">
        <f>(G23-(F23*450))</f>
        <v>11070</v>
      </c>
      <c r="K23" s="40">
        <f t="shared" si="10"/>
        <v>25</v>
      </c>
      <c r="L23" s="41">
        <v>3</v>
      </c>
      <c r="M23" s="41"/>
      <c r="N23" s="42">
        <f t="shared" si="18"/>
        <v>12420</v>
      </c>
      <c r="O23" s="40">
        <f t="shared" si="3"/>
        <v>28</v>
      </c>
      <c r="P23" s="41"/>
      <c r="Q23" s="41"/>
      <c r="R23" s="42">
        <f t="shared" si="11"/>
        <v>12420</v>
      </c>
      <c r="S23" s="40">
        <f t="shared" si="5"/>
        <v>28</v>
      </c>
      <c r="T23" s="41"/>
      <c r="U23" s="41"/>
      <c r="V23" s="42">
        <f t="shared" si="12"/>
        <v>12420</v>
      </c>
      <c r="W23" s="43">
        <f t="shared" si="6"/>
        <v>28</v>
      </c>
      <c r="X23" s="41"/>
      <c r="Y23" s="42">
        <f t="shared" si="13"/>
        <v>12420</v>
      </c>
      <c r="Z23" s="43">
        <f t="shared" si="7"/>
        <v>28</v>
      </c>
      <c r="AA23" s="45"/>
      <c r="AB23" s="42">
        <f t="shared" si="14"/>
        <v>12420</v>
      </c>
      <c r="AC23" s="43">
        <f t="shared" si="8"/>
        <v>28</v>
      </c>
      <c r="AD23" s="45"/>
      <c r="AE23" s="42">
        <f t="shared" si="15"/>
        <v>12420</v>
      </c>
      <c r="AF23" s="43">
        <f t="shared" si="9"/>
        <v>28</v>
      </c>
      <c r="AG23" s="45"/>
      <c r="AH23" s="42">
        <f t="shared" si="16"/>
        <v>12420</v>
      </c>
      <c r="AI23" s="36">
        <f t="shared" si="17"/>
        <v>1</v>
      </c>
      <c r="AJ23" s="44">
        <v>4</v>
      </c>
      <c r="AK23" s="38" t="s">
        <v>32</v>
      </c>
    </row>
    <row r="24" spans="1:40" x14ac:dyDescent="0.25">
      <c r="A24" s="39" t="s">
        <v>40</v>
      </c>
      <c r="B24" s="40">
        <v>33</v>
      </c>
      <c r="C24" s="41">
        <v>1</v>
      </c>
      <c r="D24" s="42">
        <v>14647.5</v>
      </c>
      <c r="E24" s="40">
        <f t="shared" si="4"/>
        <v>32</v>
      </c>
      <c r="F24" s="41"/>
      <c r="G24" s="42">
        <f t="shared" si="0"/>
        <v>14197.5</v>
      </c>
      <c r="H24" s="40">
        <f t="shared" si="1"/>
        <v>32</v>
      </c>
      <c r="I24" s="41"/>
      <c r="J24" s="42">
        <f>(G24-(F24*450))</f>
        <v>14197.5</v>
      </c>
      <c r="K24" s="40">
        <f t="shared" si="10"/>
        <v>32</v>
      </c>
      <c r="L24" s="41">
        <v>1</v>
      </c>
      <c r="M24" s="41">
        <v>1</v>
      </c>
      <c r="N24" s="42">
        <f t="shared" si="18"/>
        <v>14647.5</v>
      </c>
      <c r="O24" s="40">
        <f t="shared" si="3"/>
        <v>32</v>
      </c>
      <c r="P24" s="41"/>
      <c r="Q24" s="41"/>
      <c r="R24" s="42">
        <f t="shared" si="11"/>
        <v>14197.5</v>
      </c>
      <c r="S24" s="40">
        <f>P24+O24-Q24</f>
        <v>32</v>
      </c>
      <c r="T24" s="41"/>
      <c r="U24" s="41"/>
      <c r="V24" s="42">
        <f t="shared" si="12"/>
        <v>14197.5</v>
      </c>
      <c r="W24" s="43">
        <f t="shared" si="6"/>
        <v>32</v>
      </c>
      <c r="X24" s="41"/>
      <c r="Y24" s="42">
        <f t="shared" si="13"/>
        <v>14197.5</v>
      </c>
      <c r="Z24" s="43">
        <f t="shared" si="7"/>
        <v>32</v>
      </c>
      <c r="AA24" s="45"/>
      <c r="AB24" s="42">
        <f t="shared" si="14"/>
        <v>14197.5</v>
      </c>
      <c r="AC24" s="43">
        <f t="shared" si="8"/>
        <v>32</v>
      </c>
      <c r="AD24" s="45"/>
      <c r="AE24" s="42">
        <f t="shared" si="15"/>
        <v>14197.5</v>
      </c>
      <c r="AF24" s="43">
        <f t="shared" si="9"/>
        <v>32</v>
      </c>
      <c r="AG24" s="45"/>
      <c r="AH24" s="42">
        <f t="shared" si="16"/>
        <v>14197.5</v>
      </c>
      <c r="AI24" s="36">
        <f t="shared" si="17"/>
        <v>2</v>
      </c>
      <c r="AJ24" s="44">
        <v>6</v>
      </c>
      <c r="AK24" s="38">
        <v>2</v>
      </c>
    </row>
    <row r="25" spans="1:40" x14ac:dyDescent="0.25">
      <c r="A25" s="39" t="s">
        <v>41</v>
      </c>
      <c r="B25" s="40">
        <v>26</v>
      </c>
      <c r="C25" s="41">
        <v>1</v>
      </c>
      <c r="D25" s="42">
        <v>11430</v>
      </c>
      <c r="E25" s="40">
        <f t="shared" si="4"/>
        <v>25</v>
      </c>
      <c r="F25" s="41"/>
      <c r="G25" s="42">
        <f t="shared" si="0"/>
        <v>10980</v>
      </c>
      <c r="H25" s="40">
        <f t="shared" si="1"/>
        <v>25</v>
      </c>
      <c r="I25" s="41"/>
      <c r="J25" s="42">
        <f>(G25-(F25*450))</f>
        <v>10980</v>
      </c>
      <c r="K25" s="40">
        <f t="shared" si="10"/>
        <v>25</v>
      </c>
      <c r="L25" s="41">
        <v>1</v>
      </c>
      <c r="M25" s="41"/>
      <c r="N25" s="42">
        <f t="shared" si="18"/>
        <v>11430</v>
      </c>
      <c r="O25" s="40">
        <f t="shared" si="3"/>
        <v>26</v>
      </c>
      <c r="P25" s="41"/>
      <c r="Q25" s="41"/>
      <c r="R25" s="42">
        <f t="shared" si="11"/>
        <v>11430</v>
      </c>
      <c r="S25" s="40">
        <f t="shared" si="5"/>
        <v>26</v>
      </c>
      <c r="T25" s="41"/>
      <c r="U25" s="41"/>
      <c r="V25" s="42">
        <f t="shared" si="12"/>
        <v>11430</v>
      </c>
      <c r="W25" s="43">
        <f t="shared" si="6"/>
        <v>26</v>
      </c>
      <c r="X25" s="41"/>
      <c r="Y25" s="42">
        <f t="shared" si="13"/>
        <v>11430</v>
      </c>
      <c r="Z25" s="43">
        <f t="shared" si="7"/>
        <v>26</v>
      </c>
      <c r="AA25" s="45"/>
      <c r="AB25" s="42">
        <f t="shared" si="14"/>
        <v>11430</v>
      </c>
      <c r="AC25" s="43">
        <f t="shared" si="8"/>
        <v>26</v>
      </c>
      <c r="AD25" s="45"/>
      <c r="AE25" s="42">
        <f t="shared" si="15"/>
        <v>11430</v>
      </c>
      <c r="AF25" s="43">
        <f t="shared" si="9"/>
        <v>26</v>
      </c>
      <c r="AG25" s="45"/>
      <c r="AH25" s="42">
        <f t="shared" si="16"/>
        <v>11430</v>
      </c>
      <c r="AI25" s="36">
        <f t="shared" si="17"/>
        <v>1</v>
      </c>
      <c r="AJ25" s="44">
        <v>3</v>
      </c>
      <c r="AK25" s="38">
        <v>3</v>
      </c>
    </row>
    <row r="26" spans="1:40" x14ac:dyDescent="0.25">
      <c r="A26" s="39" t="s">
        <v>42</v>
      </c>
      <c r="B26" s="40">
        <v>21</v>
      </c>
      <c r="C26" s="41"/>
      <c r="D26" s="42">
        <v>9382.5</v>
      </c>
      <c r="E26" s="40">
        <f t="shared" si="4"/>
        <v>21</v>
      </c>
      <c r="F26" s="41"/>
      <c r="G26" s="42">
        <f t="shared" si="0"/>
        <v>9382.5</v>
      </c>
      <c r="H26" s="40">
        <f t="shared" si="1"/>
        <v>21</v>
      </c>
      <c r="I26" s="41"/>
      <c r="J26" s="42">
        <f>(G26-(F26*450))</f>
        <v>9382.5</v>
      </c>
      <c r="K26" s="40">
        <f t="shared" si="10"/>
        <v>21</v>
      </c>
      <c r="L26" s="41">
        <v>3</v>
      </c>
      <c r="M26" s="41"/>
      <c r="N26" s="42">
        <f t="shared" si="18"/>
        <v>10732.5</v>
      </c>
      <c r="O26" s="40">
        <f t="shared" si="3"/>
        <v>24</v>
      </c>
      <c r="P26" s="41"/>
      <c r="Q26" s="41"/>
      <c r="R26" s="42">
        <f t="shared" si="11"/>
        <v>10732.5</v>
      </c>
      <c r="S26" s="40">
        <f t="shared" si="5"/>
        <v>24</v>
      </c>
      <c r="T26" s="41"/>
      <c r="U26" s="41"/>
      <c r="V26" s="42">
        <f t="shared" si="12"/>
        <v>10732.5</v>
      </c>
      <c r="W26" s="43">
        <f t="shared" si="6"/>
        <v>24</v>
      </c>
      <c r="X26" s="41"/>
      <c r="Y26" s="42">
        <f t="shared" si="13"/>
        <v>10732.5</v>
      </c>
      <c r="Z26" s="43">
        <f t="shared" si="7"/>
        <v>24</v>
      </c>
      <c r="AA26" s="45"/>
      <c r="AB26" s="42">
        <f t="shared" si="14"/>
        <v>10732.5</v>
      </c>
      <c r="AC26" s="43">
        <f t="shared" si="8"/>
        <v>24</v>
      </c>
      <c r="AD26" s="45"/>
      <c r="AE26" s="42">
        <f t="shared" si="15"/>
        <v>10732.5</v>
      </c>
      <c r="AF26" s="43">
        <f t="shared" si="9"/>
        <v>24</v>
      </c>
      <c r="AG26" s="45"/>
      <c r="AH26" s="42">
        <f t="shared" si="16"/>
        <v>10732.5</v>
      </c>
      <c r="AI26" s="36">
        <f t="shared" si="17"/>
        <v>0</v>
      </c>
      <c r="AJ26" s="44">
        <v>4</v>
      </c>
      <c r="AK26" s="38">
        <v>1</v>
      </c>
    </row>
    <row r="27" spans="1:40" x14ac:dyDescent="0.25">
      <c r="A27" s="46" t="s">
        <v>43</v>
      </c>
      <c r="B27" s="47">
        <v>20</v>
      </c>
      <c r="C27" s="48"/>
      <c r="D27" s="49">
        <v>8887.5</v>
      </c>
      <c r="E27" s="47">
        <f t="shared" si="4"/>
        <v>20</v>
      </c>
      <c r="F27" s="48"/>
      <c r="G27" s="49">
        <f t="shared" si="0"/>
        <v>8887.5</v>
      </c>
      <c r="H27" s="47">
        <f t="shared" si="1"/>
        <v>20</v>
      </c>
      <c r="I27" s="48"/>
      <c r="J27" s="42">
        <f>(G27-(F27*450))</f>
        <v>8887.5</v>
      </c>
      <c r="K27" s="47">
        <f>H27-I27</f>
        <v>20</v>
      </c>
      <c r="L27" s="48"/>
      <c r="M27" s="48"/>
      <c r="N27" s="49">
        <f>(J27-(I27*450))</f>
        <v>8887.5</v>
      </c>
      <c r="O27" s="47">
        <f t="shared" si="3"/>
        <v>20</v>
      </c>
      <c r="P27" s="48"/>
      <c r="Q27" s="48"/>
      <c r="R27" s="49">
        <f>(N27-(M27*450))</f>
        <v>8887.5</v>
      </c>
      <c r="S27" s="47">
        <f t="shared" si="5"/>
        <v>20</v>
      </c>
      <c r="T27" s="48"/>
      <c r="U27" s="48">
        <v>3</v>
      </c>
      <c r="V27" s="49">
        <f>(R27-(1*450))</f>
        <v>8437.5</v>
      </c>
      <c r="W27" s="50">
        <f>S27-U27</f>
        <v>17</v>
      </c>
      <c r="X27" s="48"/>
      <c r="Y27" s="42">
        <f>(V27-(2*450))</f>
        <v>7537.5</v>
      </c>
      <c r="Z27" s="50">
        <f t="shared" si="7"/>
        <v>17</v>
      </c>
      <c r="AA27" s="48"/>
      <c r="AB27" s="42">
        <f t="shared" si="14"/>
        <v>7537.5</v>
      </c>
      <c r="AC27" s="50">
        <f t="shared" si="8"/>
        <v>17</v>
      </c>
      <c r="AD27" s="48"/>
      <c r="AE27" s="42">
        <f t="shared" si="15"/>
        <v>7537.5</v>
      </c>
      <c r="AF27" s="50">
        <f t="shared" si="9"/>
        <v>17</v>
      </c>
      <c r="AG27" s="48"/>
      <c r="AH27" s="42">
        <f t="shared" si="16"/>
        <v>7537.5</v>
      </c>
      <c r="AI27" s="36">
        <f>C27+F27+M27+Q27+U27+X27+AA27+AD27+AG27</f>
        <v>3</v>
      </c>
      <c r="AJ27" s="51">
        <v>5</v>
      </c>
      <c r="AK27" s="38" t="s">
        <v>32</v>
      </c>
    </row>
    <row r="28" spans="1:40" ht="22.5" customHeight="1" x14ac:dyDescent="0.25">
      <c r="A28" s="52" t="s">
        <v>44</v>
      </c>
      <c r="B28" s="53">
        <f t="shared" ref="B28:Q28" si="19">SUM(B11:B27)</f>
        <v>400</v>
      </c>
      <c r="C28" s="54">
        <f>SUM(C11:C27)</f>
        <v>9</v>
      </c>
      <c r="D28" s="55">
        <f>SUM(D11:D27)</f>
        <v>175927.5</v>
      </c>
      <c r="E28" s="53">
        <f t="shared" si="19"/>
        <v>391</v>
      </c>
      <c r="F28" s="56">
        <f t="shared" si="19"/>
        <v>0</v>
      </c>
      <c r="G28" s="57">
        <f t="shared" si="19"/>
        <v>171877.5</v>
      </c>
      <c r="H28" s="53">
        <f t="shared" si="19"/>
        <v>391</v>
      </c>
      <c r="I28" s="56">
        <f t="shared" si="19"/>
        <v>1</v>
      </c>
      <c r="J28" s="57">
        <f t="shared" si="19"/>
        <v>171877.5</v>
      </c>
      <c r="K28" s="53">
        <f t="shared" si="19"/>
        <v>392</v>
      </c>
      <c r="L28" s="56">
        <f t="shared" si="19"/>
        <v>15</v>
      </c>
      <c r="M28" s="58">
        <f t="shared" si="19"/>
        <v>3</v>
      </c>
      <c r="N28" s="55">
        <f t="shared" si="19"/>
        <v>178627.5</v>
      </c>
      <c r="O28" s="53">
        <f t="shared" si="19"/>
        <v>404</v>
      </c>
      <c r="P28" s="54">
        <f t="shared" si="19"/>
        <v>0</v>
      </c>
      <c r="Q28" s="56">
        <f t="shared" si="19"/>
        <v>0</v>
      </c>
      <c r="R28" s="57">
        <f>SUM(R11:R27)</f>
        <v>177300</v>
      </c>
      <c r="S28" s="53">
        <f>SUM(S11:S27)</f>
        <v>404</v>
      </c>
      <c r="T28" s="54">
        <f t="shared" ref="T28:AJ28" si="20">SUM(T11:T27)</f>
        <v>1</v>
      </c>
      <c r="U28" s="56">
        <f>SUM(U11:U27)</f>
        <v>3</v>
      </c>
      <c r="V28" s="55">
        <f t="shared" si="20"/>
        <v>177300</v>
      </c>
      <c r="W28" s="53">
        <f t="shared" si="20"/>
        <v>402</v>
      </c>
      <c r="X28" s="56">
        <f t="shared" si="20"/>
        <v>0</v>
      </c>
      <c r="Y28" s="57">
        <f t="shared" si="20"/>
        <v>176400</v>
      </c>
      <c r="Z28" s="53">
        <f t="shared" si="20"/>
        <v>402</v>
      </c>
      <c r="AA28" s="56">
        <f t="shared" si="20"/>
        <v>0</v>
      </c>
      <c r="AB28" s="57">
        <f t="shared" si="20"/>
        <v>176400</v>
      </c>
      <c r="AC28" s="53">
        <f t="shared" si="20"/>
        <v>402</v>
      </c>
      <c r="AD28" s="56">
        <f t="shared" si="20"/>
        <v>0</v>
      </c>
      <c r="AE28" s="57">
        <f t="shared" si="20"/>
        <v>176400</v>
      </c>
      <c r="AF28" s="53">
        <f t="shared" si="20"/>
        <v>402</v>
      </c>
      <c r="AG28" s="56">
        <f t="shared" si="20"/>
        <v>0</v>
      </c>
      <c r="AH28" s="55">
        <f t="shared" si="20"/>
        <v>176400</v>
      </c>
      <c r="AI28" s="59">
        <f t="shared" si="20"/>
        <v>15</v>
      </c>
      <c r="AJ28" s="53">
        <f t="shared" si="20"/>
        <v>64</v>
      </c>
      <c r="AK28" s="60">
        <f>SUM(AK11:AK27)</f>
        <v>27</v>
      </c>
    </row>
    <row r="29" spans="1:40" ht="19.5" customHeight="1" x14ac:dyDescent="0.25">
      <c r="A29" s="61" t="s">
        <v>45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3">
        <f>D28+G28+J28+N28+R28+V28+Y28+AB28+AE28+AH28</f>
        <v>1758510</v>
      </c>
      <c r="AI29" s="63"/>
      <c r="AJ29" s="63"/>
      <c r="AK29" s="64"/>
    </row>
    <row r="30" spans="1:40" ht="12" customHeight="1" x14ac:dyDescent="0.25">
      <c r="AB30" s="65"/>
      <c r="AJ30" s="1"/>
    </row>
    <row r="31" spans="1:40" ht="15.75" x14ac:dyDescent="0.25">
      <c r="A31" s="66" t="s">
        <v>46</v>
      </c>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8"/>
    </row>
    <row r="32" spans="1:40" x14ac:dyDescent="0.25">
      <c r="A32" s="69" t="s">
        <v>47</v>
      </c>
      <c r="B32" s="70" t="s">
        <v>48</v>
      </c>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2"/>
    </row>
    <row r="33" spans="1:40" x14ac:dyDescent="0.25">
      <c r="A33" s="73"/>
      <c r="B33" s="74" t="s">
        <v>49</v>
      </c>
      <c r="C33" s="74"/>
      <c r="D33" s="74"/>
      <c r="E33" s="74" t="s">
        <v>7</v>
      </c>
      <c r="F33" s="74"/>
      <c r="G33" s="74"/>
      <c r="H33" s="74" t="s">
        <v>8</v>
      </c>
      <c r="I33" s="74"/>
      <c r="J33" s="74"/>
      <c r="K33" s="74" t="s">
        <v>9</v>
      </c>
      <c r="L33" s="74"/>
      <c r="M33" s="74"/>
      <c r="N33" s="74"/>
      <c r="O33" s="74" t="s">
        <v>10</v>
      </c>
      <c r="P33" s="74"/>
      <c r="Q33" s="74"/>
      <c r="R33" s="74"/>
      <c r="S33" s="74" t="s">
        <v>11</v>
      </c>
      <c r="T33" s="74"/>
      <c r="U33" s="74"/>
      <c r="V33" s="74"/>
      <c r="W33" s="74" t="s">
        <v>12</v>
      </c>
      <c r="X33" s="74"/>
      <c r="Y33" s="74"/>
      <c r="Z33" s="74" t="s">
        <v>13</v>
      </c>
      <c r="AA33" s="74"/>
      <c r="AB33" s="74"/>
      <c r="AC33" s="74" t="s">
        <v>14</v>
      </c>
      <c r="AD33" s="74"/>
      <c r="AE33" s="74"/>
      <c r="AF33" s="74" t="s">
        <v>15</v>
      </c>
      <c r="AG33" s="74"/>
      <c r="AH33" s="74"/>
      <c r="AI33" s="74" t="s">
        <v>16</v>
      </c>
      <c r="AJ33" s="74"/>
      <c r="AK33" s="74"/>
      <c r="AL33" s="74" t="s">
        <v>50</v>
      </c>
      <c r="AM33" s="74"/>
      <c r="AN33" s="74"/>
    </row>
    <row r="34" spans="1:40" x14ac:dyDescent="0.25">
      <c r="A34" s="75" t="s">
        <v>51</v>
      </c>
      <c r="B34" s="76">
        <v>345667.5</v>
      </c>
      <c r="C34" s="76"/>
      <c r="D34" s="76"/>
      <c r="E34" s="76">
        <v>74655</v>
      </c>
      <c r="F34" s="76"/>
      <c r="G34" s="76"/>
      <c r="H34" s="76">
        <v>118980</v>
      </c>
      <c r="I34" s="76"/>
      <c r="J34" s="76"/>
      <c r="K34" s="76">
        <v>58747.5</v>
      </c>
      <c r="L34" s="76"/>
      <c r="M34" s="76"/>
      <c r="N34" s="76"/>
      <c r="O34" s="76">
        <v>131130</v>
      </c>
      <c r="P34" s="76"/>
      <c r="Q34" s="76"/>
      <c r="R34" s="76"/>
      <c r="S34" s="76">
        <v>128407.5</v>
      </c>
      <c r="T34" s="76"/>
      <c r="U34" s="76"/>
      <c r="V34" s="76"/>
      <c r="W34" s="76">
        <v>74160</v>
      </c>
      <c r="X34" s="76"/>
      <c r="Y34" s="76"/>
      <c r="Z34" s="76">
        <v>0</v>
      </c>
      <c r="AA34" s="76"/>
      <c r="AB34" s="76"/>
      <c r="AC34" s="76">
        <v>0</v>
      </c>
      <c r="AD34" s="76"/>
      <c r="AE34" s="76"/>
      <c r="AF34" s="76">
        <v>0</v>
      </c>
      <c r="AG34" s="76"/>
      <c r="AH34" s="76"/>
      <c r="AI34" s="76">
        <v>0</v>
      </c>
      <c r="AJ34" s="76"/>
      <c r="AK34" s="76"/>
      <c r="AL34" s="76">
        <v>0</v>
      </c>
      <c r="AM34" s="76"/>
      <c r="AN34" s="76"/>
    </row>
    <row r="35" spans="1:40" x14ac:dyDescent="0.25">
      <c r="A35" s="75" t="s">
        <v>52</v>
      </c>
      <c r="B35" s="76">
        <v>53730</v>
      </c>
      <c r="C35" s="76"/>
      <c r="D35" s="76"/>
      <c r="E35" s="76">
        <v>405</v>
      </c>
      <c r="F35" s="76"/>
      <c r="G35" s="76"/>
      <c r="H35" s="76">
        <v>5467.5</v>
      </c>
      <c r="I35" s="76"/>
      <c r="J35" s="76"/>
      <c r="K35" s="76">
        <v>382.5</v>
      </c>
      <c r="L35" s="76"/>
      <c r="M35" s="76"/>
      <c r="N35" s="76"/>
      <c r="O35" s="76">
        <v>382.5</v>
      </c>
      <c r="P35" s="76"/>
      <c r="Q35" s="76"/>
      <c r="R35" s="76"/>
      <c r="S35" s="76">
        <v>3060</v>
      </c>
      <c r="T35" s="76"/>
      <c r="U35" s="76"/>
      <c r="V35" s="76"/>
      <c r="W35" s="76">
        <v>3825</v>
      </c>
      <c r="X35" s="76"/>
      <c r="Y35" s="76"/>
      <c r="Z35" s="76">
        <v>0</v>
      </c>
      <c r="AA35" s="76"/>
      <c r="AB35" s="76"/>
      <c r="AC35" s="76">
        <v>0</v>
      </c>
      <c r="AD35" s="76"/>
      <c r="AE35" s="76"/>
      <c r="AF35" s="76">
        <v>0</v>
      </c>
      <c r="AG35" s="76"/>
      <c r="AH35" s="76"/>
      <c r="AI35" s="76">
        <v>0</v>
      </c>
      <c r="AJ35" s="76"/>
      <c r="AK35" s="76"/>
      <c r="AL35" s="76">
        <v>0</v>
      </c>
      <c r="AM35" s="76"/>
      <c r="AN35" s="76"/>
    </row>
    <row r="36" spans="1:40" x14ac:dyDescent="0.25">
      <c r="A36" s="77" t="s">
        <v>53</v>
      </c>
      <c r="B36" s="78">
        <f>SUM(B34:D35)</f>
        <v>399397.5</v>
      </c>
      <c r="C36" s="79"/>
      <c r="D36" s="79"/>
      <c r="E36" s="78">
        <f>SUM(E34:G35)</f>
        <v>75060</v>
      </c>
      <c r="F36" s="78"/>
      <c r="G36" s="78"/>
      <c r="H36" s="78">
        <f>SUM(H34:J35)</f>
        <v>124447.5</v>
      </c>
      <c r="I36" s="78"/>
      <c r="J36" s="78"/>
      <c r="K36" s="78">
        <f>SUM(K34:M35)</f>
        <v>59130</v>
      </c>
      <c r="L36" s="78"/>
      <c r="M36" s="78"/>
      <c r="N36" s="78"/>
      <c r="O36" s="78">
        <f>SUM(O34:R35)</f>
        <v>131512.5</v>
      </c>
      <c r="P36" s="78"/>
      <c r="Q36" s="78"/>
      <c r="R36" s="78"/>
      <c r="S36" s="78">
        <f>SUM(S34:V35)</f>
        <v>131467.5</v>
      </c>
      <c r="T36" s="78"/>
      <c r="U36" s="78"/>
      <c r="V36" s="78"/>
      <c r="W36" s="78">
        <f>SUM(W34:Y35)</f>
        <v>77985</v>
      </c>
      <c r="X36" s="78"/>
      <c r="Y36" s="78"/>
      <c r="Z36" s="78">
        <f>SUM(Z34:AB35)</f>
        <v>0</v>
      </c>
      <c r="AA36" s="78"/>
      <c r="AB36" s="78"/>
      <c r="AC36" s="78">
        <f>SUM(AC34:AE35)</f>
        <v>0</v>
      </c>
      <c r="AD36" s="78"/>
      <c r="AE36" s="78"/>
      <c r="AF36" s="78">
        <f>SUM(AF34:AH35)</f>
        <v>0</v>
      </c>
      <c r="AG36" s="78"/>
      <c r="AH36" s="78"/>
      <c r="AI36" s="78">
        <f>SUM(AI34:AK35)</f>
        <v>0</v>
      </c>
      <c r="AJ36" s="78"/>
      <c r="AK36" s="78"/>
      <c r="AL36" s="78">
        <f>SUM(AL34:AN35)</f>
        <v>0</v>
      </c>
      <c r="AM36" s="78"/>
      <c r="AN36" s="78"/>
    </row>
    <row r="37" spans="1:40" x14ac:dyDescent="0.25">
      <c r="A37" s="80" t="s">
        <v>54</v>
      </c>
      <c r="B37" s="81"/>
      <c r="C37" s="82"/>
      <c r="D37" s="81"/>
      <c r="E37" s="81"/>
      <c r="F37" s="81"/>
      <c r="G37" s="81"/>
      <c r="H37" s="82"/>
      <c r="I37" s="81"/>
      <c r="J37" s="81"/>
      <c r="K37" s="82"/>
      <c r="L37" s="81"/>
      <c r="M37" s="81"/>
      <c r="N37" s="81"/>
      <c r="O37" s="82"/>
      <c r="P37" s="81"/>
      <c r="Q37" s="81"/>
      <c r="R37" s="82"/>
      <c r="S37" s="81"/>
      <c r="T37" s="81"/>
      <c r="U37" s="81"/>
      <c r="V37" s="82"/>
      <c r="W37" s="81"/>
      <c r="X37" s="81"/>
      <c r="Y37" s="82"/>
      <c r="Z37" s="81"/>
      <c r="AA37" s="81"/>
      <c r="AB37" s="83"/>
      <c r="AC37" s="83"/>
      <c r="AD37" s="83"/>
      <c r="AE37" s="83"/>
      <c r="AF37" s="83"/>
      <c r="AG37" s="83"/>
      <c r="AH37" s="83"/>
      <c r="AI37" s="83"/>
      <c r="AJ37" s="83"/>
      <c r="AK37" s="83"/>
      <c r="AL37" s="84">
        <f>SUM(B36:AN36)</f>
        <v>999000</v>
      </c>
      <c r="AM37" s="84"/>
      <c r="AN37" s="85"/>
    </row>
    <row r="38" spans="1:40" x14ac:dyDescent="0.25">
      <c r="A38" s="86" t="s">
        <v>55</v>
      </c>
      <c r="B38" s="87"/>
      <c r="C38" s="88"/>
      <c r="D38" s="87"/>
      <c r="E38" s="87"/>
      <c r="F38" s="87"/>
      <c r="G38" s="87"/>
      <c r="H38" s="88"/>
      <c r="I38" s="87"/>
      <c r="J38" s="87"/>
      <c r="K38" s="88"/>
      <c r="L38" s="87"/>
      <c r="M38" s="87"/>
      <c r="N38" s="87"/>
      <c r="O38" s="88"/>
      <c r="P38" s="87"/>
      <c r="Q38" s="87"/>
      <c r="R38" s="88"/>
      <c r="S38" s="87"/>
      <c r="T38" s="87"/>
      <c r="U38" s="87"/>
      <c r="V38" s="88"/>
      <c r="W38" s="87"/>
      <c r="X38" s="87"/>
      <c r="Y38" s="88"/>
      <c r="Z38" s="87"/>
      <c r="AA38" s="87"/>
      <c r="AB38" s="88"/>
      <c r="AC38" s="87"/>
      <c r="AD38" s="87"/>
      <c r="AE38" s="88"/>
      <c r="AF38" s="87"/>
      <c r="AG38" s="87"/>
      <c r="AH38" s="88"/>
      <c r="AI38" s="88"/>
      <c r="AJ38" s="87"/>
      <c r="AK38" s="87"/>
      <c r="AL38" s="89">
        <f>AH29-AL37</f>
        <v>759510</v>
      </c>
      <c r="AM38" s="89"/>
      <c r="AN38" s="90"/>
    </row>
    <row r="39" spans="1:40" ht="15.75" x14ac:dyDescent="0.25">
      <c r="A39" s="91" t="s">
        <v>56</v>
      </c>
    </row>
    <row r="40" spans="1:40" ht="15.75" x14ac:dyDescent="0.25">
      <c r="A40" s="91" t="s">
        <v>57</v>
      </c>
      <c r="B40" s="2"/>
      <c r="AL40" s="92"/>
      <c r="AM40" s="92"/>
      <c r="AN40" s="92"/>
    </row>
    <row r="41" spans="1:40" x14ac:dyDescent="0.25">
      <c r="A41" s="93"/>
      <c r="B41" s="2"/>
      <c r="AL41" s="92"/>
      <c r="AM41" s="92"/>
      <c r="AN41" s="92"/>
    </row>
    <row r="42" spans="1:40" x14ac:dyDescent="0.25">
      <c r="A42" s="93"/>
      <c r="B42" s="2"/>
    </row>
  </sheetData>
  <mergeCells count="92">
    <mergeCell ref="AL37:AN37"/>
    <mergeCell ref="AL38:AN38"/>
    <mergeCell ref="AL40:AN40"/>
    <mergeCell ref="AL41:AN41"/>
    <mergeCell ref="W36:Y36"/>
    <mergeCell ref="Z36:AB36"/>
    <mergeCell ref="AC36:AE36"/>
    <mergeCell ref="AF36:AH36"/>
    <mergeCell ref="AI36:AK36"/>
    <mergeCell ref="AL36:AN36"/>
    <mergeCell ref="B36:D36"/>
    <mergeCell ref="E36:G36"/>
    <mergeCell ref="H36:J36"/>
    <mergeCell ref="K36:N36"/>
    <mergeCell ref="O36:R36"/>
    <mergeCell ref="S36:V36"/>
    <mergeCell ref="W35:Y35"/>
    <mergeCell ref="Z35:AB35"/>
    <mergeCell ref="AC35:AE35"/>
    <mergeCell ref="AF35:AH35"/>
    <mergeCell ref="AI35:AK35"/>
    <mergeCell ref="AL35:AN35"/>
    <mergeCell ref="B35:D35"/>
    <mergeCell ref="E35:G35"/>
    <mergeCell ref="H35:J35"/>
    <mergeCell ref="K35:N35"/>
    <mergeCell ref="O35:R35"/>
    <mergeCell ref="S35:V35"/>
    <mergeCell ref="W34:Y34"/>
    <mergeCell ref="Z34:AB34"/>
    <mergeCell ref="AC34:AE34"/>
    <mergeCell ref="AF34:AH34"/>
    <mergeCell ref="AI34:AK34"/>
    <mergeCell ref="AL34:AN34"/>
    <mergeCell ref="B34:D34"/>
    <mergeCell ref="E34:G34"/>
    <mergeCell ref="H34:J34"/>
    <mergeCell ref="K34:N34"/>
    <mergeCell ref="O34:R34"/>
    <mergeCell ref="S34:V34"/>
    <mergeCell ref="W33:Y33"/>
    <mergeCell ref="Z33:AB33"/>
    <mergeCell ref="AC33:AE33"/>
    <mergeCell ref="AF33:AH33"/>
    <mergeCell ref="AI33:AK33"/>
    <mergeCell ref="AL33:AN33"/>
    <mergeCell ref="AH29:AK29"/>
    <mergeCell ref="A31:AN31"/>
    <mergeCell ref="A32:A33"/>
    <mergeCell ref="B32:AN32"/>
    <mergeCell ref="B33:D33"/>
    <mergeCell ref="E33:G33"/>
    <mergeCell ref="H33:J33"/>
    <mergeCell ref="K33:N33"/>
    <mergeCell ref="O33:R33"/>
    <mergeCell ref="S33:V33"/>
    <mergeCell ref="W9:X9"/>
    <mergeCell ref="Y9:Y10"/>
    <mergeCell ref="Z9:AA9"/>
    <mergeCell ref="AB9:AB10"/>
    <mergeCell ref="AC9:AD9"/>
    <mergeCell ref="AE9:AE10"/>
    <mergeCell ref="K9:M9"/>
    <mergeCell ref="N9:N10"/>
    <mergeCell ref="O9:Q9"/>
    <mergeCell ref="R9:R10"/>
    <mergeCell ref="S9:T9"/>
    <mergeCell ref="V9:V10"/>
    <mergeCell ref="B9:C9"/>
    <mergeCell ref="D9:D10"/>
    <mergeCell ref="E9:F9"/>
    <mergeCell ref="G9:G10"/>
    <mergeCell ref="H9:I9"/>
    <mergeCell ref="J9:J10"/>
    <mergeCell ref="Z8:AB8"/>
    <mergeCell ref="AC8:AE8"/>
    <mergeCell ref="AF8:AH8"/>
    <mergeCell ref="AI8:AI10"/>
    <mergeCell ref="AJ8:AJ10"/>
    <mergeCell ref="AK8:AK10"/>
    <mergeCell ref="AF9:AG9"/>
    <mergeCell ref="AH9:AH10"/>
    <mergeCell ref="A5:AN5"/>
    <mergeCell ref="A6:AN6"/>
    <mergeCell ref="A7:AK7"/>
    <mergeCell ref="B8:D8"/>
    <mergeCell ref="E8:G8"/>
    <mergeCell ref="H8:J8"/>
    <mergeCell ref="K8:N8"/>
    <mergeCell ref="O8:R8"/>
    <mergeCell ref="S8:V8"/>
    <mergeCell ref="W8:Y8"/>
  </mergeCells>
  <pageMargins left="0.50624999999999998" right="4.1666666666666664E-2" top="0.32291666666666669" bottom="8.3333333333333329E-2" header="0.3" footer="0.3"/>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PENSIONES FIN DE AÑO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Caja-IAB</dc:creator>
  <cp:lastModifiedBy>Caja-IAB</cp:lastModifiedBy>
  <dcterms:created xsi:type="dcterms:W3CDTF">2025-02-12T12:05:37Z</dcterms:created>
  <dcterms:modified xsi:type="dcterms:W3CDTF">2025-02-12T19:43:14Z</dcterms:modified>
</cp:coreProperties>
</file>