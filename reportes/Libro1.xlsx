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EPIAB\Desktop\JIMENA\FOTOCOPIA 2025\REPORTE DE LICENCIAS 2024\"/>
    </mc:Choice>
  </mc:AlternateContent>
  <xr:revisionPtr revIDLastSave="0" documentId="13_ncr:1_{29EA6E8E-24B6-4C26-ADA1-766434D1AFD8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4" l="1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4" i="4"/>
  <c r="N24" i="4"/>
  <c r="M24" i="4"/>
  <c r="L24" i="4"/>
  <c r="K24" i="4"/>
  <c r="J24" i="4"/>
  <c r="I24" i="4"/>
  <c r="H24" i="4"/>
  <c r="G24" i="4"/>
  <c r="F24" i="4"/>
  <c r="E24" i="4"/>
  <c r="D24" i="4"/>
  <c r="AC174" i="1"/>
  <c r="O24" i="4" l="1"/>
  <c r="AA22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00" i="1"/>
  <c r="E220" i="1"/>
  <c r="F220" i="1"/>
  <c r="G220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R194" i="1"/>
  <c r="D194" i="1"/>
  <c r="E194" i="1"/>
  <c r="F194" i="1"/>
  <c r="G194" i="1"/>
  <c r="H194" i="1"/>
  <c r="I194" i="1"/>
  <c r="AC242" i="1"/>
  <c r="AC22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AC245" i="1"/>
  <c r="AC244" i="1"/>
  <c r="AC243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X194" i="1"/>
  <c r="W194" i="1"/>
  <c r="V194" i="1"/>
  <c r="U194" i="1"/>
  <c r="T194" i="1"/>
  <c r="S194" i="1"/>
  <c r="Q194" i="1"/>
  <c r="P194" i="1"/>
  <c r="O194" i="1"/>
  <c r="N194" i="1"/>
  <c r="M194" i="1"/>
  <c r="L194" i="1"/>
  <c r="K194" i="1"/>
  <c r="J194" i="1"/>
  <c r="AC194" i="1" l="1"/>
  <c r="AC220" i="1"/>
  <c r="AC246" i="1"/>
  <c r="D26" i="3"/>
  <c r="E26" i="3"/>
  <c r="F26" i="3"/>
  <c r="G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26" i="3" l="1"/>
  <c r="BI68" i="2"/>
  <c r="BI60" i="2"/>
  <c r="BI80" i="2" s="1"/>
  <c r="BI73" i="2"/>
  <c r="BI74" i="2"/>
  <c r="BI75" i="2"/>
  <c r="BI76" i="2"/>
  <c r="BI77" i="2"/>
  <c r="BI78" i="2"/>
  <c r="BI79" i="2"/>
  <c r="BI61" i="2"/>
  <c r="BI62" i="2"/>
  <c r="BI63" i="2"/>
  <c r="BI64" i="2"/>
  <c r="BI65" i="2"/>
  <c r="BI66" i="2"/>
  <c r="BI67" i="2"/>
  <c r="BI69" i="2"/>
  <c r="BI70" i="2"/>
  <c r="BI71" i="2"/>
  <c r="BI72" i="2"/>
  <c r="AC6" i="2" l="1"/>
  <c r="AC33" i="2"/>
  <c r="AC6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M80" i="2"/>
  <c r="AL80" i="2"/>
  <c r="AK80" i="2"/>
  <c r="AJ80" i="2"/>
  <c r="Z80" i="2"/>
  <c r="Y80" i="2"/>
  <c r="X80" i="2"/>
  <c r="W80" i="2"/>
  <c r="V80" i="2"/>
  <c r="U80" i="2"/>
  <c r="T80" i="2"/>
  <c r="S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A53" i="2"/>
  <c r="Z53" i="2"/>
  <c r="Y53" i="2"/>
  <c r="X53" i="2"/>
  <c r="W53" i="2"/>
  <c r="V53" i="2"/>
  <c r="U53" i="2"/>
  <c r="T53" i="2"/>
  <c r="S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22" i="2"/>
  <c r="AB110" i="1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AC25" i="2"/>
  <c r="AC24" i="2"/>
  <c r="AC23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BI118" i="1"/>
  <c r="AC80" i="2" l="1"/>
  <c r="AC53" i="2"/>
  <c r="AC26" i="2"/>
  <c r="AO138" i="1" l="1"/>
  <c r="AX138" i="1"/>
  <c r="AR138" i="1"/>
  <c r="AL138" i="1"/>
  <c r="BH138" i="1" l="1"/>
  <c r="BG138" i="1"/>
  <c r="BF138" i="1"/>
  <c r="BE138" i="1"/>
  <c r="BD138" i="1"/>
  <c r="BC138" i="1"/>
  <c r="BB138" i="1"/>
  <c r="BA138" i="1"/>
  <c r="AZ138" i="1"/>
  <c r="AY138" i="1"/>
  <c r="AW138" i="1"/>
  <c r="AV138" i="1"/>
  <c r="AU138" i="1"/>
  <c r="AT138" i="1"/>
  <c r="AS138" i="1"/>
  <c r="AQ138" i="1"/>
  <c r="AP138" i="1"/>
  <c r="AM138" i="1"/>
  <c r="AK138" i="1"/>
  <c r="AJ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38" i="1" l="1"/>
  <c r="D138" i="1"/>
  <c r="E138" i="1"/>
  <c r="F138" i="1"/>
  <c r="G138" i="1"/>
  <c r="R164" i="1"/>
  <c r="S164" i="1"/>
  <c r="T164" i="1"/>
  <c r="U164" i="1"/>
  <c r="V164" i="1"/>
  <c r="W164" i="1"/>
  <c r="X164" i="1"/>
  <c r="Y164" i="1"/>
  <c r="Z164" i="1"/>
  <c r="Q164" i="1"/>
  <c r="P164" i="1"/>
  <c r="O164" i="1"/>
  <c r="N164" i="1"/>
  <c r="M164" i="1"/>
  <c r="L164" i="1"/>
  <c r="K164" i="1"/>
  <c r="J164" i="1"/>
  <c r="I164" i="1"/>
  <c r="H164" i="1"/>
  <c r="G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A110" i="1"/>
  <c r="T110" i="1"/>
  <c r="U110" i="1"/>
  <c r="V110" i="1"/>
  <c r="W110" i="1"/>
  <c r="X110" i="1"/>
  <c r="Y110" i="1"/>
  <c r="Z110" i="1"/>
  <c r="S110" i="1"/>
  <c r="S138" i="1"/>
  <c r="T138" i="1"/>
  <c r="U138" i="1"/>
  <c r="V138" i="1"/>
  <c r="W138" i="1"/>
  <c r="X138" i="1"/>
  <c r="Y138" i="1"/>
  <c r="Z138" i="1"/>
  <c r="AA138" i="1"/>
  <c r="Q138" i="1"/>
  <c r="P138" i="1"/>
  <c r="O138" i="1"/>
  <c r="N138" i="1"/>
  <c r="M138" i="1"/>
  <c r="L138" i="1"/>
  <c r="K138" i="1"/>
  <c r="J138" i="1"/>
  <c r="I138" i="1"/>
  <c r="H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38" i="1" l="1"/>
  <c r="AC164" i="1"/>
  <c r="AB14" i="1"/>
  <c r="G110" i="1" l="1"/>
  <c r="H110" i="1"/>
  <c r="R110" i="1"/>
  <c r="Q110" i="1"/>
  <c r="P110" i="1"/>
  <c r="O110" i="1"/>
  <c r="N110" i="1"/>
  <c r="M110" i="1"/>
  <c r="L110" i="1"/>
  <c r="K110" i="1"/>
  <c r="J110" i="1"/>
  <c r="I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D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36" i="1"/>
  <c r="AC110" i="1" l="1"/>
  <c r="AC56" i="1"/>
  <c r="AC84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AB9" i="1"/>
  <c r="AB10" i="1"/>
  <c r="AB11" i="1"/>
  <c r="AB12" i="1"/>
  <c r="AB13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8" i="1"/>
  <c r="X28" i="1"/>
  <c r="M28" i="1"/>
  <c r="N28" i="1"/>
  <c r="H28" i="1"/>
  <c r="I28" i="1"/>
  <c r="J28" i="1"/>
  <c r="K28" i="1"/>
  <c r="L28" i="1"/>
  <c r="O28" i="1"/>
  <c r="P28" i="1"/>
  <c r="Q28" i="1"/>
  <c r="R28" i="1"/>
  <c r="S28" i="1"/>
  <c r="T28" i="1"/>
  <c r="U28" i="1"/>
  <c r="V28" i="1"/>
  <c r="W28" i="1"/>
  <c r="Y28" i="1"/>
  <c r="Z28" i="1"/>
  <c r="AB28" i="1" l="1"/>
</calcChain>
</file>

<file path=xl/sharedStrings.xml><?xml version="1.0" encoding="utf-8"?>
<sst xmlns="http://schemas.openxmlformats.org/spreadsheetml/2006/main" count="848" uniqueCount="51">
  <si>
    <t>L</t>
  </si>
  <si>
    <t>M</t>
  </si>
  <si>
    <t>J</t>
  </si>
  <si>
    <t>V</t>
  </si>
  <si>
    <t>1RA SECCION INICIAL A</t>
  </si>
  <si>
    <t>2DA SECCION INICIAL A</t>
  </si>
  <si>
    <t>2DA SECCION INICIAL B</t>
  </si>
  <si>
    <t>1RA SECCION INICIAL B</t>
  </si>
  <si>
    <t>1ro PRIMARIA A</t>
  </si>
  <si>
    <t>1RO  PRIMARIA B</t>
  </si>
  <si>
    <t xml:space="preserve">5to PRIMARIA </t>
  </si>
  <si>
    <t xml:space="preserve">6to PRIMARIA </t>
  </si>
  <si>
    <t>4to PRIMARIA A</t>
  </si>
  <si>
    <t>1RO SECUNDARIA</t>
  </si>
  <si>
    <t>3ro SECUNDARIA</t>
  </si>
  <si>
    <t>4to SECUNDARIA</t>
  </si>
  <si>
    <t>5to SECUNDARIA</t>
  </si>
  <si>
    <t>6to SECUNDARIA</t>
  </si>
  <si>
    <t>2do  PRIMARIA A</t>
  </si>
  <si>
    <t>2do PRIMARIA B</t>
  </si>
  <si>
    <t xml:space="preserve">3ro PRIMARIA </t>
  </si>
  <si>
    <t>4to PRIMARIA  B</t>
  </si>
  <si>
    <t>FECHA</t>
  </si>
  <si>
    <t>DIA</t>
  </si>
  <si>
    <t>MES</t>
  </si>
  <si>
    <t>CURSO</t>
  </si>
  <si>
    <t>FEBRERO</t>
  </si>
  <si>
    <t>TOTAL</t>
  </si>
  <si>
    <t>2do SECUNDARIA A</t>
  </si>
  <si>
    <t>2do SECUNDARIA B</t>
  </si>
  <si>
    <t>MARZO</t>
  </si>
  <si>
    <t>FALTAS CON LICENCIA</t>
  </si>
  <si>
    <t>ABRIL</t>
  </si>
  <si>
    <t>MAYO</t>
  </si>
  <si>
    <t>}</t>
  </si>
  <si>
    <t>|</t>
  </si>
  <si>
    <t>JUNIO</t>
  </si>
  <si>
    <t>JULIO</t>
  </si>
  <si>
    <t>AGOSTO</t>
  </si>
  <si>
    <t>s</t>
  </si>
  <si>
    <t>S</t>
  </si>
  <si>
    <t xml:space="preserve">FERIADO </t>
  </si>
  <si>
    <t>Descanso   pedagógico</t>
  </si>
  <si>
    <t>Feriado Nacional</t>
  </si>
  <si>
    <t>PRIMER TRIMESTRE</t>
  </si>
  <si>
    <t>SEPTIEMBRE</t>
  </si>
  <si>
    <t>OCTUBRE</t>
  </si>
  <si>
    <t>NOVIEMBRE</t>
  </si>
  <si>
    <t xml:space="preserve">FEBRERO </t>
  </si>
  <si>
    <t>AGODTO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</si>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</sst>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ont="1" applyFill="1" applyBorder="1"/>
    <xf numFmtId="0" fontId="0" fillId="2" borderId="0" xfId="0" applyFont="1" applyFill="1"/>
    <xf numFmtId="0" fontId="0" fillId="2" borderId="1" xfId="0" applyFill="1" applyBorder="1"/>
    <xf numFmtId="0" fontId="0" fillId="2" borderId="0" xfId="0" applyFill="1"/>
    <xf numFmtId="0" fontId="1" fillId="0" borderId="1" xfId="0" applyFont="1" applyBorder="1" applyAlignment="1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Font="1" applyBorder="1"/>
    <xf numFmtId="0" fontId="0" fillId="0" borderId="0" xfId="0" applyBorder="1"/>
    <xf numFmtId="0" fontId="0" fillId="0" borderId="0" xfId="0" applyAlignment="1">
      <alignment wrapText="1"/>
    </xf>
    <xf numFmtId="0" fontId="0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0" xfId="0" applyFont="1" applyAlignment="1"/>
    <xf numFmtId="0" fontId="3" fillId="0" borderId="0" xfId="0" applyFont="1" applyAlignment="1"/>
    <xf numFmtId="0" fontId="3" fillId="2" borderId="1" xfId="0" applyFont="1" applyFill="1" applyBorder="1" applyAlignment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 readingOrder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0" fillId="0" borderId="1" xfId="0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2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 wrapText="1" readingOrder="1"/>
    </xf>
    <xf numFmtId="0" fontId="0" fillId="0" borderId="2" xfId="0" applyBorder="1" applyAlignment="1">
      <alignment horizontal="left" vertical="center" wrapText="1" readingOrder="1"/>
    </xf>
    <xf numFmtId="0" fontId="0" fillId="0" borderId="3" xfId="0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0" fillId="0" borderId="4" xfId="0" applyBorder="1" applyAlignment="1">
      <alignment horizontal="center" vertical="center" textRotation="90" wrapText="1" readingOrder="1"/>
    </xf>
    <xf numFmtId="0" fontId="0" fillId="0" borderId="7" xfId="0" applyBorder="1" applyAlignment="1">
      <alignment horizontal="center" vertical="center" textRotation="90" wrapText="1" readingOrder="1"/>
    </xf>
    <xf numFmtId="0" fontId="0" fillId="0" borderId="5" xfId="0" applyBorder="1" applyAlignment="1">
      <alignment horizontal="center" vertical="center" textRotation="90" wrapText="1" readingOrder="1"/>
    </xf>
    <xf numFmtId="0" fontId="0" fillId="3" borderId="4" xfId="0" applyFill="1" applyBorder="1" applyAlignment="1">
      <alignment horizontal="center" vertical="center" textRotation="90" wrapText="1" readingOrder="1"/>
    </xf>
    <xf numFmtId="0" fontId="0" fillId="3" borderId="7" xfId="0" applyFill="1" applyBorder="1" applyAlignment="1">
      <alignment horizontal="center" vertical="center" textRotation="90" wrapText="1" readingOrder="1"/>
    </xf>
    <xf numFmtId="0" fontId="0" fillId="3" borderId="5" xfId="0" applyFill="1" applyBorder="1" applyAlignment="1">
      <alignment horizontal="center" vertical="center" textRotation="90" wrapText="1" readingOrder="1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textRotation="90" readingOrder="1"/>
    </xf>
    <xf numFmtId="0" fontId="1" fillId="0" borderId="2" xfId="0" applyFont="1" applyBorder="1" applyAlignment="1">
      <alignment horizontal="left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46"/>
  <sheetViews>
    <sheetView topLeftCell="A152" zoomScale="136" zoomScaleNormal="136" workbookViewId="0">
      <selection activeCell="B222" sqref="B222:AC246"/>
    </sheetView>
  </sheetViews>
  <sheetFormatPr baseColWidth="10" defaultRowHeight="15" x14ac:dyDescent="0.25"/>
  <cols>
    <col min="2" max="2" width="15.42578125" style="10" customWidth="1"/>
    <col min="3" max="3" width="7.42578125" customWidth="1"/>
    <col min="4" max="4" width="3.140625" customWidth="1"/>
    <col min="5" max="5" width="2.85546875" customWidth="1"/>
    <col min="6" max="6" width="3.28515625" customWidth="1"/>
    <col min="7" max="7" width="3.42578125" customWidth="1"/>
    <col min="8" max="8" width="3" customWidth="1"/>
    <col min="9" max="9" width="3.42578125" style="6" customWidth="1"/>
    <col min="10" max="10" width="3.42578125" style="8" customWidth="1"/>
    <col min="11" max="11" width="3" style="8" customWidth="1"/>
    <col min="12" max="12" width="3.5703125" style="8" customWidth="1"/>
    <col min="13" max="13" width="3.140625" style="8" customWidth="1"/>
    <col min="14" max="14" width="3.140625" customWidth="1"/>
    <col min="15" max="15" width="3.28515625" customWidth="1"/>
    <col min="16" max="17" width="3.140625" customWidth="1"/>
    <col min="18" max="18" width="2.85546875" customWidth="1"/>
    <col min="19" max="20" width="3.42578125" customWidth="1"/>
    <col min="21" max="21" width="3" customWidth="1"/>
    <col min="22" max="23" width="3.42578125" customWidth="1"/>
    <col min="24" max="24" width="4.28515625" customWidth="1"/>
    <col min="25" max="25" width="3.42578125" customWidth="1"/>
    <col min="26" max="26" width="3.5703125" customWidth="1"/>
    <col min="27" max="27" width="3.28515625" customWidth="1"/>
    <col min="28" max="28" width="3.140625" style="1" customWidth="1"/>
    <col min="29" max="29" width="7" customWidth="1"/>
    <col min="33" max="33" width="3" customWidth="1"/>
    <col min="34" max="34" width="2.7109375" customWidth="1"/>
    <col min="35" max="35" width="3" customWidth="1"/>
    <col min="36" max="36" width="2.7109375" customWidth="1"/>
    <col min="37" max="37" width="2.85546875" customWidth="1"/>
    <col min="38" max="38" width="2.85546875" style="28" customWidth="1"/>
    <col min="39" max="39" width="3" customWidth="1"/>
    <col min="40" max="40" width="3.140625" customWidth="1"/>
    <col min="41" max="41" width="2.85546875" customWidth="1"/>
    <col min="42" max="42" width="3.140625" customWidth="1"/>
    <col min="43" max="43" width="3.42578125" customWidth="1"/>
    <col min="44" max="44" width="3.42578125" style="23" customWidth="1"/>
    <col min="45" max="46" width="3.28515625" customWidth="1"/>
    <col min="47" max="47" width="3.42578125" customWidth="1"/>
    <col min="48" max="48" width="3.140625" customWidth="1"/>
    <col min="49" max="49" width="3.28515625" customWidth="1"/>
    <col min="50" max="50" width="3.28515625" style="23" customWidth="1"/>
    <col min="51" max="51" width="3.140625" customWidth="1"/>
    <col min="52" max="52" width="3.5703125" customWidth="1"/>
    <col min="53" max="53" width="2.85546875" customWidth="1"/>
    <col min="54" max="54" width="3.5703125" customWidth="1"/>
    <col min="55" max="56" width="3.42578125" customWidth="1"/>
    <col min="57" max="57" width="3.140625" customWidth="1"/>
    <col min="58" max="58" width="3.28515625" customWidth="1"/>
    <col min="59" max="59" width="2.7109375" customWidth="1"/>
    <col min="60" max="60" width="3.7109375" customWidth="1"/>
    <col min="61" max="61" width="8.42578125" customWidth="1"/>
  </cols>
  <sheetData>
    <row r="1" spans="1:28" ht="72" customHeight="1" x14ac:dyDescent="0.25">
      <c r="A1" s="16"/>
      <c r="B1" s="16"/>
      <c r="C1" s="16"/>
      <c r="D1" s="16"/>
      <c r="E1" s="16"/>
      <c r="F1" s="16"/>
      <c r="G1" s="16"/>
      <c r="H1" s="16"/>
      <c r="I1" s="17"/>
      <c r="J1" s="18"/>
      <c r="K1" s="20"/>
      <c r="L1" s="18"/>
      <c r="M1" s="18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9"/>
    </row>
    <row r="2" spans="1:28" ht="22.5" customHeight="1" x14ac:dyDescent="0.25">
      <c r="A2" s="16"/>
      <c r="B2" s="40" t="s">
        <v>31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spans="1:28" ht="21.75" customHeight="1" x14ac:dyDescent="0.25">
      <c r="A3" s="16"/>
      <c r="B3" s="16"/>
      <c r="C3" s="16"/>
      <c r="D3" s="16"/>
      <c r="E3" s="16"/>
      <c r="F3" s="16"/>
      <c r="G3" s="16"/>
      <c r="H3" s="16"/>
      <c r="I3" s="17"/>
      <c r="J3" s="18"/>
      <c r="K3" s="18"/>
      <c r="L3" s="18"/>
      <c r="M3" s="18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9"/>
    </row>
    <row r="4" spans="1:28" ht="15" customHeight="1" x14ac:dyDescent="0.25">
      <c r="B4" s="60" t="s">
        <v>24</v>
      </c>
      <c r="C4" s="61"/>
      <c r="D4" s="54" t="s">
        <v>26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6"/>
      <c r="AB4" s="2"/>
    </row>
    <row r="5" spans="1:28" x14ac:dyDescent="0.25">
      <c r="B5" s="60" t="s">
        <v>23</v>
      </c>
      <c r="C5" s="61"/>
      <c r="D5" s="2" t="s">
        <v>1</v>
      </c>
      <c r="E5" s="2" t="s">
        <v>1</v>
      </c>
      <c r="F5" s="2" t="s">
        <v>2</v>
      </c>
      <c r="G5" s="2" t="s">
        <v>3</v>
      </c>
      <c r="H5" s="2" t="s">
        <v>0</v>
      </c>
      <c r="I5" s="4" t="s">
        <v>1</v>
      </c>
      <c r="J5" s="4" t="s">
        <v>1</v>
      </c>
      <c r="K5" s="4" t="s">
        <v>2</v>
      </c>
      <c r="L5" s="4" t="s">
        <v>3</v>
      </c>
      <c r="M5" s="4" t="s">
        <v>0</v>
      </c>
      <c r="N5" s="2" t="s">
        <v>1</v>
      </c>
      <c r="O5" s="2" t="s">
        <v>1</v>
      </c>
      <c r="P5" s="2" t="s">
        <v>2</v>
      </c>
      <c r="Q5" s="2" t="s">
        <v>3</v>
      </c>
      <c r="R5" s="2" t="s">
        <v>0</v>
      </c>
      <c r="S5" s="2" t="s">
        <v>1</v>
      </c>
      <c r="T5" s="2" t="s">
        <v>1</v>
      </c>
      <c r="U5" s="2" t="s">
        <v>2</v>
      </c>
      <c r="V5" s="2" t="s">
        <v>3</v>
      </c>
      <c r="W5" s="2" t="s">
        <v>0</v>
      </c>
      <c r="X5" s="2" t="s">
        <v>1</v>
      </c>
      <c r="Y5" s="2" t="s">
        <v>1</v>
      </c>
      <c r="Z5" s="2" t="s">
        <v>2</v>
      </c>
      <c r="AA5" s="2" t="s">
        <v>3</v>
      </c>
      <c r="AB5" s="2" t="s">
        <v>27</v>
      </c>
    </row>
    <row r="6" spans="1:28" x14ac:dyDescent="0.25">
      <c r="B6" s="60" t="s">
        <v>22</v>
      </c>
      <c r="C6" s="61"/>
      <c r="D6" s="48"/>
      <c r="E6" s="48"/>
      <c r="F6" s="48"/>
      <c r="G6" s="48"/>
      <c r="H6" s="48">
        <v>5</v>
      </c>
      <c r="I6" s="50">
        <v>6</v>
      </c>
      <c r="J6" s="50">
        <v>7</v>
      </c>
      <c r="K6" s="50">
        <v>8</v>
      </c>
      <c r="L6" s="50">
        <v>9</v>
      </c>
      <c r="M6" s="50">
        <v>12</v>
      </c>
      <c r="N6" s="48">
        <v>13</v>
      </c>
      <c r="O6" s="48">
        <v>14</v>
      </c>
      <c r="P6" s="48">
        <v>15</v>
      </c>
      <c r="Q6" s="48">
        <v>16</v>
      </c>
      <c r="R6" s="48">
        <v>19</v>
      </c>
      <c r="S6" s="48">
        <v>20</v>
      </c>
      <c r="T6" s="48">
        <v>21</v>
      </c>
      <c r="U6" s="48">
        <v>22</v>
      </c>
      <c r="V6" s="48">
        <v>23</v>
      </c>
      <c r="W6" s="48">
        <v>26</v>
      </c>
      <c r="X6" s="48">
        <v>27</v>
      </c>
      <c r="Y6" s="48">
        <v>28</v>
      </c>
      <c r="Z6" s="48">
        <v>29</v>
      </c>
      <c r="AA6" s="62"/>
      <c r="AB6" s="2"/>
    </row>
    <row r="7" spans="1:28" x14ac:dyDescent="0.25">
      <c r="B7" s="54" t="s">
        <v>25</v>
      </c>
      <c r="C7" s="57"/>
      <c r="D7" s="49"/>
      <c r="E7" s="49"/>
      <c r="F7" s="49"/>
      <c r="G7" s="49"/>
      <c r="H7" s="49"/>
      <c r="I7" s="51"/>
      <c r="J7" s="51"/>
      <c r="K7" s="51"/>
      <c r="L7" s="51"/>
      <c r="M7" s="51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63"/>
      <c r="AB7" s="2"/>
    </row>
    <row r="8" spans="1:28" x14ac:dyDescent="0.25">
      <c r="B8" s="58" t="s">
        <v>4</v>
      </c>
      <c r="C8" s="59"/>
      <c r="D8" s="3"/>
      <c r="E8" s="3"/>
      <c r="F8" s="3"/>
      <c r="G8" s="3"/>
      <c r="H8" s="3">
        <v>0</v>
      </c>
      <c r="I8" s="5">
        <v>0</v>
      </c>
      <c r="J8" s="7">
        <v>0</v>
      </c>
      <c r="K8" s="7">
        <v>0</v>
      </c>
      <c r="L8" s="7">
        <v>1</v>
      </c>
      <c r="M8" s="7">
        <v>0</v>
      </c>
      <c r="N8" s="7">
        <v>0</v>
      </c>
      <c r="O8" s="7">
        <v>2</v>
      </c>
      <c r="P8" s="3">
        <v>0</v>
      </c>
      <c r="Q8" s="3">
        <v>0</v>
      </c>
      <c r="R8" s="3">
        <v>1</v>
      </c>
      <c r="S8" s="3">
        <v>0</v>
      </c>
      <c r="T8" s="3">
        <v>2</v>
      </c>
      <c r="U8" s="3">
        <v>1</v>
      </c>
      <c r="V8" s="3">
        <v>1</v>
      </c>
      <c r="W8" s="3">
        <v>0</v>
      </c>
      <c r="X8" s="3">
        <v>0</v>
      </c>
      <c r="Y8" s="3">
        <v>0</v>
      </c>
      <c r="Z8" s="3">
        <v>0</v>
      </c>
      <c r="AA8" s="3"/>
      <c r="AB8" s="11">
        <f>D63+E8+F8+G8+H8+I8+J8+K8+L8+M8+N8+O8+P8+Q8+R8+S8+T8+U8+V8+W8+X8+Y8+Z8+AA8</f>
        <v>8</v>
      </c>
    </row>
    <row r="9" spans="1:28" x14ac:dyDescent="0.25">
      <c r="B9" s="52" t="s">
        <v>7</v>
      </c>
      <c r="C9" s="53"/>
      <c r="D9" s="3"/>
      <c r="E9" s="3"/>
      <c r="F9" s="3"/>
      <c r="G9" s="3"/>
      <c r="H9" s="3">
        <v>0</v>
      </c>
      <c r="I9" s="5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3">
        <v>1</v>
      </c>
      <c r="P9" s="3">
        <v>1</v>
      </c>
      <c r="Q9" s="3">
        <v>1</v>
      </c>
      <c r="R9" s="3">
        <v>1</v>
      </c>
      <c r="S9" s="3">
        <v>0</v>
      </c>
      <c r="T9" s="3">
        <v>0</v>
      </c>
      <c r="U9" s="3">
        <v>1</v>
      </c>
      <c r="V9" s="3">
        <v>0</v>
      </c>
      <c r="W9" s="3">
        <v>2</v>
      </c>
      <c r="X9" s="3">
        <v>1</v>
      </c>
      <c r="Y9" s="3">
        <v>2</v>
      </c>
      <c r="Z9" s="3">
        <v>0</v>
      </c>
      <c r="AA9" s="3"/>
      <c r="AB9" s="11">
        <f t="shared" ref="AB9:AB27" si="0">D64+E9+F9+G9+H9+I9+J9+K9+L9+M9+N9+O9+P9+Q9+R9+S9+T9+U9+V9+W9+X9+Y9+Z9+AA9</f>
        <v>12</v>
      </c>
    </row>
    <row r="10" spans="1:28" x14ac:dyDescent="0.25">
      <c r="B10" s="52" t="s">
        <v>5</v>
      </c>
      <c r="C10" s="53"/>
      <c r="D10" s="3"/>
      <c r="E10" s="3"/>
      <c r="F10" s="3"/>
      <c r="G10" s="3"/>
      <c r="H10" s="3">
        <v>0</v>
      </c>
      <c r="I10" s="5">
        <v>0</v>
      </c>
      <c r="J10" s="7">
        <v>1</v>
      </c>
      <c r="K10" s="7">
        <v>1</v>
      </c>
      <c r="L10" s="7">
        <v>0</v>
      </c>
      <c r="M10" s="7">
        <v>0</v>
      </c>
      <c r="N10" s="7">
        <v>0</v>
      </c>
      <c r="O10" s="3">
        <v>0</v>
      </c>
      <c r="P10" s="3">
        <v>0</v>
      </c>
      <c r="Q10" s="3">
        <v>1</v>
      </c>
      <c r="R10" s="3">
        <v>0</v>
      </c>
      <c r="S10" s="3">
        <v>2</v>
      </c>
      <c r="T10" s="3">
        <v>0</v>
      </c>
      <c r="U10" s="3">
        <v>1</v>
      </c>
      <c r="V10" s="3">
        <v>0</v>
      </c>
      <c r="W10" s="3">
        <v>0</v>
      </c>
      <c r="X10" s="3">
        <v>2</v>
      </c>
      <c r="Y10" s="3">
        <v>0</v>
      </c>
      <c r="Z10" s="3">
        <v>0</v>
      </c>
      <c r="AA10" s="3"/>
      <c r="AB10" s="11">
        <f t="shared" si="0"/>
        <v>9</v>
      </c>
    </row>
    <row r="11" spans="1:28" x14ac:dyDescent="0.25">
      <c r="B11" s="52" t="s">
        <v>6</v>
      </c>
      <c r="C11" s="53"/>
      <c r="D11" s="3"/>
      <c r="E11" s="3"/>
      <c r="F11" s="3"/>
      <c r="G11" s="3"/>
      <c r="H11" s="3">
        <v>0</v>
      </c>
      <c r="I11" s="5">
        <v>0</v>
      </c>
      <c r="J11" s="7">
        <v>1</v>
      </c>
      <c r="K11" s="7">
        <v>0</v>
      </c>
      <c r="L11" s="7">
        <v>0</v>
      </c>
      <c r="M11" s="7">
        <v>0</v>
      </c>
      <c r="N11" s="7">
        <v>0</v>
      </c>
      <c r="O11" s="3">
        <v>3</v>
      </c>
      <c r="P11" s="3">
        <v>2</v>
      </c>
      <c r="Q11" s="3">
        <v>1</v>
      </c>
      <c r="R11" s="3">
        <v>2</v>
      </c>
      <c r="S11" s="3">
        <v>1</v>
      </c>
      <c r="T11" s="3">
        <v>0</v>
      </c>
      <c r="U11" s="3">
        <v>0</v>
      </c>
      <c r="V11" s="3">
        <v>0</v>
      </c>
      <c r="W11" s="3">
        <v>1</v>
      </c>
      <c r="X11" s="3">
        <v>0</v>
      </c>
      <c r="Y11" s="3">
        <v>1</v>
      </c>
      <c r="Z11" s="3">
        <v>0</v>
      </c>
      <c r="AA11" s="3"/>
      <c r="AB11" s="11">
        <f t="shared" si="0"/>
        <v>15</v>
      </c>
    </row>
    <row r="12" spans="1:28" x14ac:dyDescent="0.25">
      <c r="B12" s="52" t="s">
        <v>8</v>
      </c>
      <c r="C12" s="53"/>
      <c r="D12" s="3"/>
      <c r="E12" s="3"/>
      <c r="F12" s="3"/>
      <c r="G12" s="3"/>
      <c r="H12" s="3">
        <v>0</v>
      </c>
      <c r="I12" s="5">
        <v>0</v>
      </c>
      <c r="J12" s="7">
        <v>1</v>
      </c>
      <c r="K12" s="7">
        <v>0</v>
      </c>
      <c r="L12" s="7">
        <v>1</v>
      </c>
      <c r="M12" s="7">
        <v>0</v>
      </c>
      <c r="N12" s="7">
        <v>0</v>
      </c>
      <c r="O12" s="3">
        <v>2</v>
      </c>
      <c r="P12" s="3">
        <v>1</v>
      </c>
      <c r="Q12" s="3">
        <v>1</v>
      </c>
      <c r="R12" s="3">
        <v>0</v>
      </c>
      <c r="S12" s="3">
        <v>0</v>
      </c>
      <c r="T12" s="3">
        <v>0</v>
      </c>
      <c r="U12" s="3">
        <v>1</v>
      </c>
      <c r="V12" s="3">
        <v>0</v>
      </c>
      <c r="W12" s="3">
        <v>1</v>
      </c>
      <c r="X12" s="3">
        <v>0</v>
      </c>
      <c r="Y12" s="3">
        <v>0</v>
      </c>
      <c r="Z12" s="3">
        <v>0</v>
      </c>
      <c r="AA12" s="3"/>
      <c r="AB12" s="11">
        <f t="shared" si="0"/>
        <v>10</v>
      </c>
    </row>
    <row r="13" spans="1:28" x14ac:dyDescent="0.25">
      <c r="B13" s="52" t="s">
        <v>9</v>
      </c>
      <c r="C13" s="53"/>
      <c r="D13" s="3"/>
      <c r="E13" s="3"/>
      <c r="F13" s="3"/>
      <c r="G13" s="3"/>
      <c r="H13" s="3">
        <v>1</v>
      </c>
      <c r="I13" s="5">
        <v>2</v>
      </c>
      <c r="J13" s="7">
        <v>1</v>
      </c>
      <c r="K13" s="7">
        <v>1</v>
      </c>
      <c r="L13" s="7">
        <v>1</v>
      </c>
      <c r="M13" s="7">
        <v>0</v>
      </c>
      <c r="N13" s="7">
        <v>0</v>
      </c>
      <c r="O13" s="3">
        <v>1</v>
      </c>
      <c r="P13" s="3">
        <v>0</v>
      </c>
      <c r="Q13" s="3">
        <v>0</v>
      </c>
      <c r="R13" s="3">
        <v>2</v>
      </c>
      <c r="S13" s="3">
        <v>1</v>
      </c>
      <c r="T13" s="3">
        <v>1</v>
      </c>
      <c r="U13" s="3">
        <v>1</v>
      </c>
      <c r="V13" s="3">
        <v>1</v>
      </c>
      <c r="W13" s="3">
        <v>2</v>
      </c>
      <c r="X13" s="3">
        <v>4</v>
      </c>
      <c r="Y13" s="3">
        <v>3</v>
      </c>
      <c r="Z13" s="3">
        <v>2</v>
      </c>
      <c r="AA13" s="3"/>
      <c r="AB13" s="11">
        <f t="shared" si="0"/>
        <v>25</v>
      </c>
    </row>
    <row r="14" spans="1:28" x14ac:dyDescent="0.25">
      <c r="B14" s="52" t="s">
        <v>18</v>
      </c>
      <c r="C14" s="53"/>
      <c r="D14" s="3"/>
      <c r="E14" s="3"/>
      <c r="F14" s="3"/>
      <c r="G14" s="3"/>
      <c r="H14" s="3">
        <v>0</v>
      </c>
      <c r="I14" s="5">
        <v>1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3">
        <v>1</v>
      </c>
      <c r="P14" s="3">
        <v>1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3">
        <v>2</v>
      </c>
      <c r="W14" s="3">
        <v>1</v>
      </c>
      <c r="X14" s="3">
        <v>1</v>
      </c>
      <c r="Y14" s="3">
        <v>0</v>
      </c>
      <c r="Z14" s="3">
        <v>0</v>
      </c>
      <c r="AA14" s="3"/>
      <c r="AB14" s="11">
        <f>D69+E14+F14+G14+H14+I14+J14+K14+L14+M14+N14+O14+P14+Q14+R14+S14+T14+U14+V14+W14+X14+Y14+Z14+AA14</f>
        <v>10</v>
      </c>
    </row>
    <row r="15" spans="1:28" x14ac:dyDescent="0.25">
      <c r="B15" s="52" t="s">
        <v>19</v>
      </c>
      <c r="C15" s="53"/>
      <c r="D15" s="3"/>
      <c r="E15" s="3"/>
      <c r="F15" s="3"/>
      <c r="G15" s="3"/>
      <c r="H15" s="3">
        <v>0</v>
      </c>
      <c r="I15" s="5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3">
        <v>4</v>
      </c>
      <c r="P15" s="3">
        <v>2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2</v>
      </c>
      <c r="W15" s="3">
        <v>0</v>
      </c>
      <c r="X15" s="3">
        <v>0</v>
      </c>
      <c r="Y15" s="3">
        <v>1</v>
      </c>
      <c r="Z15" s="3">
        <v>0</v>
      </c>
      <c r="AA15" s="3"/>
      <c r="AB15" s="11">
        <f t="shared" si="0"/>
        <v>11</v>
      </c>
    </row>
    <row r="16" spans="1:28" x14ac:dyDescent="0.25">
      <c r="B16" s="52" t="s">
        <v>20</v>
      </c>
      <c r="C16" s="53"/>
      <c r="D16" s="3"/>
      <c r="E16" s="3"/>
      <c r="F16" s="3"/>
      <c r="G16" s="3"/>
      <c r="H16" s="3">
        <v>0</v>
      </c>
      <c r="I16" s="5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3">
        <v>2</v>
      </c>
      <c r="P16" s="3">
        <v>1</v>
      </c>
      <c r="Q16" s="3">
        <v>0</v>
      </c>
      <c r="R16" s="3">
        <v>0</v>
      </c>
      <c r="S16" s="3">
        <v>0</v>
      </c>
      <c r="T16" s="3">
        <v>0</v>
      </c>
      <c r="U16" s="3">
        <v>1</v>
      </c>
      <c r="V16" s="3">
        <v>0</v>
      </c>
      <c r="W16" s="3">
        <v>0</v>
      </c>
      <c r="X16" s="3">
        <v>0</v>
      </c>
      <c r="Y16" s="3">
        <v>1</v>
      </c>
      <c r="Z16" s="3">
        <v>0</v>
      </c>
      <c r="AA16" s="3"/>
      <c r="AB16" s="11">
        <f t="shared" si="0"/>
        <v>5</v>
      </c>
    </row>
    <row r="17" spans="2:50" x14ac:dyDescent="0.25">
      <c r="B17" s="52" t="s">
        <v>12</v>
      </c>
      <c r="C17" s="53"/>
      <c r="D17" s="3"/>
      <c r="E17" s="3"/>
      <c r="F17" s="3"/>
      <c r="G17" s="3"/>
      <c r="H17" s="3">
        <v>0</v>
      </c>
      <c r="I17" s="5">
        <v>0</v>
      </c>
      <c r="J17" s="7">
        <v>0</v>
      </c>
      <c r="K17" s="7">
        <v>1</v>
      </c>
      <c r="L17" s="7">
        <v>0</v>
      </c>
      <c r="M17" s="7">
        <v>0</v>
      </c>
      <c r="N17" s="7">
        <v>0</v>
      </c>
      <c r="O17" s="3">
        <v>2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</v>
      </c>
      <c r="V17" s="3">
        <v>0</v>
      </c>
      <c r="W17" s="3">
        <v>0</v>
      </c>
      <c r="X17" s="3">
        <v>1</v>
      </c>
      <c r="Y17" s="3">
        <v>0</v>
      </c>
      <c r="Z17" s="3">
        <v>0</v>
      </c>
      <c r="AA17" s="3"/>
      <c r="AB17" s="11">
        <f t="shared" si="0"/>
        <v>6</v>
      </c>
    </row>
    <row r="18" spans="2:50" x14ac:dyDescent="0.25">
      <c r="B18" s="52" t="s">
        <v>21</v>
      </c>
      <c r="C18" s="53"/>
      <c r="D18" s="3"/>
      <c r="E18" s="3"/>
      <c r="F18" s="3"/>
      <c r="G18" s="3"/>
      <c r="H18" s="3">
        <v>0</v>
      </c>
      <c r="I18" s="5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1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/>
      <c r="AB18" s="11">
        <f t="shared" si="0"/>
        <v>3</v>
      </c>
    </row>
    <row r="19" spans="2:50" x14ac:dyDescent="0.25">
      <c r="B19" s="52" t="s">
        <v>10</v>
      </c>
      <c r="C19" s="53"/>
      <c r="D19" s="3"/>
      <c r="E19" s="3"/>
      <c r="F19" s="3"/>
      <c r="G19" s="3"/>
      <c r="H19" s="3">
        <v>0</v>
      </c>
      <c r="I19" s="5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3">
        <v>5</v>
      </c>
      <c r="P19" s="3">
        <v>0</v>
      </c>
      <c r="Q19" s="3">
        <v>0</v>
      </c>
      <c r="R19" s="3">
        <v>2</v>
      </c>
      <c r="S19" s="3">
        <v>1</v>
      </c>
      <c r="T19" s="3">
        <v>0</v>
      </c>
      <c r="U19" s="3">
        <v>0</v>
      </c>
      <c r="V19" s="3">
        <v>1</v>
      </c>
      <c r="W19" s="3">
        <v>0</v>
      </c>
      <c r="X19" s="3">
        <v>0</v>
      </c>
      <c r="Y19" s="3">
        <v>0</v>
      </c>
      <c r="Z19" s="3">
        <v>1</v>
      </c>
      <c r="AA19" s="3"/>
      <c r="AB19" s="11">
        <f t="shared" si="0"/>
        <v>10</v>
      </c>
    </row>
    <row r="20" spans="2:50" x14ac:dyDescent="0.25">
      <c r="B20" s="52" t="s">
        <v>11</v>
      </c>
      <c r="C20" s="53"/>
      <c r="D20" s="3"/>
      <c r="E20" s="3"/>
      <c r="F20" s="3"/>
      <c r="G20" s="3"/>
      <c r="H20" s="3">
        <v>0</v>
      </c>
      <c r="I20" s="5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3">
        <v>1</v>
      </c>
      <c r="P20" s="3">
        <v>0</v>
      </c>
      <c r="Q20" s="3">
        <v>1</v>
      </c>
      <c r="R20" s="3">
        <v>1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</v>
      </c>
      <c r="Z20" s="3">
        <v>2</v>
      </c>
      <c r="AA20" s="3"/>
      <c r="AB20" s="11">
        <f t="shared" si="0"/>
        <v>6</v>
      </c>
    </row>
    <row r="21" spans="2:50" x14ac:dyDescent="0.25">
      <c r="B21" s="52" t="s">
        <v>13</v>
      </c>
      <c r="C21" s="53"/>
      <c r="D21" s="3"/>
      <c r="E21" s="3"/>
      <c r="F21" s="3"/>
      <c r="G21" s="3"/>
      <c r="H21" s="3">
        <v>0</v>
      </c>
      <c r="I21" s="5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3">
        <v>1</v>
      </c>
      <c r="P21" s="3">
        <v>0</v>
      </c>
      <c r="Q21" s="3">
        <v>0</v>
      </c>
      <c r="R21" s="3">
        <v>0</v>
      </c>
      <c r="S21" s="3">
        <v>1</v>
      </c>
      <c r="T21" s="3">
        <v>0</v>
      </c>
      <c r="U21" s="3">
        <v>0</v>
      </c>
      <c r="V21" s="3">
        <v>0</v>
      </c>
      <c r="W21" s="3">
        <v>1</v>
      </c>
      <c r="X21" s="3">
        <v>0</v>
      </c>
      <c r="Y21" s="3">
        <v>0</v>
      </c>
      <c r="Z21" s="3">
        <v>0</v>
      </c>
      <c r="AA21" s="3"/>
      <c r="AB21" s="11">
        <f t="shared" si="0"/>
        <v>4</v>
      </c>
    </row>
    <row r="22" spans="2:50" x14ac:dyDescent="0.25">
      <c r="B22" s="52" t="s">
        <v>28</v>
      </c>
      <c r="C22" s="53"/>
      <c r="D22" s="3"/>
      <c r="E22" s="3"/>
      <c r="F22" s="3"/>
      <c r="G22" s="3"/>
      <c r="H22" s="3">
        <v>0</v>
      </c>
      <c r="I22" s="5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</v>
      </c>
      <c r="W22" s="3">
        <v>1</v>
      </c>
      <c r="X22" s="3">
        <v>0</v>
      </c>
      <c r="Y22" s="3">
        <v>0</v>
      </c>
      <c r="Z22" s="3">
        <v>0</v>
      </c>
      <c r="AA22" s="3"/>
      <c r="AB22" s="11">
        <f t="shared" si="0"/>
        <v>5</v>
      </c>
    </row>
    <row r="23" spans="2:50" x14ac:dyDescent="0.25">
      <c r="B23" s="52" t="s">
        <v>29</v>
      </c>
      <c r="C23" s="53"/>
      <c r="D23" s="3"/>
      <c r="E23" s="3"/>
      <c r="F23" s="3"/>
      <c r="G23" s="3"/>
      <c r="H23" s="3">
        <v>0</v>
      </c>
      <c r="I23" s="5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3">
        <v>0</v>
      </c>
      <c r="P23" s="3">
        <v>2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1</v>
      </c>
      <c r="AA23" s="3"/>
      <c r="AB23" s="11">
        <f t="shared" si="0"/>
        <v>4</v>
      </c>
    </row>
    <row r="24" spans="2:50" x14ac:dyDescent="0.25">
      <c r="B24" s="52" t="s">
        <v>14</v>
      </c>
      <c r="C24" s="53"/>
      <c r="D24" s="3"/>
      <c r="E24" s="3"/>
      <c r="F24" s="3"/>
      <c r="G24" s="3"/>
      <c r="H24" s="3">
        <v>0</v>
      </c>
      <c r="I24" s="5">
        <v>0</v>
      </c>
      <c r="J24" s="7">
        <v>1</v>
      </c>
      <c r="K24" s="7">
        <v>0</v>
      </c>
      <c r="L24" s="7">
        <v>1</v>
      </c>
      <c r="M24" s="7">
        <v>0</v>
      </c>
      <c r="N24" s="7">
        <v>0</v>
      </c>
      <c r="O24" s="3">
        <v>1</v>
      </c>
      <c r="P24" s="3">
        <v>0</v>
      </c>
      <c r="Q24" s="3">
        <v>1</v>
      </c>
      <c r="R24" s="3">
        <v>1</v>
      </c>
      <c r="S24" s="3">
        <v>0</v>
      </c>
      <c r="T24" s="3">
        <v>2</v>
      </c>
      <c r="U24" s="3">
        <v>1</v>
      </c>
      <c r="V24" s="3">
        <v>1</v>
      </c>
      <c r="W24" s="3">
        <v>0</v>
      </c>
      <c r="X24" s="3">
        <v>2</v>
      </c>
      <c r="Y24" s="3">
        <v>0</v>
      </c>
      <c r="Z24" s="3">
        <v>0</v>
      </c>
      <c r="AA24" s="3"/>
      <c r="AB24" s="11">
        <f t="shared" si="0"/>
        <v>12</v>
      </c>
      <c r="AF24" t="s">
        <v>35</v>
      </c>
    </row>
    <row r="25" spans="2:50" x14ac:dyDescent="0.25">
      <c r="B25" s="52" t="s">
        <v>15</v>
      </c>
      <c r="C25" s="53"/>
      <c r="D25" s="3"/>
      <c r="E25" s="3"/>
      <c r="F25" s="3"/>
      <c r="G25" s="3"/>
      <c r="H25" s="3">
        <v>0</v>
      </c>
      <c r="I25" s="5">
        <v>1</v>
      </c>
      <c r="J25" s="7">
        <v>1</v>
      </c>
      <c r="K25" s="7">
        <v>0</v>
      </c>
      <c r="L25" s="7">
        <v>1</v>
      </c>
      <c r="M25" s="7">
        <v>0</v>
      </c>
      <c r="N25" s="7">
        <v>0</v>
      </c>
      <c r="O25" s="3">
        <v>1</v>
      </c>
      <c r="P25" s="3">
        <v>0</v>
      </c>
      <c r="Q25" s="3">
        <v>1</v>
      </c>
      <c r="R25" s="3">
        <v>0</v>
      </c>
      <c r="S25" s="3">
        <v>0</v>
      </c>
      <c r="T25" s="3">
        <v>1</v>
      </c>
      <c r="U25" s="3">
        <v>1</v>
      </c>
      <c r="V25" s="3">
        <v>1</v>
      </c>
      <c r="W25" s="3">
        <v>1</v>
      </c>
      <c r="X25" s="3">
        <v>0</v>
      </c>
      <c r="Y25" s="3">
        <v>1</v>
      </c>
      <c r="Z25" s="3">
        <v>2</v>
      </c>
      <c r="AA25" s="3"/>
      <c r="AB25" s="11">
        <f t="shared" si="0"/>
        <v>12</v>
      </c>
    </row>
    <row r="26" spans="2:50" x14ac:dyDescent="0.25">
      <c r="B26" s="52" t="s">
        <v>16</v>
      </c>
      <c r="C26" s="53"/>
      <c r="D26" s="3"/>
      <c r="E26" s="3"/>
      <c r="F26" s="3"/>
      <c r="G26" s="3"/>
      <c r="H26" s="3">
        <v>0</v>
      </c>
      <c r="I26" s="5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3">
        <v>2</v>
      </c>
      <c r="P26" s="3">
        <v>0</v>
      </c>
      <c r="Q26" s="3">
        <v>0</v>
      </c>
      <c r="R26" s="3">
        <v>0</v>
      </c>
      <c r="S26" s="3">
        <v>1</v>
      </c>
      <c r="T26" s="3">
        <v>1</v>
      </c>
      <c r="U26" s="3">
        <v>0</v>
      </c>
      <c r="V26" s="3">
        <v>0</v>
      </c>
      <c r="W26" s="3">
        <v>2</v>
      </c>
      <c r="X26" s="3">
        <v>1</v>
      </c>
      <c r="Y26" s="3">
        <v>1</v>
      </c>
      <c r="Z26" s="3">
        <v>1</v>
      </c>
      <c r="AA26" s="3"/>
      <c r="AB26" s="11">
        <f t="shared" si="0"/>
        <v>12</v>
      </c>
    </row>
    <row r="27" spans="2:50" ht="15.75" customHeight="1" x14ac:dyDescent="0.25">
      <c r="B27" s="52" t="s">
        <v>17</v>
      </c>
      <c r="C27" s="53"/>
      <c r="D27" s="3"/>
      <c r="E27" s="3"/>
      <c r="F27" s="3"/>
      <c r="G27" s="3"/>
      <c r="H27" s="3">
        <v>0</v>
      </c>
      <c r="I27" s="5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3">
        <v>0</v>
      </c>
      <c r="P27" s="3">
        <v>0</v>
      </c>
      <c r="Q27" s="3">
        <v>1</v>
      </c>
      <c r="R27" s="3">
        <v>0</v>
      </c>
      <c r="S27" s="3">
        <v>1</v>
      </c>
      <c r="T27" s="3">
        <v>0</v>
      </c>
      <c r="U27" s="3">
        <v>0</v>
      </c>
      <c r="V27" s="3">
        <v>1</v>
      </c>
      <c r="W27" s="3">
        <v>0</v>
      </c>
      <c r="X27" s="3">
        <v>0</v>
      </c>
      <c r="Y27" s="3">
        <v>2</v>
      </c>
      <c r="Z27" s="3">
        <v>0</v>
      </c>
      <c r="AA27" s="3"/>
      <c r="AB27" s="11">
        <f t="shared" si="0"/>
        <v>7</v>
      </c>
    </row>
    <row r="28" spans="2:50" s="1" customFormat="1" x14ac:dyDescent="0.25">
      <c r="B28" s="9" t="s">
        <v>27</v>
      </c>
      <c r="C28" s="2"/>
      <c r="D28" s="2"/>
      <c r="E28" s="2"/>
      <c r="F28" s="2"/>
      <c r="G28" s="2"/>
      <c r="H28" s="2">
        <f t="shared" ref="H28:Z28" si="1">H8+H9+H10+H11+H12+H13+H14+H15+H16+H17+H18+H19+H20+H21+H22+H23+H24+H25+H26+H27</f>
        <v>1</v>
      </c>
      <c r="I28" s="2">
        <f t="shared" si="1"/>
        <v>4</v>
      </c>
      <c r="J28" s="4">
        <f t="shared" si="1"/>
        <v>6</v>
      </c>
      <c r="K28" s="4">
        <f t="shared" si="1"/>
        <v>3</v>
      </c>
      <c r="L28" s="4">
        <f t="shared" si="1"/>
        <v>5</v>
      </c>
      <c r="M28" s="4">
        <f t="shared" ref="M28" si="2">M8+M9+M10+M11+M12+M13+M14+M15+M16+M17+M18+M19+M20+M21+M22+M23+M24+M25+M26+M27</f>
        <v>0</v>
      </c>
      <c r="N28" s="4">
        <f t="shared" ref="N28" si="3">N8+N9+N10+N11+N12+N13+N14+N15+N16+N17+N18+N19+N20+N21+N22+N23+N24+N25+N26+N27</f>
        <v>0</v>
      </c>
      <c r="O28" s="2">
        <f t="shared" si="1"/>
        <v>31</v>
      </c>
      <c r="P28" s="2">
        <f t="shared" si="1"/>
        <v>10</v>
      </c>
      <c r="Q28" s="2">
        <f t="shared" si="1"/>
        <v>10</v>
      </c>
      <c r="R28" s="2">
        <f t="shared" si="1"/>
        <v>10</v>
      </c>
      <c r="S28" s="2">
        <f t="shared" si="1"/>
        <v>8</v>
      </c>
      <c r="T28" s="2">
        <f t="shared" si="1"/>
        <v>8</v>
      </c>
      <c r="U28" s="2">
        <f t="shared" si="1"/>
        <v>9</v>
      </c>
      <c r="V28" s="2">
        <f t="shared" si="1"/>
        <v>11</v>
      </c>
      <c r="W28" s="2">
        <f t="shared" si="1"/>
        <v>12</v>
      </c>
      <c r="X28" s="2">
        <f>X8+X9+X10+X11+X12+X13+X14+X15+X16+X17+X18+X19+X20+X21+X22+X23+X24+X25+X26+X27</f>
        <v>12</v>
      </c>
      <c r="Y28" s="2">
        <f t="shared" si="1"/>
        <v>13</v>
      </c>
      <c r="Z28" s="2">
        <f t="shared" si="1"/>
        <v>9</v>
      </c>
      <c r="AA28" s="2"/>
      <c r="AB28" s="11">
        <f>D83+E28+F28+G28+H28+I28+J28+K28+L28+M28+N28+O28+P28+Q28+R28+S28+T28+U28+V28+W28+X28+Y28+Z28+AA28</f>
        <v>163</v>
      </c>
      <c r="AD28" s="1">
        <v>163</v>
      </c>
      <c r="AL28" s="29"/>
      <c r="AR28" s="24"/>
      <c r="AX28" s="24"/>
    </row>
    <row r="29" spans="2:50" ht="32.25" customHeight="1" x14ac:dyDescent="0.25"/>
    <row r="30" spans="2:50" ht="22.5" customHeight="1" x14ac:dyDescent="0.25">
      <c r="B30" s="40" t="s">
        <v>31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2" spans="2:50" x14ac:dyDescent="0.25">
      <c r="B32" s="47" t="s">
        <v>24</v>
      </c>
      <c r="C32" s="47"/>
      <c r="D32" s="43" t="s">
        <v>30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 spans="2:29" x14ac:dyDescent="0.25">
      <c r="B33" s="47" t="s">
        <v>23</v>
      </c>
      <c r="C33" s="47"/>
      <c r="D33" s="2" t="s">
        <v>0</v>
      </c>
      <c r="E33" s="4" t="s">
        <v>1</v>
      </c>
      <c r="F33" s="4" t="s">
        <v>1</v>
      </c>
      <c r="G33" s="4" t="s">
        <v>2</v>
      </c>
      <c r="H33" s="4" t="s">
        <v>3</v>
      </c>
      <c r="I33" s="2" t="s">
        <v>0</v>
      </c>
      <c r="J33" s="4" t="s">
        <v>1</v>
      </c>
      <c r="K33" s="4" t="s">
        <v>1</v>
      </c>
      <c r="L33" s="4" t="s">
        <v>2</v>
      </c>
      <c r="M33" s="4" t="s">
        <v>3</v>
      </c>
      <c r="N33" s="2" t="s">
        <v>0</v>
      </c>
      <c r="O33" s="4" t="s">
        <v>1</v>
      </c>
      <c r="P33" s="4" t="s">
        <v>1</v>
      </c>
      <c r="Q33" s="4" t="s">
        <v>2</v>
      </c>
      <c r="R33" s="4" t="s">
        <v>3</v>
      </c>
      <c r="S33" s="2" t="s">
        <v>0</v>
      </c>
      <c r="T33" s="4" t="s">
        <v>1</v>
      </c>
      <c r="U33" s="4" t="s">
        <v>1</v>
      </c>
      <c r="V33" s="4" t="s">
        <v>2</v>
      </c>
      <c r="W33" s="4" t="s">
        <v>3</v>
      </c>
      <c r="X33" s="2" t="s">
        <v>0</v>
      </c>
      <c r="Y33" s="4" t="s">
        <v>1</v>
      </c>
      <c r="Z33" s="4" t="s">
        <v>1</v>
      </c>
      <c r="AA33" s="4" t="s">
        <v>2</v>
      </c>
      <c r="AB33" s="4" t="s">
        <v>3</v>
      </c>
      <c r="AC33" s="2" t="s">
        <v>27</v>
      </c>
    </row>
    <row r="34" spans="2:29" ht="12" customHeight="1" x14ac:dyDescent="0.25">
      <c r="B34" s="47" t="s">
        <v>22</v>
      </c>
      <c r="C34" s="47"/>
      <c r="D34" s="42"/>
      <c r="E34" s="42"/>
      <c r="F34" s="42"/>
      <c r="G34" s="42"/>
      <c r="H34" s="42">
        <v>1</v>
      </c>
      <c r="I34" s="46">
        <v>4</v>
      </c>
      <c r="J34" s="46">
        <v>5</v>
      </c>
      <c r="K34" s="46">
        <v>6</v>
      </c>
      <c r="L34" s="46">
        <v>7</v>
      </c>
      <c r="M34" s="46">
        <v>8</v>
      </c>
      <c r="N34" s="42">
        <v>11</v>
      </c>
      <c r="O34" s="42">
        <v>12</v>
      </c>
      <c r="P34" s="42">
        <v>13</v>
      </c>
      <c r="Q34" s="42">
        <v>14</v>
      </c>
      <c r="R34" s="42">
        <v>15</v>
      </c>
      <c r="S34" s="42">
        <v>18</v>
      </c>
      <c r="T34" s="42">
        <v>19</v>
      </c>
      <c r="U34" s="42">
        <v>20</v>
      </c>
      <c r="V34" s="42">
        <v>21</v>
      </c>
      <c r="W34" s="42">
        <v>22</v>
      </c>
      <c r="X34" s="42">
        <v>25</v>
      </c>
      <c r="Y34" s="42">
        <v>26</v>
      </c>
      <c r="Z34" s="42">
        <v>27</v>
      </c>
      <c r="AA34" s="42">
        <v>28</v>
      </c>
      <c r="AB34" s="42">
        <v>29</v>
      </c>
      <c r="AC34" s="62"/>
    </row>
    <row r="35" spans="2:29" ht="9.75" customHeight="1" x14ac:dyDescent="0.25">
      <c r="B35" s="43" t="s">
        <v>25</v>
      </c>
      <c r="C35" s="44"/>
      <c r="D35" s="42"/>
      <c r="E35" s="42"/>
      <c r="F35" s="42"/>
      <c r="G35" s="42"/>
      <c r="H35" s="42"/>
      <c r="I35" s="46"/>
      <c r="J35" s="46"/>
      <c r="K35" s="46"/>
      <c r="L35" s="46"/>
      <c r="M35" s="46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63"/>
    </row>
    <row r="36" spans="2:29" x14ac:dyDescent="0.25">
      <c r="B36" s="45" t="s">
        <v>4</v>
      </c>
      <c r="C36" s="45"/>
      <c r="D36" s="3"/>
      <c r="E36" s="3"/>
      <c r="F36" s="3"/>
      <c r="G36" s="3"/>
      <c r="H36" s="3">
        <v>0</v>
      </c>
      <c r="I36" s="5">
        <v>2</v>
      </c>
      <c r="J36" s="7">
        <v>1</v>
      </c>
      <c r="K36" s="7">
        <v>1</v>
      </c>
      <c r="L36" s="7">
        <v>0</v>
      </c>
      <c r="M36" s="7">
        <v>1</v>
      </c>
      <c r="N36" s="7">
        <v>0</v>
      </c>
      <c r="O36" s="7">
        <v>0</v>
      </c>
      <c r="P36" s="7">
        <v>0</v>
      </c>
      <c r="Q36" s="7">
        <v>0</v>
      </c>
      <c r="R36" s="3">
        <v>2</v>
      </c>
      <c r="S36" s="3">
        <v>0</v>
      </c>
      <c r="T36" s="3">
        <v>1</v>
      </c>
      <c r="U36" s="3">
        <v>0</v>
      </c>
      <c r="V36" s="3">
        <v>1</v>
      </c>
      <c r="W36" s="3">
        <v>0</v>
      </c>
      <c r="X36" s="3">
        <v>1</v>
      </c>
      <c r="Y36" s="3">
        <v>1</v>
      </c>
      <c r="Z36" s="3">
        <v>4</v>
      </c>
      <c r="AA36" s="3"/>
      <c r="AB36" s="3"/>
      <c r="AC36" s="11">
        <f>D36+E36+F36+G36+H36+I36+J36+K36+L36+M36+N36+O36+P36+Q36+R36+S36+T36+V36+U36+W36+X36+Y36+Z36+AA36+AB36</f>
        <v>15</v>
      </c>
    </row>
    <row r="37" spans="2:29" x14ac:dyDescent="0.25">
      <c r="B37" s="41" t="s">
        <v>7</v>
      </c>
      <c r="C37" s="41"/>
      <c r="D37" s="3"/>
      <c r="E37" s="3"/>
      <c r="F37" s="3"/>
      <c r="G37" s="3"/>
      <c r="H37" s="3">
        <v>0</v>
      </c>
      <c r="I37" s="5">
        <v>1</v>
      </c>
      <c r="J37" s="7">
        <v>1</v>
      </c>
      <c r="K37" s="7">
        <v>0</v>
      </c>
      <c r="L37" s="7">
        <v>0</v>
      </c>
      <c r="M37" s="7">
        <v>0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0</v>
      </c>
      <c r="T37" s="3">
        <v>0</v>
      </c>
      <c r="U37" s="3">
        <v>1</v>
      </c>
      <c r="V37" s="3">
        <v>3</v>
      </c>
      <c r="W37" s="3">
        <v>0</v>
      </c>
      <c r="X37" s="3">
        <v>2</v>
      </c>
      <c r="Y37" s="3">
        <v>4</v>
      </c>
      <c r="Z37" s="3">
        <v>1</v>
      </c>
      <c r="AA37" s="3"/>
      <c r="AB37" s="11"/>
      <c r="AC37" s="11">
        <f t="shared" ref="AC37:AC55" si="4">D37+E37+F37+G37+H37+I37+J37+K37+L37+M37+N37+O37+P37+Q37+R37+S37+T37+V37+U37+W37+X37+Y37+Z37+AA37+AB37</f>
        <v>18</v>
      </c>
    </row>
    <row r="38" spans="2:29" x14ac:dyDescent="0.25">
      <c r="B38" s="41" t="s">
        <v>5</v>
      </c>
      <c r="C38" s="41"/>
      <c r="D38" s="3"/>
      <c r="E38" s="3"/>
      <c r="F38" s="3"/>
      <c r="G38" s="3"/>
      <c r="H38" s="3">
        <v>1</v>
      </c>
      <c r="I38" s="5">
        <v>3</v>
      </c>
      <c r="J38" s="7">
        <v>1</v>
      </c>
      <c r="K38" s="7">
        <v>0</v>
      </c>
      <c r="L38" s="7">
        <v>1</v>
      </c>
      <c r="M38" s="7">
        <v>1</v>
      </c>
      <c r="N38" s="3">
        <v>1</v>
      </c>
      <c r="O38" s="3">
        <v>1</v>
      </c>
      <c r="P38" s="3">
        <v>2</v>
      </c>
      <c r="Q38" s="3">
        <v>0</v>
      </c>
      <c r="R38" s="3">
        <v>1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/>
      <c r="AB38" s="11"/>
      <c r="AC38" s="11">
        <f t="shared" si="4"/>
        <v>12</v>
      </c>
    </row>
    <row r="39" spans="2:29" x14ac:dyDescent="0.25">
      <c r="B39" s="41" t="s">
        <v>6</v>
      </c>
      <c r="C39" s="41"/>
      <c r="D39" s="3"/>
      <c r="E39" s="3"/>
      <c r="F39" s="3"/>
      <c r="G39" s="3"/>
      <c r="H39" s="3">
        <v>0</v>
      </c>
      <c r="I39" s="5">
        <v>1</v>
      </c>
      <c r="J39" s="7">
        <v>0</v>
      </c>
      <c r="K39" s="7">
        <v>0</v>
      </c>
      <c r="L39" s="7">
        <v>0</v>
      </c>
      <c r="M39" s="7">
        <v>0</v>
      </c>
      <c r="N39" s="3">
        <v>3</v>
      </c>
      <c r="O39" s="3">
        <v>3</v>
      </c>
      <c r="P39" s="3">
        <v>3</v>
      </c>
      <c r="Q39" s="3">
        <v>2</v>
      </c>
      <c r="R39" s="3">
        <v>3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/>
      <c r="AB39" s="11"/>
      <c r="AC39" s="11">
        <f t="shared" si="4"/>
        <v>15</v>
      </c>
    </row>
    <row r="40" spans="2:29" x14ac:dyDescent="0.25">
      <c r="B40" s="41" t="s">
        <v>8</v>
      </c>
      <c r="C40" s="41"/>
      <c r="D40" s="3"/>
      <c r="E40" s="3"/>
      <c r="F40" s="3"/>
      <c r="G40" s="3"/>
      <c r="H40" s="3">
        <v>0</v>
      </c>
      <c r="I40" s="5">
        <v>1</v>
      </c>
      <c r="J40" s="7">
        <v>0</v>
      </c>
      <c r="K40" s="7">
        <v>0</v>
      </c>
      <c r="L40" s="7">
        <v>1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3">
        <v>1</v>
      </c>
      <c r="S40" s="3">
        <v>0</v>
      </c>
      <c r="T40" s="3">
        <v>1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1</v>
      </c>
      <c r="AA40" s="3"/>
      <c r="AB40" s="11"/>
      <c r="AC40" s="11">
        <f t="shared" si="4"/>
        <v>5</v>
      </c>
    </row>
    <row r="41" spans="2:29" x14ac:dyDescent="0.25">
      <c r="B41" s="41" t="s">
        <v>9</v>
      </c>
      <c r="C41" s="41"/>
      <c r="D41" s="3"/>
      <c r="E41" s="3"/>
      <c r="F41" s="3"/>
      <c r="G41" s="3"/>
      <c r="H41" s="3">
        <v>1</v>
      </c>
      <c r="I41" s="5">
        <v>2</v>
      </c>
      <c r="J41" s="7">
        <v>5</v>
      </c>
      <c r="K41" s="7">
        <v>1</v>
      </c>
      <c r="L41" s="7">
        <v>1</v>
      </c>
      <c r="M41" s="7">
        <v>3</v>
      </c>
      <c r="N41" s="3">
        <v>3</v>
      </c>
      <c r="O41" s="3">
        <v>2</v>
      </c>
      <c r="P41" s="3">
        <v>1</v>
      </c>
      <c r="Q41" s="3">
        <v>1</v>
      </c>
      <c r="R41" s="3">
        <v>1</v>
      </c>
      <c r="S41" s="3">
        <v>0</v>
      </c>
      <c r="T41" s="3">
        <v>0</v>
      </c>
      <c r="U41" s="3">
        <v>1</v>
      </c>
      <c r="V41" s="3">
        <v>1</v>
      </c>
      <c r="W41" s="3">
        <v>0</v>
      </c>
      <c r="X41" s="3">
        <v>2</v>
      </c>
      <c r="Y41" s="3">
        <v>1</v>
      </c>
      <c r="Z41" s="3">
        <v>1</v>
      </c>
      <c r="AA41" s="3"/>
      <c r="AB41" s="11"/>
      <c r="AC41" s="11">
        <f t="shared" si="4"/>
        <v>27</v>
      </c>
    </row>
    <row r="42" spans="2:29" x14ac:dyDescent="0.25">
      <c r="B42" s="41" t="s">
        <v>18</v>
      </c>
      <c r="C42" s="41"/>
      <c r="D42" s="3"/>
      <c r="E42" s="3"/>
      <c r="F42" s="3"/>
      <c r="G42" s="3"/>
      <c r="H42" s="3">
        <v>0</v>
      </c>
      <c r="I42" s="5">
        <v>3</v>
      </c>
      <c r="J42" s="7">
        <v>2</v>
      </c>
      <c r="K42" s="7">
        <v>2</v>
      </c>
      <c r="L42" s="7">
        <v>1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3">
        <v>0</v>
      </c>
      <c r="T42" s="7">
        <v>0</v>
      </c>
      <c r="U42" s="7">
        <v>0</v>
      </c>
      <c r="V42" s="7">
        <v>0</v>
      </c>
      <c r="W42" s="3">
        <v>0</v>
      </c>
      <c r="X42" s="7">
        <v>0</v>
      </c>
      <c r="Y42" s="7">
        <v>0</v>
      </c>
      <c r="Z42" s="3">
        <v>1</v>
      </c>
      <c r="AA42" s="3"/>
      <c r="AB42" s="11"/>
      <c r="AC42" s="11">
        <f t="shared" si="4"/>
        <v>9</v>
      </c>
    </row>
    <row r="43" spans="2:29" x14ac:dyDescent="0.25">
      <c r="B43" s="41" t="s">
        <v>19</v>
      </c>
      <c r="C43" s="41"/>
      <c r="D43" s="3"/>
      <c r="E43" s="3"/>
      <c r="F43" s="3"/>
      <c r="G43" s="3"/>
      <c r="H43" s="3">
        <v>0</v>
      </c>
      <c r="I43" s="5">
        <v>0</v>
      </c>
      <c r="J43" s="7">
        <v>0</v>
      </c>
      <c r="K43" s="7">
        <v>0</v>
      </c>
      <c r="L43" s="7">
        <v>0</v>
      </c>
      <c r="M43" s="7">
        <v>1</v>
      </c>
      <c r="N43" s="3">
        <v>1</v>
      </c>
      <c r="O43" s="3">
        <v>1</v>
      </c>
      <c r="P43" s="3">
        <v>1</v>
      </c>
      <c r="Q43" s="3">
        <v>1</v>
      </c>
      <c r="R43" s="3">
        <v>1</v>
      </c>
      <c r="S43" s="3">
        <v>0</v>
      </c>
      <c r="T43" s="3">
        <v>0</v>
      </c>
      <c r="U43" s="3">
        <v>2</v>
      </c>
      <c r="V43" s="3">
        <v>1</v>
      </c>
      <c r="W43" s="3">
        <v>0</v>
      </c>
      <c r="X43" s="3">
        <v>2</v>
      </c>
      <c r="Y43" s="3">
        <v>3</v>
      </c>
      <c r="Z43" s="3">
        <v>2</v>
      </c>
      <c r="AA43" s="3"/>
      <c r="AB43" s="11"/>
      <c r="AC43" s="11">
        <f t="shared" si="4"/>
        <v>16</v>
      </c>
    </row>
    <row r="44" spans="2:29" x14ac:dyDescent="0.25">
      <c r="B44" s="41" t="s">
        <v>20</v>
      </c>
      <c r="C44" s="41"/>
      <c r="D44" s="3"/>
      <c r="E44" s="3"/>
      <c r="F44" s="3"/>
      <c r="G44" s="3"/>
      <c r="H44" s="3">
        <v>0</v>
      </c>
      <c r="I44" s="5">
        <v>1</v>
      </c>
      <c r="J44" s="7">
        <v>1</v>
      </c>
      <c r="K44" s="7">
        <v>0</v>
      </c>
      <c r="L44" s="7">
        <v>0</v>
      </c>
      <c r="M44" s="7">
        <v>0</v>
      </c>
      <c r="N44" s="3">
        <v>1</v>
      </c>
      <c r="O44" s="3">
        <v>0</v>
      </c>
      <c r="P44" s="3">
        <v>1</v>
      </c>
      <c r="Q44" s="3"/>
      <c r="R44" s="3">
        <v>2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</v>
      </c>
      <c r="Z44" s="3">
        <v>1</v>
      </c>
      <c r="AA44" s="3"/>
      <c r="AB44" s="11"/>
      <c r="AC44" s="11">
        <f t="shared" si="4"/>
        <v>8</v>
      </c>
    </row>
    <row r="45" spans="2:29" x14ac:dyDescent="0.25">
      <c r="B45" s="41" t="s">
        <v>12</v>
      </c>
      <c r="C45" s="41"/>
      <c r="D45" s="3"/>
      <c r="E45" s="3"/>
      <c r="F45" s="3"/>
      <c r="G45" s="3"/>
      <c r="H45" s="3">
        <v>0</v>
      </c>
      <c r="I45" s="5">
        <v>0</v>
      </c>
      <c r="J45" s="7">
        <v>0</v>
      </c>
      <c r="K45" s="7">
        <v>0</v>
      </c>
      <c r="L45" s="7">
        <v>1</v>
      </c>
      <c r="M45" s="7">
        <v>2</v>
      </c>
      <c r="N45" s="3">
        <v>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1</v>
      </c>
      <c r="Z45" s="3">
        <v>0</v>
      </c>
      <c r="AA45" s="3"/>
      <c r="AB45" s="11"/>
      <c r="AC45" s="11">
        <f t="shared" si="4"/>
        <v>5</v>
      </c>
    </row>
    <row r="46" spans="2:29" x14ac:dyDescent="0.25">
      <c r="B46" s="41" t="s">
        <v>21</v>
      </c>
      <c r="C46" s="41"/>
      <c r="D46" s="3"/>
      <c r="E46" s="3"/>
      <c r="F46" s="3"/>
      <c r="G46" s="3"/>
      <c r="H46" s="3">
        <v>0</v>
      </c>
      <c r="I46" s="5">
        <v>0</v>
      </c>
      <c r="J46" s="7">
        <v>0</v>
      </c>
      <c r="K46" s="7">
        <v>0</v>
      </c>
      <c r="L46" s="7">
        <v>1</v>
      </c>
      <c r="M46" s="7">
        <v>1</v>
      </c>
      <c r="N46" s="3">
        <v>4</v>
      </c>
      <c r="O46" s="3">
        <v>2</v>
      </c>
      <c r="P46" s="3">
        <v>4</v>
      </c>
      <c r="Q46" s="3">
        <v>2</v>
      </c>
      <c r="R46" s="3">
        <v>0</v>
      </c>
      <c r="S46" s="3">
        <v>0</v>
      </c>
      <c r="T46" s="3">
        <v>0</v>
      </c>
      <c r="U46" s="3">
        <v>0</v>
      </c>
      <c r="V46" s="3">
        <v>1</v>
      </c>
      <c r="W46" s="3">
        <v>0</v>
      </c>
      <c r="X46" s="3">
        <v>0</v>
      </c>
      <c r="Y46" s="3">
        <v>0</v>
      </c>
      <c r="Z46" s="3">
        <v>0</v>
      </c>
      <c r="AA46" s="3"/>
      <c r="AB46" s="11"/>
      <c r="AC46" s="11">
        <f t="shared" si="4"/>
        <v>15</v>
      </c>
    </row>
    <row r="47" spans="2:29" x14ac:dyDescent="0.25">
      <c r="B47" s="41" t="s">
        <v>10</v>
      </c>
      <c r="C47" s="41"/>
      <c r="D47" s="3"/>
      <c r="E47" s="3"/>
      <c r="F47" s="3"/>
      <c r="G47" s="3"/>
      <c r="H47" s="3">
        <v>1</v>
      </c>
      <c r="I47" s="5">
        <v>3</v>
      </c>
      <c r="J47" s="7">
        <v>3</v>
      </c>
      <c r="K47" s="7">
        <v>2</v>
      </c>
      <c r="L47" s="7">
        <v>1</v>
      </c>
      <c r="M47" s="7">
        <v>1</v>
      </c>
      <c r="N47" s="3"/>
      <c r="O47" s="3">
        <v>1</v>
      </c>
      <c r="P47" s="3">
        <v>2</v>
      </c>
      <c r="Q47" s="3">
        <v>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</v>
      </c>
      <c r="Y47" s="3">
        <v>0</v>
      </c>
      <c r="Z47" s="3">
        <v>2</v>
      </c>
      <c r="AA47" s="3"/>
      <c r="AB47" s="11"/>
      <c r="AC47" s="11">
        <f t="shared" si="4"/>
        <v>18</v>
      </c>
    </row>
    <row r="48" spans="2:29" x14ac:dyDescent="0.25">
      <c r="B48" s="41" t="s">
        <v>11</v>
      </c>
      <c r="C48" s="41"/>
      <c r="D48" s="3"/>
      <c r="E48" s="3"/>
      <c r="F48" s="3"/>
      <c r="G48" s="3"/>
      <c r="H48" s="3">
        <v>1</v>
      </c>
      <c r="I48" s="5">
        <v>0</v>
      </c>
      <c r="J48" s="7">
        <v>0</v>
      </c>
      <c r="K48" s="7">
        <v>0</v>
      </c>
      <c r="L48" s="7">
        <v>1</v>
      </c>
      <c r="M48" s="7">
        <v>1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2</v>
      </c>
      <c r="Y48" s="3">
        <v>0</v>
      </c>
      <c r="Z48" s="3">
        <v>0</v>
      </c>
      <c r="AA48" s="3"/>
      <c r="AB48" s="11"/>
      <c r="AC48" s="11">
        <f t="shared" si="4"/>
        <v>5</v>
      </c>
    </row>
    <row r="49" spans="2:31" x14ac:dyDescent="0.25">
      <c r="B49" s="41" t="s">
        <v>13</v>
      </c>
      <c r="C49" s="41"/>
      <c r="D49" s="3"/>
      <c r="E49" s="3"/>
      <c r="F49" s="3"/>
      <c r="G49" s="3"/>
      <c r="H49" s="3">
        <v>0</v>
      </c>
      <c r="I49" s="5">
        <v>0</v>
      </c>
      <c r="J49" s="7">
        <v>0</v>
      </c>
      <c r="K49" s="7">
        <v>0</v>
      </c>
      <c r="L49" s="7">
        <v>2</v>
      </c>
      <c r="M49" s="7">
        <v>3</v>
      </c>
      <c r="N49" s="3">
        <v>1</v>
      </c>
      <c r="O49" s="3">
        <v>0</v>
      </c>
      <c r="P49" s="3">
        <v>0</v>
      </c>
      <c r="Q49" s="3">
        <v>1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1</v>
      </c>
      <c r="Y49" s="3">
        <v>1</v>
      </c>
      <c r="Z49" s="3">
        <v>1</v>
      </c>
      <c r="AA49" s="3"/>
      <c r="AB49" s="11"/>
      <c r="AC49" s="11">
        <f t="shared" si="4"/>
        <v>10</v>
      </c>
    </row>
    <row r="50" spans="2:31" x14ac:dyDescent="0.25">
      <c r="B50" s="41" t="s">
        <v>28</v>
      </c>
      <c r="C50" s="41"/>
      <c r="D50" s="3"/>
      <c r="E50" s="3"/>
      <c r="F50" s="3"/>
      <c r="G50" s="3"/>
      <c r="H50" s="3">
        <v>0</v>
      </c>
      <c r="I50" s="5">
        <v>0</v>
      </c>
      <c r="J50" s="7">
        <v>0</v>
      </c>
      <c r="K50" s="7">
        <v>0</v>
      </c>
      <c r="L50" s="7">
        <v>0</v>
      </c>
      <c r="M50" s="7">
        <v>1</v>
      </c>
      <c r="N50" s="3">
        <v>0</v>
      </c>
      <c r="O50" s="3">
        <v>0</v>
      </c>
      <c r="P50" s="3">
        <v>0</v>
      </c>
      <c r="Q50" s="3"/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/>
      <c r="AB50" s="11"/>
      <c r="AC50" s="11">
        <f t="shared" si="4"/>
        <v>1</v>
      </c>
    </row>
    <row r="51" spans="2:31" x14ac:dyDescent="0.25">
      <c r="B51" s="41" t="s">
        <v>29</v>
      </c>
      <c r="C51" s="41"/>
      <c r="D51" s="3"/>
      <c r="E51" s="3"/>
      <c r="F51" s="3"/>
      <c r="G51" s="3"/>
      <c r="H51" s="3">
        <v>0</v>
      </c>
      <c r="I51" s="5">
        <v>1</v>
      </c>
      <c r="J51" s="7">
        <v>0</v>
      </c>
      <c r="K51" s="7">
        <v>0</v>
      </c>
      <c r="L51" s="7">
        <v>0</v>
      </c>
      <c r="M51" s="7">
        <v>1</v>
      </c>
      <c r="N51" s="3">
        <v>1</v>
      </c>
      <c r="O51" s="3">
        <v>0</v>
      </c>
      <c r="P51" s="3">
        <v>0</v>
      </c>
      <c r="Q51" s="3">
        <v>1</v>
      </c>
      <c r="R51" s="3">
        <v>2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1</v>
      </c>
      <c r="AA51" s="3"/>
      <c r="AB51" s="11"/>
      <c r="AC51" s="11">
        <f t="shared" si="4"/>
        <v>7</v>
      </c>
    </row>
    <row r="52" spans="2:31" x14ac:dyDescent="0.25">
      <c r="B52" s="41" t="s">
        <v>14</v>
      </c>
      <c r="C52" s="41"/>
      <c r="D52" s="3"/>
      <c r="E52" s="3"/>
      <c r="F52" s="3"/>
      <c r="G52" s="3"/>
      <c r="H52" s="3">
        <v>0</v>
      </c>
      <c r="I52" s="5">
        <v>0</v>
      </c>
      <c r="J52" s="7">
        <v>0</v>
      </c>
      <c r="K52" s="7">
        <v>0</v>
      </c>
      <c r="L52" s="7">
        <v>1</v>
      </c>
      <c r="M52" s="7">
        <v>1</v>
      </c>
      <c r="N52" s="3">
        <v>0</v>
      </c>
      <c r="O52" s="3">
        <v>0</v>
      </c>
      <c r="P52" s="3">
        <v>0</v>
      </c>
      <c r="Q52" s="3">
        <v>1</v>
      </c>
      <c r="R52" s="3">
        <v>1</v>
      </c>
      <c r="S52" s="3">
        <v>0</v>
      </c>
      <c r="T52" s="3">
        <v>1</v>
      </c>
      <c r="U52" s="3">
        <v>0</v>
      </c>
      <c r="V52" s="3">
        <v>0</v>
      </c>
      <c r="W52" s="3">
        <v>0</v>
      </c>
      <c r="X52" s="3">
        <v>1</v>
      </c>
      <c r="Y52" s="3">
        <v>0</v>
      </c>
      <c r="Z52" s="3">
        <v>1</v>
      </c>
      <c r="AA52" s="3"/>
      <c r="AB52" s="11"/>
      <c r="AC52" s="11">
        <f t="shared" si="4"/>
        <v>7</v>
      </c>
    </row>
    <row r="53" spans="2:31" x14ac:dyDescent="0.25">
      <c r="B53" s="41" t="s">
        <v>15</v>
      </c>
      <c r="C53" s="41"/>
      <c r="D53" s="3"/>
      <c r="E53" s="3"/>
      <c r="F53" s="3"/>
      <c r="G53" s="3"/>
      <c r="H53" s="3">
        <v>2</v>
      </c>
      <c r="I53" s="5">
        <v>0</v>
      </c>
      <c r="J53" s="7">
        <v>0</v>
      </c>
      <c r="K53" s="7">
        <v>3</v>
      </c>
      <c r="L53" s="7">
        <v>0</v>
      </c>
      <c r="M53" s="7">
        <v>2</v>
      </c>
      <c r="N53" s="3">
        <v>0</v>
      </c>
      <c r="O53" s="3">
        <v>0</v>
      </c>
      <c r="P53" s="3">
        <v>1</v>
      </c>
      <c r="Q53" s="3">
        <v>1</v>
      </c>
      <c r="R53" s="3">
        <v>1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1</v>
      </c>
      <c r="Z53" s="3">
        <v>2</v>
      </c>
      <c r="AA53" s="3"/>
      <c r="AB53" s="11"/>
      <c r="AC53" s="11">
        <f t="shared" si="4"/>
        <v>13</v>
      </c>
    </row>
    <row r="54" spans="2:31" x14ac:dyDescent="0.25">
      <c r="B54" s="41" t="s">
        <v>16</v>
      </c>
      <c r="C54" s="41"/>
      <c r="D54" s="3"/>
      <c r="E54" s="3"/>
      <c r="F54" s="3"/>
      <c r="G54" s="3"/>
      <c r="H54" s="14">
        <v>1</v>
      </c>
      <c r="I54" s="5">
        <v>1</v>
      </c>
      <c r="J54" s="5">
        <v>1</v>
      </c>
      <c r="K54" s="5">
        <v>1</v>
      </c>
      <c r="L54" s="5">
        <v>1</v>
      </c>
      <c r="M54" s="5">
        <v>5</v>
      </c>
      <c r="N54" s="14">
        <v>3</v>
      </c>
      <c r="O54" s="14">
        <v>3</v>
      </c>
      <c r="P54" s="14">
        <v>1</v>
      </c>
      <c r="Q54" s="14">
        <v>2</v>
      </c>
      <c r="R54" s="3">
        <v>0</v>
      </c>
      <c r="S54" s="3">
        <v>0</v>
      </c>
      <c r="T54" s="3">
        <v>1</v>
      </c>
      <c r="U54" s="3">
        <v>0</v>
      </c>
      <c r="V54" s="3">
        <v>0</v>
      </c>
      <c r="W54" s="3">
        <v>0</v>
      </c>
      <c r="X54" s="3">
        <v>1</v>
      </c>
      <c r="Y54" s="3">
        <v>0</v>
      </c>
      <c r="Z54" s="3">
        <v>0</v>
      </c>
      <c r="AA54" s="3"/>
      <c r="AB54" s="11"/>
      <c r="AC54" s="11">
        <f t="shared" si="4"/>
        <v>21</v>
      </c>
    </row>
    <row r="55" spans="2:31" x14ac:dyDescent="0.25">
      <c r="B55" s="41" t="s">
        <v>17</v>
      </c>
      <c r="C55" s="41"/>
      <c r="D55" s="3"/>
      <c r="E55" s="3"/>
      <c r="F55" s="3"/>
      <c r="G55" s="3"/>
      <c r="H55" s="3">
        <v>0</v>
      </c>
      <c r="I55" s="5">
        <v>1</v>
      </c>
      <c r="J55" s="7">
        <v>0</v>
      </c>
      <c r="K55" s="7">
        <v>1</v>
      </c>
      <c r="L55" s="7">
        <v>0</v>
      </c>
      <c r="M55" s="7"/>
      <c r="N55" s="3">
        <v>1</v>
      </c>
      <c r="O55" s="3"/>
      <c r="P55" s="3">
        <v>2</v>
      </c>
      <c r="Q55" s="3">
        <v>1</v>
      </c>
      <c r="R55" s="3">
        <v>0</v>
      </c>
      <c r="S55" s="3">
        <v>0</v>
      </c>
      <c r="T55" s="3">
        <v>1</v>
      </c>
      <c r="U55" s="3">
        <v>0</v>
      </c>
      <c r="V55" s="3">
        <v>0</v>
      </c>
      <c r="W55" s="3">
        <v>0</v>
      </c>
      <c r="X55" s="3">
        <v>1</v>
      </c>
      <c r="Y55" s="3">
        <v>0</v>
      </c>
      <c r="Z55" s="3">
        <v>2</v>
      </c>
      <c r="AA55" s="3"/>
      <c r="AB55" s="11"/>
      <c r="AC55" s="11">
        <f t="shared" si="4"/>
        <v>10</v>
      </c>
    </row>
    <row r="56" spans="2:31" x14ac:dyDescent="0.25">
      <c r="B56" s="9" t="s">
        <v>27</v>
      </c>
      <c r="C56" s="2"/>
      <c r="D56" s="2"/>
      <c r="E56" s="2"/>
      <c r="F56" s="2"/>
      <c r="G56" s="2"/>
      <c r="H56" s="2">
        <f t="shared" ref="H56" si="5">H36+H37+H38+H39+H40+H41+H42+H43+H44+H45+H46+H47+H48+H49+H50+H51+H52+H53+H54+H55</f>
        <v>7</v>
      </c>
      <c r="I56" s="2">
        <f t="shared" ref="I56" si="6">I36+I37+I38+I39+I40+I41+I42+I43+I44+I45+I46+I47+I48+I49+I50+I51+I52+I53+I54+I55</f>
        <v>20</v>
      </c>
      <c r="J56" s="4">
        <f t="shared" ref="J56" si="7">J36+J37+J38+J39+J40+J41+J42+J43+J44+J45+J46+J47+J48+J49+J50+J51+J52+J53+J54+J55</f>
        <v>15</v>
      </c>
      <c r="K56" s="4">
        <f t="shared" ref="K56" si="8">K36+K37+K38+K39+K40+K41+K42+K43+K44+K45+K46+K47+K48+K49+K50+K51+K52+K53+K54+K55</f>
        <v>11</v>
      </c>
      <c r="L56" s="4">
        <f t="shared" ref="L56" si="9">L36+L37+L38+L39+L40+L41+L42+L43+L44+L45+L46+L47+L48+L49+L50+L51+L52+L53+L54+L55</f>
        <v>12</v>
      </c>
      <c r="M56" s="4">
        <f t="shared" ref="M56" si="10">M36+M37+M38+M39+M40+M41+M42+M43+M44+M45+M46+M47+M48+M49+M50+M51+M52+M53+M54+M55</f>
        <v>24</v>
      </c>
      <c r="N56" s="4">
        <f t="shared" ref="N56" si="11">N36+N37+N38+N39+N40+N41+N42+N43+N44+N45+N46+N47+N48+N49+N50+N51+N52+N53+N54+N55</f>
        <v>21</v>
      </c>
      <c r="O56" s="2">
        <f t="shared" ref="O56" si="12">O36+O37+O38+O39+O40+O41+O42+O43+O44+O45+O46+O47+O48+O49+O50+O51+O52+O53+O54+O55</f>
        <v>14</v>
      </c>
      <c r="P56" s="2">
        <f t="shared" ref="P56" si="13">P36+P37+P38+P39+P40+P41+P42+P43+P44+P45+P46+P47+P48+P49+P50+P51+P52+P53+P54+P55</f>
        <v>19</v>
      </c>
      <c r="Q56" s="2">
        <f t="shared" ref="Q56" si="14">Q36+Q37+Q38+Q39+Q40+Q41+Q42+Q43+Q44+Q45+Q46+Q47+Q48+Q49+Q50+Q51+Q52+Q53+Q54+Q55</f>
        <v>15</v>
      </c>
      <c r="R56" s="2">
        <f t="shared" ref="R56" si="15">R36+R37+R38+R39+R40+R41+R42+R43+R44+R45+R46+R47+R48+R49+R50+R51+R52+R53+R54+R55</f>
        <v>16</v>
      </c>
      <c r="S56" s="2">
        <f t="shared" ref="S56" si="16">S36+S37+S38+S39+S40+S41+S42+S43+S44+S45+S46+S47+S48+S49+S50+S51+S52+S53+S54+S55</f>
        <v>0</v>
      </c>
      <c r="T56" s="2">
        <f t="shared" ref="T56" si="17">T36+T37+T38+T39+T40+T41+T42+T43+T44+T45+T46+T47+T48+T49+T50+T51+T52+T53+T54+T55</f>
        <v>5</v>
      </c>
      <c r="U56" s="2">
        <f t="shared" ref="U56" si="18">U36+U37+U38+U39+U40+U41+U42+U43+U44+U45+U46+U47+U48+U49+U50+U51+U52+U53+U54+U55</f>
        <v>4</v>
      </c>
      <c r="V56" s="2">
        <f t="shared" ref="V56" si="19">V36+V37+V38+V39+V40+V41+V42+V43+V44+V45+V46+V47+V48+V49+V50+V51+V52+V53+V54+V55</f>
        <v>7</v>
      </c>
      <c r="W56" s="2">
        <f t="shared" ref="W56" si="20">W36+W37+W38+W39+W40+W41+W42+W43+W44+W45+W46+W47+W48+W49+W50+W51+W52+W53+W54+W55</f>
        <v>0</v>
      </c>
      <c r="X56" s="2">
        <f>X36+X37+X38+X39+X40+X41+X42+X43+X44+X45+X46+X47+X48+X49+X50+X51+X52+X53+X54+X55</f>
        <v>14</v>
      </c>
      <c r="Y56" s="2">
        <f t="shared" ref="Y56" si="21">Y36+Y37+Y38+Y39+Y40+Y41+Y42+Y43+Y44+Y45+Y46+Y47+Y48+Y49+Y50+Y51+Y52+Y53+Y54+Y55</f>
        <v>13</v>
      </c>
      <c r="Z56" s="2">
        <f t="shared" ref="Z56" si="22">Z36+Z37+Z38+Z39+Z40+Z41+Z42+Z43+Z44+Z45+Z46+Z47+Z48+Z49+Z50+Z51+Z52+Z53+Z54+Z55</f>
        <v>20</v>
      </c>
      <c r="AA56" s="2"/>
      <c r="AB56" s="2"/>
      <c r="AC56" s="11">
        <f t="shared" ref="AC56" si="23">AC36+AC37+AC38+AC39+AC40+AC41+AC42+AC43+AC44+AC45+AC46+AC47+AC48+AC49+AC50+AC51+AC52+AC53+AC54+AC55</f>
        <v>237</v>
      </c>
      <c r="AE56">
        <v>237</v>
      </c>
    </row>
    <row r="57" spans="2:31" x14ac:dyDescent="0.25">
      <c r="AC57" s="12"/>
    </row>
    <row r="58" spans="2:31" x14ac:dyDescent="0.25">
      <c r="AC58" s="12"/>
    </row>
    <row r="59" spans="2:31" x14ac:dyDescent="0.25">
      <c r="AC59" s="12"/>
    </row>
    <row r="60" spans="2:31" x14ac:dyDescent="0.25">
      <c r="B60" s="64" t="s">
        <v>24</v>
      </c>
      <c r="C60" s="64"/>
      <c r="D60" s="43" t="s">
        <v>32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 spans="2:31" x14ac:dyDescent="0.25">
      <c r="B61" s="64" t="s">
        <v>23</v>
      </c>
      <c r="C61" s="64"/>
      <c r="D61" s="2" t="s">
        <v>0</v>
      </c>
      <c r="E61" s="4" t="s">
        <v>1</v>
      </c>
      <c r="F61" s="4" t="s">
        <v>1</v>
      </c>
      <c r="G61" s="4" t="s">
        <v>2</v>
      </c>
      <c r="H61" s="4" t="s">
        <v>3</v>
      </c>
      <c r="I61" s="2" t="s">
        <v>0</v>
      </c>
      <c r="J61" s="4" t="s">
        <v>1</v>
      </c>
      <c r="K61" s="4" t="s">
        <v>1</v>
      </c>
      <c r="L61" s="4" t="s">
        <v>2</v>
      </c>
      <c r="M61" s="4" t="s">
        <v>3</v>
      </c>
      <c r="N61" s="2" t="s">
        <v>0</v>
      </c>
      <c r="O61" s="4" t="s">
        <v>1</v>
      </c>
      <c r="P61" s="4" t="s">
        <v>1</v>
      </c>
      <c r="Q61" s="4" t="s">
        <v>2</v>
      </c>
      <c r="R61" s="4" t="s">
        <v>3</v>
      </c>
      <c r="S61" s="2" t="s">
        <v>0</v>
      </c>
      <c r="T61" s="4" t="s">
        <v>1</v>
      </c>
      <c r="U61" s="4" t="s">
        <v>1</v>
      </c>
      <c r="V61" s="4" t="s">
        <v>2</v>
      </c>
      <c r="W61" s="4" t="s">
        <v>3</v>
      </c>
      <c r="X61" s="2" t="s">
        <v>0</v>
      </c>
      <c r="Y61" s="4" t="s">
        <v>1</v>
      </c>
      <c r="Z61" s="4" t="s">
        <v>1</v>
      </c>
      <c r="AA61" s="4" t="s">
        <v>2</v>
      </c>
      <c r="AB61" s="4" t="s">
        <v>3</v>
      </c>
      <c r="AC61" s="2" t="s">
        <v>27</v>
      </c>
    </row>
    <row r="62" spans="2:31" x14ac:dyDescent="0.25">
      <c r="B62" s="64" t="s">
        <v>22</v>
      </c>
      <c r="C62" s="64"/>
      <c r="D62" s="42">
        <v>1</v>
      </c>
      <c r="E62" s="42">
        <v>2</v>
      </c>
      <c r="F62" s="42">
        <v>3</v>
      </c>
      <c r="G62" s="42">
        <v>4</v>
      </c>
      <c r="H62" s="42">
        <v>5</v>
      </c>
      <c r="I62" s="46">
        <v>8</v>
      </c>
      <c r="J62" s="46">
        <v>9</v>
      </c>
      <c r="K62" s="46">
        <v>10</v>
      </c>
      <c r="L62" s="46">
        <v>11</v>
      </c>
      <c r="M62" s="46">
        <v>12</v>
      </c>
      <c r="N62" s="42">
        <v>15</v>
      </c>
      <c r="O62" s="42">
        <v>16</v>
      </c>
      <c r="P62" s="42">
        <v>17</v>
      </c>
      <c r="Q62" s="42">
        <v>18</v>
      </c>
      <c r="R62" s="42">
        <v>19</v>
      </c>
      <c r="S62" s="42">
        <v>22</v>
      </c>
      <c r="T62" s="42">
        <v>23</v>
      </c>
      <c r="U62" s="42">
        <v>24</v>
      </c>
      <c r="V62" s="42">
        <v>25</v>
      </c>
      <c r="W62" s="42">
        <v>26</v>
      </c>
      <c r="X62" s="42">
        <v>29</v>
      </c>
      <c r="Y62" s="42">
        <v>30</v>
      </c>
      <c r="Z62" s="42"/>
      <c r="AA62" s="42"/>
      <c r="AB62" s="42"/>
      <c r="AC62" s="62"/>
    </row>
    <row r="63" spans="2:31" x14ac:dyDescent="0.25">
      <c r="B63" s="65" t="s">
        <v>25</v>
      </c>
      <c r="C63" s="45"/>
      <c r="D63" s="42"/>
      <c r="E63" s="42"/>
      <c r="F63" s="42"/>
      <c r="G63" s="42"/>
      <c r="H63" s="42"/>
      <c r="I63" s="46"/>
      <c r="J63" s="46"/>
      <c r="K63" s="46"/>
      <c r="L63" s="46"/>
      <c r="M63" s="46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63"/>
    </row>
    <row r="64" spans="2:31" x14ac:dyDescent="0.25">
      <c r="B64" s="45" t="s">
        <v>4</v>
      </c>
      <c r="C64" s="45"/>
      <c r="D64" s="3">
        <v>2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1</v>
      </c>
      <c r="R64" s="3">
        <v>0</v>
      </c>
      <c r="S64" s="3">
        <v>1</v>
      </c>
      <c r="T64" s="3">
        <v>0</v>
      </c>
      <c r="U64" s="3">
        <v>1</v>
      </c>
      <c r="V64" s="3">
        <v>0</v>
      </c>
      <c r="W64" s="3">
        <v>0</v>
      </c>
      <c r="X64" s="3">
        <v>0</v>
      </c>
      <c r="Y64" s="3">
        <v>0</v>
      </c>
      <c r="Z64" s="3"/>
      <c r="AA64" s="3"/>
      <c r="AB64" s="11"/>
      <c r="AC64" s="11">
        <f>D64+E64+F64+G64+H64+I64+J64+K64+L64+M64+N64+O64+P64+Q64+R64+S64+T64+V64+U64+W64+X64+Y64+Z64+AA64+AB64</f>
        <v>5</v>
      </c>
    </row>
    <row r="65" spans="2:29" x14ac:dyDescent="0.25">
      <c r="B65" s="41" t="s">
        <v>7</v>
      </c>
      <c r="C65" s="41"/>
      <c r="D65" s="3">
        <v>1</v>
      </c>
      <c r="E65" s="3">
        <v>0</v>
      </c>
      <c r="F65" s="3">
        <v>1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1</v>
      </c>
      <c r="R65" s="3">
        <v>1</v>
      </c>
      <c r="S65" s="3">
        <v>2</v>
      </c>
      <c r="T65" s="3">
        <v>0</v>
      </c>
      <c r="U65" s="3">
        <v>1</v>
      </c>
      <c r="V65" s="3">
        <v>0</v>
      </c>
      <c r="W65" s="3">
        <v>0</v>
      </c>
      <c r="X65" s="3">
        <v>0</v>
      </c>
      <c r="Y65" s="3">
        <v>0</v>
      </c>
      <c r="Z65" s="3"/>
      <c r="AA65" s="3"/>
      <c r="AB65" s="11"/>
      <c r="AC65" s="11">
        <f t="shared" ref="AC65:AC83" si="24">D65+E65+F65+G65+H65+I65+J65+K65+L65+M65+N65+O65+P65+Q65+R65+S65+T65+V65+U65+W65+X65+Y65+Z65+AA65+AB65</f>
        <v>7</v>
      </c>
    </row>
    <row r="66" spans="2:29" x14ac:dyDescent="0.25">
      <c r="B66" s="41" t="s">
        <v>5</v>
      </c>
      <c r="C66" s="41"/>
      <c r="D66" s="3">
        <v>3</v>
      </c>
      <c r="E66" s="3">
        <v>0</v>
      </c>
      <c r="F66" s="3">
        <v>0</v>
      </c>
      <c r="G66" s="3">
        <v>0</v>
      </c>
      <c r="H66" s="3">
        <v>0</v>
      </c>
      <c r="I66" s="5">
        <v>0</v>
      </c>
      <c r="J66" s="7">
        <v>1</v>
      </c>
      <c r="K66" s="7">
        <v>0</v>
      </c>
      <c r="L66" s="7">
        <v>0</v>
      </c>
      <c r="M66" s="7">
        <v>0</v>
      </c>
      <c r="N66" s="3">
        <v>1</v>
      </c>
      <c r="O66" s="3">
        <v>0</v>
      </c>
      <c r="P66" s="3">
        <v>0</v>
      </c>
      <c r="Q66" s="3">
        <v>2</v>
      </c>
      <c r="R66" s="3">
        <v>1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/>
      <c r="AA66" s="3"/>
      <c r="AB66" s="11"/>
      <c r="AC66" s="11">
        <f t="shared" si="24"/>
        <v>8</v>
      </c>
    </row>
    <row r="67" spans="2:29" x14ac:dyDescent="0.25">
      <c r="B67" s="41" t="s">
        <v>6</v>
      </c>
      <c r="C67" s="41"/>
      <c r="D67" s="3">
        <v>2</v>
      </c>
      <c r="E67" s="3">
        <v>3</v>
      </c>
      <c r="F67" s="3">
        <v>0</v>
      </c>
      <c r="G67" s="3">
        <v>1</v>
      </c>
      <c r="H67" s="3">
        <v>1</v>
      </c>
      <c r="I67" s="5">
        <v>3</v>
      </c>
      <c r="J67" s="7">
        <v>2</v>
      </c>
      <c r="K67" s="7">
        <v>2</v>
      </c>
      <c r="L67" s="7">
        <v>2</v>
      </c>
      <c r="M67" s="7">
        <v>1</v>
      </c>
      <c r="N67" s="3">
        <v>1</v>
      </c>
      <c r="O67" s="3">
        <v>0</v>
      </c>
      <c r="P67" s="3">
        <v>2</v>
      </c>
      <c r="Q67" s="3">
        <v>0</v>
      </c>
      <c r="R67" s="3">
        <v>0</v>
      </c>
      <c r="S67" s="3">
        <v>3</v>
      </c>
      <c r="T67" s="3">
        <v>0</v>
      </c>
      <c r="U67" s="3">
        <v>0</v>
      </c>
      <c r="V67" s="3">
        <v>1</v>
      </c>
      <c r="W67" s="3">
        <v>0</v>
      </c>
      <c r="X67" s="3">
        <v>0</v>
      </c>
      <c r="Y67" s="3">
        <v>0</v>
      </c>
      <c r="Z67" s="3"/>
      <c r="AA67" s="3"/>
      <c r="AB67" s="11"/>
      <c r="AC67" s="11">
        <f t="shared" si="24"/>
        <v>24</v>
      </c>
    </row>
    <row r="68" spans="2:29" x14ac:dyDescent="0.25">
      <c r="B68" s="41" t="s">
        <v>8</v>
      </c>
      <c r="C68" s="41"/>
      <c r="D68" s="3">
        <v>1</v>
      </c>
      <c r="E68" s="3">
        <v>0</v>
      </c>
      <c r="F68" s="3">
        <v>2</v>
      </c>
      <c r="G68" s="3">
        <v>0</v>
      </c>
      <c r="H68" s="3">
        <v>0</v>
      </c>
      <c r="I68" s="5">
        <v>1</v>
      </c>
      <c r="J68" s="7">
        <v>1</v>
      </c>
      <c r="K68" s="7">
        <v>2</v>
      </c>
      <c r="L68" s="7">
        <v>2</v>
      </c>
      <c r="M68" s="7">
        <v>1</v>
      </c>
      <c r="N68" s="3">
        <v>1</v>
      </c>
      <c r="O68" s="3">
        <v>1</v>
      </c>
      <c r="P68" s="3">
        <v>2</v>
      </c>
      <c r="Q68" s="3">
        <v>1</v>
      </c>
      <c r="R68" s="3">
        <v>0</v>
      </c>
      <c r="S68" s="3">
        <v>1</v>
      </c>
      <c r="T68" s="3">
        <v>0</v>
      </c>
      <c r="U68" s="3">
        <v>0</v>
      </c>
      <c r="V68" s="3">
        <v>0</v>
      </c>
      <c r="W68" s="3">
        <v>0</v>
      </c>
      <c r="X68" s="3">
        <v>1</v>
      </c>
      <c r="Y68" s="3">
        <v>0</v>
      </c>
      <c r="Z68" s="3"/>
      <c r="AA68" s="3"/>
      <c r="AB68" s="11"/>
      <c r="AC68" s="11">
        <f t="shared" si="24"/>
        <v>17</v>
      </c>
    </row>
    <row r="69" spans="2:29" x14ac:dyDescent="0.25">
      <c r="B69" s="41" t="s">
        <v>9</v>
      </c>
      <c r="C69" s="41"/>
      <c r="D69" s="3">
        <v>2</v>
      </c>
      <c r="E69" s="3">
        <v>1</v>
      </c>
      <c r="F69" s="3">
        <v>1</v>
      </c>
      <c r="G69" s="3">
        <v>1</v>
      </c>
      <c r="H69" s="3">
        <v>2</v>
      </c>
      <c r="I69" s="5">
        <v>1</v>
      </c>
      <c r="J69" s="7">
        <v>1</v>
      </c>
      <c r="K69" s="7">
        <v>1</v>
      </c>
      <c r="L69" s="7">
        <v>1</v>
      </c>
      <c r="M69" s="7">
        <v>0</v>
      </c>
      <c r="N69" s="3">
        <v>0</v>
      </c>
      <c r="O69" s="3">
        <v>2</v>
      </c>
      <c r="P69" s="3">
        <v>0</v>
      </c>
      <c r="Q69" s="3">
        <v>1</v>
      </c>
      <c r="R69" s="3">
        <v>1</v>
      </c>
      <c r="S69" s="3">
        <v>1</v>
      </c>
      <c r="T69" s="3">
        <v>1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/>
      <c r="AA69" s="3"/>
      <c r="AB69" s="11"/>
      <c r="AC69" s="11">
        <f t="shared" si="24"/>
        <v>17</v>
      </c>
    </row>
    <row r="70" spans="2:29" x14ac:dyDescent="0.25">
      <c r="B70" s="41" t="s">
        <v>18</v>
      </c>
      <c r="C70" s="41"/>
      <c r="D70" s="3">
        <v>2</v>
      </c>
      <c r="E70" s="3">
        <v>1</v>
      </c>
      <c r="F70" s="3">
        <v>0</v>
      </c>
      <c r="G70" s="3">
        <v>0</v>
      </c>
      <c r="H70" s="3">
        <v>0</v>
      </c>
      <c r="I70" s="5">
        <v>0</v>
      </c>
      <c r="J70" s="7">
        <v>0</v>
      </c>
      <c r="K70" s="7">
        <v>0</v>
      </c>
      <c r="L70" s="7">
        <v>0</v>
      </c>
      <c r="M70" s="7">
        <v>1</v>
      </c>
      <c r="N70" s="3">
        <v>1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</v>
      </c>
      <c r="X70" s="3">
        <v>1</v>
      </c>
      <c r="Y70" s="3">
        <v>0</v>
      </c>
      <c r="Z70" s="3"/>
      <c r="AA70" s="3"/>
      <c r="AB70" s="11"/>
      <c r="AC70" s="11">
        <f t="shared" si="24"/>
        <v>7</v>
      </c>
    </row>
    <row r="71" spans="2:29" x14ac:dyDescent="0.25">
      <c r="B71" s="41" t="s">
        <v>19</v>
      </c>
      <c r="C71" s="41"/>
      <c r="D71" s="3">
        <v>0</v>
      </c>
      <c r="E71" s="3">
        <v>1</v>
      </c>
      <c r="F71" s="3">
        <v>1</v>
      </c>
      <c r="G71" s="3">
        <v>0</v>
      </c>
      <c r="H71" s="3">
        <v>1</v>
      </c>
      <c r="I71" s="5">
        <v>0</v>
      </c>
      <c r="J71" s="7">
        <v>0</v>
      </c>
      <c r="K71" s="7">
        <v>0</v>
      </c>
      <c r="L71" s="7">
        <v>1</v>
      </c>
      <c r="M71" s="7">
        <v>0</v>
      </c>
      <c r="N71" s="3"/>
      <c r="O71" s="3">
        <v>0</v>
      </c>
      <c r="P71" s="3">
        <v>0</v>
      </c>
      <c r="Q71" s="3">
        <v>1</v>
      </c>
      <c r="R71" s="3">
        <v>0</v>
      </c>
      <c r="S71" s="3">
        <v>2</v>
      </c>
      <c r="T71" s="3">
        <v>1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/>
      <c r="AA71" s="3"/>
      <c r="AB71" s="11"/>
      <c r="AC71" s="11">
        <f t="shared" si="24"/>
        <v>8</v>
      </c>
    </row>
    <row r="72" spans="2:29" x14ac:dyDescent="0.25">
      <c r="B72" s="41" t="s">
        <v>20</v>
      </c>
      <c r="C72" s="41"/>
      <c r="D72" s="3">
        <v>1</v>
      </c>
      <c r="E72" s="3">
        <v>0</v>
      </c>
      <c r="F72" s="3">
        <v>0</v>
      </c>
      <c r="G72" s="3">
        <v>0</v>
      </c>
      <c r="H72" s="3">
        <v>0</v>
      </c>
      <c r="I72" s="5">
        <v>0</v>
      </c>
      <c r="J72" s="7">
        <v>1</v>
      </c>
      <c r="K72" s="7">
        <v>1</v>
      </c>
      <c r="L72" s="7">
        <v>0</v>
      </c>
      <c r="M72" s="7">
        <v>0</v>
      </c>
      <c r="N72" s="3">
        <v>1</v>
      </c>
      <c r="O72" s="3">
        <v>1</v>
      </c>
      <c r="P72" s="3">
        <v>1</v>
      </c>
      <c r="Q72" s="3">
        <v>0</v>
      </c>
      <c r="R72" s="3">
        <v>0</v>
      </c>
      <c r="S72" s="3">
        <v>1</v>
      </c>
      <c r="T72" s="3">
        <v>1</v>
      </c>
      <c r="U72" s="3"/>
      <c r="V72" s="3">
        <v>0</v>
      </c>
      <c r="W72" s="3">
        <v>0</v>
      </c>
      <c r="X72" s="3">
        <v>1</v>
      </c>
      <c r="Y72" s="3">
        <v>0</v>
      </c>
      <c r="Z72" s="3"/>
      <c r="AA72" s="3"/>
      <c r="AB72" s="11"/>
      <c r="AC72" s="11">
        <f t="shared" si="24"/>
        <v>9</v>
      </c>
    </row>
    <row r="73" spans="2:29" x14ac:dyDescent="0.25">
      <c r="B73" s="41" t="s">
        <v>12</v>
      </c>
      <c r="C73" s="41"/>
      <c r="D73" s="3">
        <v>1</v>
      </c>
      <c r="E73" s="3">
        <v>1</v>
      </c>
      <c r="F73" s="3">
        <v>0</v>
      </c>
      <c r="G73" s="3">
        <v>0</v>
      </c>
      <c r="H73" s="3">
        <v>0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3">
        <v>2</v>
      </c>
      <c r="O73" s="3"/>
      <c r="P73" s="3">
        <v>0</v>
      </c>
      <c r="Q73" s="3">
        <v>0</v>
      </c>
      <c r="R73" s="3">
        <v>2</v>
      </c>
      <c r="S73" s="3">
        <v>1</v>
      </c>
      <c r="T73" s="3">
        <v>1</v>
      </c>
      <c r="U73" s="3">
        <v>1</v>
      </c>
      <c r="V73" s="3">
        <v>0</v>
      </c>
      <c r="W73" s="3">
        <v>0</v>
      </c>
      <c r="X73" s="3">
        <v>1</v>
      </c>
      <c r="Y73" s="3">
        <v>0</v>
      </c>
      <c r="Z73" s="3"/>
      <c r="AA73" s="3"/>
      <c r="AB73" s="11"/>
      <c r="AC73" s="11">
        <f t="shared" si="24"/>
        <v>11</v>
      </c>
    </row>
    <row r="74" spans="2:29" x14ac:dyDescent="0.25">
      <c r="B74" s="41" t="s">
        <v>21</v>
      </c>
      <c r="C74" s="41"/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/>
      <c r="AA74" s="3"/>
      <c r="AB74" s="11"/>
      <c r="AC74" s="11">
        <f t="shared" si="24"/>
        <v>0</v>
      </c>
    </row>
    <row r="75" spans="2:29" x14ac:dyDescent="0.25">
      <c r="B75" s="41" t="s">
        <v>10</v>
      </c>
      <c r="C75" s="41"/>
      <c r="D75" s="3">
        <v>0</v>
      </c>
      <c r="E75" s="3">
        <v>0</v>
      </c>
      <c r="F75" s="3">
        <v>1</v>
      </c>
      <c r="G75" s="3">
        <v>1</v>
      </c>
      <c r="H75" s="3">
        <v>1</v>
      </c>
      <c r="I75" s="5">
        <v>1</v>
      </c>
      <c r="J75" s="7">
        <v>1</v>
      </c>
      <c r="K75" s="7">
        <v>3</v>
      </c>
      <c r="L75" s="7">
        <v>1</v>
      </c>
      <c r="M75" s="7">
        <v>1</v>
      </c>
      <c r="N75" s="3">
        <v>1</v>
      </c>
      <c r="O75" s="3">
        <v>1</v>
      </c>
      <c r="P75" s="3">
        <v>0</v>
      </c>
      <c r="Q75" s="3">
        <v>0</v>
      </c>
      <c r="R75" s="3">
        <v>0</v>
      </c>
      <c r="S75" s="3">
        <v>1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/>
      <c r="AA75" s="3"/>
      <c r="AB75" s="11"/>
      <c r="AC75" s="11">
        <f t="shared" si="24"/>
        <v>13</v>
      </c>
    </row>
    <row r="76" spans="2:29" x14ac:dyDescent="0.25">
      <c r="B76" s="41" t="s">
        <v>11</v>
      </c>
      <c r="C76" s="41"/>
      <c r="D76" s="3">
        <v>1</v>
      </c>
      <c r="E76" s="3">
        <v>0</v>
      </c>
      <c r="F76" s="3">
        <v>0</v>
      </c>
      <c r="G76" s="3">
        <v>1</v>
      </c>
      <c r="H76" s="3">
        <v>1</v>
      </c>
      <c r="I76" s="5">
        <v>0</v>
      </c>
      <c r="J76" s="7">
        <v>1</v>
      </c>
      <c r="K76" s="7">
        <v>0</v>
      </c>
      <c r="L76" s="7">
        <v>1</v>
      </c>
      <c r="M76" s="7">
        <v>0</v>
      </c>
      <c r="N76" s="3">
        <v>1</v>
      </c>
      <c r="O76" s="3">
        <v>1</v>
      </c>
      <c r="P76" s="3">
        <v>0</v>
      </c>
      <c r="Q76" s="3">
        <v>0</v>
      </c>
      <c r="R76" s="3">
        <v>1</v>
      </c>
      <c r="S76" s="3">
        <v>0</v>
      </c>
      <c r="T76" s="3">
        <v>1</v>
      </c>
      <c r="U76" s="3">
        <v>0</v>
      </c>
      <c r="V76" s="3">
        <v>0</v>
      </c>
      <c r="W76" s="3">
        <v>1</v>
      </c>
      <c r="X76" s="3">
        <v>0</v>
      </c>
      <c r="Y76" s="3">
        <v>0</v>
      </c>
      <c r="Z76" s="3"/>
      <c r="AA76" s="3"/>
      <c r="AB76" s="11"/>
      <c r="AC76" s="11">
        <f t="shared" si="24"/>
        <v>10</v>
      </c>
    </row>
    <row r="77" spans="2:29" x14ac:dyDescent="0.25">
      <c r="B77" s="41" t="s">
        <v>13</v>
      </c>
      <c r="C77" s="41"/>
      <c r="D77" s="3">
        <v>2</v>
      </c>
      <c r="E77" s="3">
        <v>0</v>
      </c>
      <c r="F77" s="3">
        <v>0</v>
      </c>
      <c r="G77" s="3">
        <v>0</v>
      </c>
      <c r="H77" s="3">
        <v>0</v>
      </c>
      <c r="I77" s="5">
        <v>0</v>
      </c>
      <c r="J77" s="7">
        <v>0</v>
      </c>
      <c r="K77" s="7">
        <v>0</v>
      </c>
      <c r="L77" s="7">
        <v>0</v>
      </c>
      <c r="M77" s="7">
        <v>0</v>
      </c>
      <c r="N77" s="3">
        <v>0</v>
      </c>
      <c r="O77" s="3">
        <v>1</v>
      </c>
      <c r="P77" s="3">
        <v>0</v>
      </c>
      <c r="Q77" s="3">
        <v>1</v>
      </c>
      <c r="R77" s="3">
        <v>1</v>
      </c>
      <c r="S77" s="3">
        <v>1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/>
      <c r="AA77" s="3"/>
      <c r="AB77" s="11"/>
      <c r="AC77" s="11">
        <f t="shared" si="24"/>
        <v>6</v>
      </c>
    </row>
    <row r="78" spans="2:29" x14ac:dyDescent="0.25">
      <c r="B78" s="41" t="s">
        <v>28</v>
      </c>
      <c r="C78" s="41"/>
      <c r="D78" s="3">
        <v>0</v>
      </c>
      <c r="E78" s="3">
        <v>0</v>
      </c>
      <c r="F78" s="3">
        <v>1</v>
      </c>
      <c r="G78" s="3">
        <v>1</v>
      </c>
      <c r="H78" s="3">
        <v>0</v>
      </c>
      <c r="I78" s="5">
        <v>0</v>
      </c>
      <c r="J78" s="7">
        <v>0</v>
      </c>
      <c r="K78" s="7">
        <v>0</v>
      </c>
      <c r="L78" s="7">
        <v>0</v>
      </c>
      <c r="M78" s="7">
        <v>1</v>
      </c>
      <c r="N78" s="3">
        <v>0</v>
      </c>
      <c r="O78" s="3">
        <v>1</v>
      </c>
      <c r="P78" s="3">
        <v>1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/>
      <c r="AA78" s="3"/>
      <c r="AB78" s="11"/>
      <c r="AC78" s="11">
        <f t="shared" si="24"/>
        <v>5</v>
      </c>
    </row>
    <row r="79" spans="2:29" x14ac:dyDescent="0.25">
      <c r="B79" s="41" t="s">
        <v>29</v>
      </c>
      <c r="C79" s="41"/>
      <c r="D79" s="3">
        <v>1</v>
      </c>
      <c r="E79" s="3">
        <v>2</v>
      </c>
      <c r="F79" s="3">
        <v>1</v>
      </c>
      <c r="G79" s="3">
        <v>1</v>
      </c>
      <c r="H79" s="3">
        <v>0</v>
      </c>
      <c r="I79" s="5">
        <v>0</v>
      </c>
      <c r="J79" s="7">
        <v>1</v>
      </c>
      <c r="K79" s="7">
        <v>1</v>
      </c>
      <c r="L79" s="7">
        <v>1</v>
      </c>
      <c r="M79" s="7">
        <v>1</v>
      </c>
      <c r="N79" s="3">
        <v>0</v>
      </c>
      <c r="O79" s="3">
        <v>1</v>
      </c>
      <c r="P79" s="3">
        <v>0</v>
      </c>
      <c r="Q79" s="3">
        <v>0</v>
      </c>
      <c r="R79" s="3">
        <v>0</v>
      </c>
      <c r="S79" s="3">
        <v>1</v>
      </c>
      <c r="T79" s="3">
        <v>1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/>
      <c r="AA79" s="3"/>
      <c r="AB79" s="11"/>
      <c r="AC79" s="11">
        <f t="shared" si="24"/>
        <v>12</v>
      </c>
    </row>
    <row r="80" spans="2:29" x14ac:dyDescent="0.25">
      <c r="B80" s="41" t="s">
        <v>14</v>
      </c>
      <c r="C80" s="41"/>
      <c r="D80" s="3">
        <v>0</v>
      </c>
      <c r="E80" s="3">
        <v>0</v>
      </c>
      <c r="F80" s="3">
        <v>0</v>
      </c>
      <c r="G80" s="3">
        <v>1</v>
      </c>
      <c r="H80" s="3">
        <v>1</v>
      </c>
      <c r="I80" s="5">
        <v>0</v>
      </c>
      <c r="J80" s="7">
        <v>0</v>
      </c>
      <c r="K80" s="7">
        <v>1</v>
      </c>
      <c r="L80" s="7">
        <v>3</v>
      </c>
      <c r="M80" s="7">
        <v>3</v>
      </c>
      <c r="N80" s="3">
        <v>2</v>
      </c>
      <c r="O80" s="3">
        <v>3</v>
      </c>
      <c r="P80" s="3">
        <v>1</v>
      </c>
      <c r="Q80" s="3">
        <v>2</v>
      </c>
      <c r="R80" s="3">
        <v>3</v>
      </c>
      <c r="S80" s="3">
        <v>1</v>
      </c>
      <c r="T80" s="3"/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/>
      <c r="AA80" s="3"/>
      <c r="AB80" s="11"/>
      <c r="AC80" s="11">
        <f t="shared" si="24"/>
        <v>21</v>
      </c>
    </row>
    <row r="81" spans="2:31" x14ac:dyDescent="0.25">
      <c r="B81" s="41" t="s">
        <v>15</v>
      </c>
      <c r="C81" s="41"/>
      <c r="D81" s="3">
        <v>3</v>
      </c>
      <c r="E81" s="3">
        <v>0</v>
      </c>
      <c r="F81" s="3">
        <v>2</v>
      </c>
      <c r="G81" s="3">
        <v>0</v>
      </c>
      <c r="H81" s="3">
        <v>0</v>
      </c>
      <c r="I81" s="5">
        <v>1</v>
      </c>
      <c r="J81" s="7">
        <v>0</v>
      </c>
      <c r="K81" s="7">
        <v>0</v>
      </c>
      <c r="L81" s="7">
        <v>2</v>
      </c>
      <c r="M81" s="7">
        <v>1</v>
      </c>
      <c r="N81" s="3">
        <v>0</v>
      </c>
      <c r="O81" s="3">
        <v>2</v>
      </c>
      <c r="P81" s="3"/>
      <c r="Q81" s="3">
        <v>3</v>
      </c>
      <c r="R81" s="3">
        <v>4</v>
      </c>
      <c r="S81" s="3">
        <v>1</v>
      </c>
      <c r="T81" s="3">
        <v>1</v>
      </c>
      <c r="U81" s="3">
        <v>0</v>
      </c>
      <c r="V81" s="3">
        <v>1</v>
      </c>
      <c r="W81" s="3">
        <v>0</v>
      </c>
      <c r="X81" s="3">
        <v>1</v>
      </c>
      <c r="Y81" s="3">
        <v>0</v>
      </c>
      <c r="Z81" s="3"/>
      <c r="AA81" s="3"/>
      <c r="AB81" s="11"/>
      <c r="AC81" s="11">
        <f t="shared" si="24"/>
        <v>22</v>
      </c>
    </row>
    <row r="82" spans="2:31" x14ac:dyDescent="0.25">
      <c r="B82" s="41" t="s">
        <v>16</v>
      </c>
      <c r="C82" s="41"/>
      <c r="D82" s="3">
        <v>2</v>
      </c>
      <c r="E82" s="3">
        <v>0</v>
      </c>
      <c r="F82" s="3">
        <v>1</v>
      </c>
      <c r="G82" s="3">
        <v>0</v>
      </c>
      <c r="H82" s="3">
        <v>0</v>
      </c>
      <c r="I82" s="5">
        <v>1</v>
      </c>
      <c r="J82" s="7">
        <v>0</v>
      </c>
      <c r="K82" s="7">
        <v>1</v>
      </c>
      <c r="L82" s="7">
        <v>2</v>
      </c>
      <c r="M82" s="7">
        <v>2</v>
      </c>
      <c r="N82" s="3">
        <v>0</v>
      </c>
      <c r="O82" s="3">
        <v>0</v>
      </c>
      <c r="P82" s="3">
        <v>1</v>
      </c>
      <c r="Q82" s="3">
        <v>1</v>
      </c>
      <c r="R82" s="3">
        <v>0</v>
      </c>
      <c r="S82" s="3">
        <v>0</v>
      </c>
      <c r="T82" s="3">
        <v>1</v>
      </c>
      <c r="U82" s="3">
        <v>1</v>
      </c>
      <c r="V82" s="3">
        <v>2</v>
      </c>
      <c r="W82" s="3">
        <v>1</v>
      </c>
      <c r="X82" s="3">
        <v>0</v>
      </c>
      <c r="Y82" s="3">
        <v>0</v>
      </c>
      <c r="Z82" s="3"/>
      <c r="AA82" s="3"/>
      <c r="AB82" s="11"/>
      <c r="AC82" s="11">
        <f t="shared" si="24"/>
        <v>16</v>
      </c>
    </row>
    <row r="83" spans="2:31" x14ac:dyDescent="0.25">
      <c r="B83" s="41" t="s">
        <v>17</v>
      </c>
      <c r="C83" s="41"/>
      <c r="D83" s="3">
        <v>1</v>
      </c>
      <c r="E83" s="3">
        <v>0</v>
      </c>
      <c r="F83" s="3">
        <v>1</v>
      </c>
      <c r="G83" s="3">
        <v>1</v>
      </c>
      <c r="H83" s="3">
        <v>1</v>
      </c>
      <c r="I83" s="5">
        <v>0</v>
      </c>
      <c r="J83" s="7">
        <v>1</v>
      </c>
      <c r="K83" s="7">
        <v>0</v>
      </c>
      <c r="L83" s="7">
        <v>0</v>
      </c>
      <c r="M83" s="7">
        <v>0</v>
      </c>
      <c r="N83" s="3">
        <v>1</v>
      </c>
      <c r="O83" s="3">
        <v>1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/>
      <c r="AA83" s="3"/>
      <c r="AB83" s="11"/>
      <c r="AC83" s="11">
        <f t="shared" si="24"/>
        <v>7</v>
      </c>
    </row>
    <row r="84" spans="2:31" x14ac:dyDescent="0.25">
      <c r="B84" s="9" t="s">
        <v>27</v>
      </c>
      <c r="C84" s="2"/>
      <c r="D84" s="2">
        <f>D64+D65+D66+D67+D68+D69+D70+D71+D72+D73+D74+D75+D76+D77+D78+D79+D80+D81+D82+D83</f>
        <v>25</v>
      </c>
      <c r="E84" s="2">
        <f t="shared" ref="E84:W84" si="25">E64+E65+E66+E67+E68+E69+E70+E71+E72+E73+E74+E75+E76+E77+E78+E79+E80+E81+E82+E83</f>
        <v>9</v>
      </c>
      <c r="F84" s="2">
        <f t="shared" si="25"/>
        <v>12</v>
      </c>
      <c r="G84" s="2">
        <f t="shared" si="25"/>
        <v>8</v>
      </c>
      <c r="H84" s="2">
        <f t="shared" si="25"/>
        <v>8</v>
      </c>
      <c r="I84" s="2">
        <f t="shared" si="25"/>
        <v>9</v>
      </c>
      <c r="J84" s="4">
        <f t="shared" si="25"/>
        <v>10</v>
      </c>
      <c r="K84" s="4">
        <f t="shared" si="25"/>
        <v>12</v>
      </c>
      <c r="L84" s="4">
        <f t="shared" si="25"/>
        <v>16</v>
      </c>
      <c r="M84" s="4">
        <f t="shared" si="25"/>
        <v>12</v>
      </c>
      <c r="N84" s="4">
        <f t="shared" si="25"/>
        <v>12</v>
      </c>
      <c r="O84" s="2">
        <f t="shared" si="25"/>
        <v>15</v>
      </c>
      <c r="P84" s="2">
        <f t="shared" si="25"/>
        <v>8</v>
      </c>
      <c r="Q84" s="2">
        <f t="shared" si="25"/>
        <v>14</v>
      </c>
      <c r="R84" s="2">
        <f t="shared" si="25"/>
        <v>14</v>
      </c>
      <c r="S84" s="2">
        <f t="shared" si="25"/>
        <v>17</v>
      </c>
      <c r="T84" s="2">
        <f t="shared" si="25"/>
        <v>8</v>
      </c>
      <c r="U84" s="2">
        <f t="shared" si="25"/>
        <v>4</v>
      </c>
      <c r="V84" s="2">
        <f t="shared" si="25"/>
        <v>4</v>
      </c>
      <c r="W84" s="2">
        <f t="shared" si="25"/>
        <v>3</v>
      </c>
      <c r="X84" s="2">
        <f>X64+X65+X66+X67+X68+X69+X70+X71+X72+X73+X74+X75+X76+X77+X78+X79+X80+X81+X82+X83</f>
        <v>5</v>
      </c>
      <c r="Y84" s="2">
        <f t="shared" ref="Y84:AC84" si="26">Y64+Y65+Y66+Y67+Y68+Y69+Y70+Y71+Y72+Y73+Y74+Y75+Y76+Y77+Y78+Y79+Y80+Y81+Y82+Y83</f>
        <v>0</v>
      </c>
      <c r="Z84" s="2"/>
      <c r="AA84" s="2"/>
      <c r="AB84" s="2"/>
      <c r="AC84" s="11">
        <f t="shared" si="26"/>
        <v>225</v>
      </c>
      <c r="AD84" s="13">
        <f>AD64+AD65+AD66+AD67+AD68+AD69+AD70+AD71+AD72+AD73+AD74+AD75+AD76+AD77+AD78+AD79+AD80+AD81+AD82+AD83</f>
        <v>0</v>
      </c>
      <c r="AE84">
        <v>225</v>
      </c>
    </row>
    <row r="85" spans="2:31" ht="64.5" customHeight="1" x14ac:dyDescent="0.25"/>
    <row r="86" spans="2:31" ht="15" customHeight="1" x14ac:dyDescent="0.25">
      <c r="B86" s="64" t="s">
        <v>24</v>
      </c>
      <c r="C86" s="64"/>
      <c r="D86" s="43" t="s">
        <v>33</v>
      </c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 spans="2:31" x14ac:dyDescent="0.25">
      <c r="B87" s="64" t="s">
        <v>23</v>
      </c>
      <c r="C87" s="64"/>
      <c r="D87" s="2" t="s">
        <v>0</v>
      </c>
      <c r="E87" s="4" t="s">
        <v>1</v>
      </c>
      <c r="F87" s="4" t="s">
        <v>1</v>
      </c>
      <c r="G87" s="4" t="s">
        <v>2</v>
      </c>
      <c r="H87" s="4" t="s">
        <v>3</v>
      </c>
      <c r="I87" s="2" t="s">
        <v>0</v>
      </c>
      <c r="J87" s="4" t="s">
        <v>1</v>
      </c>
      <c r="K87" s="4" t="s">
        <v>1</v>
      </c>
      <c r="L87" s="4" t="s">
        <v>2</v>
      </c>
      <c r="M87" s="4" t="s">
        <v>3</v>
      </c>
      <c r="N87" s="2" t="s">
        <v>0</v>
      </c>
      <c r="O87" s="4" t="s">
        <v>1</v>
      </c>
      <c r="P87" s="4" t="s">
        <v>1</v>
      </c>
      <c r="Q87" s="4" t="s">
        <v>2</v>
      </c>
      <c r="R87" s="4" t="s">
        <v>3</v>
      </c>
      <c r="S87" s="2" t="s">
        <v>0</v>
      </c>
      <c r="T87" s="4" t="s">
        <v>1</v>
      </c>
      <c r="U87" s="4" t="s">
        <v>1</v>
      </c>
      <c r="V87" s="4" t="s">
        <v>2</v>
      </c>
      <c r="W87" s="4" t="s">
        <v>3</v>
      </c>
      <c r="X87" s="2" t="s">
        <v>0</v>
      </c>
      <c r="Y87" s="4" t="s">
        <v>1</v>
      </c>
      <c r="Z87" s="4" t="s">
        <v>1</v>
      </c>
      <c r="AA87" s="4" t="s">
        <v>2</v>
      </c>
      <c r="AB87" s="4" t="s">
        <v>3</v>
      </c>
      <c r="AC87" s="2" t="s">
        <v>27</v>
      </c>
    </row>
    <row r="88" spans="2:31" x14ac:dyDescent="0.25">
      <c r="B88" s="64" t="s">
        <v>22</v>
      </c>
      <c r="C88" s="64"/>
      <c r="D88" s="42"/>
      <c r="E88" s="42"/>
      <c r="F88" s="42">
        <v>1</v>
      </c>
      <c r="G88" s="42">
        <v>2</v>
      </c>
      <c r="H88" s="42">
        <v>3</v>
      </c>
      <c r="I88" s="46">
        <v>6</v>
      </c>
      <c r="J88" s="46">
        <v>7</v>
      </c>
      <c r="K88" s="46">
        <v>8</v>
      </c>
      <c r="L88" s="46">
        <v>9</v>
      </c>
      <c r="M88" s="46">
        <v>10</v>
      </c>
      <c r="N88" s="42">
        <v>13</v>
      </c>
      <c r="O88" s="42">
        <v>14</v>
      </c>
      <c r="P88" s="42">
        <v>15</v>
      </c>
      <c r="Q88" s="42">
        <v>16</v>
      </c>
      <c r="R88" s="42">
        <v>17</v>
      </c>
      <c r="S88" s="42">
        <v>20</v>
      </c>
      <c r="T88" s="42">
        <v>21</v>
      </c>
      <c r="U88" s="42">
        <v>22</v>
      </c>
      <c r="V88" s="42">
        <v>23</v>
      </c>
      <c r="W88" s="42">
        <v>24</v>
      </c>
      <c r="X88" s="42">
        <v>27</v>
      </c>
      <c r="Y88" s="42">
        <v>28</v>
      </c>
      <c r="Z88" s="42">
        <v>29</v>
      </c>
      <c r="AA88" s="42">
        <v>30</v>
      </c>
      <c r="AB88" s="42">
        <v>31</v>
      </c>
      <c r="AC88" s="62"/>
    </row>
    <row r="89" spans="2:31" x14ac:dyDescent="0.25">
      <c r="B89" s="65" t="s">
        <v>25</v>
      </c>
      <c r="C89" s="45"/>
      <c r="D89" s="42"/>
      <c r="E89" s="42"/>
      <c r="F89" s="42"/>
      <c r="G89" s="42"/>
      <c r="H89" s="42"/>
      <c r="I89" s="46"/>
      <c r="J89" s="46"/>
      <c r="K89" s="46"/>
      <c r="L89" s="46"/>
      <c r="M89" s="46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63"/>
    </row>
    <row r="90" spans="2:31" ht="15" customHeight="1" x14ac:dyDescent="0.25">
      <c r="B90" s="45" t="s">
        <v>4</v>
      </c>
      <c r="C90" s="45"/>
      <c r="D90" s="3"/>
      <c r="E90" s="3"/>
      <c r="F90" s="3">
        <v>0</v>
      </c>
      <c r="G90" s="3">
        <v>1</v>
      </c>
      <c r="H90" s="3">
        <v>0</v>
      </c>
      <c r="I90" s="3">
        <v>0</v>
      </c>
      <c r="J90" s="3">
        <v>0</v>
      </c>
      <c r="K90" s="3">
        <v>0</v>
      </c>
      <c r="L90" s="3">
        <v>1</v>
      </c>
      <c r="M90" s="3">
        <v>2</v>
      </c>
      <c r="N90" s="3">
        <v>2</v>
      </c>
      <c r="O90" s="3">
        <v>1</v>
      </c>
      <c r="P90" s="3">
        <v>1</v>
      </c>
      <c r="Q90" s="3">
        <v>1</v>
      </c>
      <c r="R90" s="3">
        <v>1</v>
      </c>
      <c r="S90" s="3">
        <v>0</v>
      </c>
      <c r="T90" s="3">
        <v>1</v>
      </c>
      <c r="U90" s="3">
        <v>1</v>
      </c>
      <c r="V90" s="3">
        <v>3</v>
      </c>
      <c r="W90" s="3">
        <v>0</v>
      </c>
      <c r="X90" s="3">
        <v>1</v>
      </c>
      <c r="Y90" s="3">
        <v>1</v>
      </c>
      <c r="Z90" s="3">
        <v>1</v>
      </c>
      <c r="AA90" s="3">
        <v>0</v>
      </c>
      <c r="AB90" s="3">
        <v>1</v>
      </c>
      <c r="AC90" s="11">
        <f>D90+E90+F90+G90+H90+I90+J90+K90+L90+M90+N90+O90+P90+Q90+R90+S90+T90+V90+U90+W90+X90+Y90+Z90+AA90+AB90</f>
        <v>19</v>
      </c>
    </row>
    <row r="91" spans="2:31" x14ac:dyDescent="0.25">
      <c r="B91" s="41" t="s">
        <v>7</v>
      </c>
      <c r="C91" s="41"/>
      <c r="D91" s="3"/>
      <c r="E91" s="3"/>
      <c r="F91" s="3">
        <v>0</v>
      </c>
      <c r="G91" s="3">
        <v>1</v>
      </c>
      <c r="H91" s="3">
        <v>1</v>
      </c>
      <c r="I91" s="3">
        <v>1</v>
      </c>
      <c r="J91" s="3">
        <v>1</v>
      </c>
      <c r="K91" s="3">
        <v>0</v>
      </c>
      <c r="L91" s="3">
        <v>0</v>
      </c>
      <c r="M91" s="3">
        <v>1</v>
      </c>
      <c r="N91" s="3">
        <v>0</v>
      </c>
      <c r="O91" s="3">
        <v>1</v>
      </c>
      <c r="P91" s="3">
        <v>3</v>
      </c>
      <c r="Q91" s="3">
        <v>4</v>
      </c>
      <c r="R91" s="3">
        <v>5</v>
      </c>
      <c r="S91" s="3">
        <v>1</v>
      </c>
      <c r="T91" s="3">
        <v>2</v>
      </c>
      <c r="U91" s="3">
        <v>3</v>
      </c>
      <c r="V91" s="3">
        <v>1</v>
      </c>
      <c r="W91" s="3">
        <v>0</v>
      </c>
      <c r="X91" s="3">
        <v>1</v>
      </c>
      <c r="Y91" s="3">
        <v>0</v>
      </c>
      <c r="Z91" s="3">
        <v>1</v>
      </c>
      <c r="AA91" s="3">
        <v>0</v>
      </c>
      <c r="AB91" s="3"/>
      <c r="AC91" s="11">
        <f t="shared" ref="AC91:AC109" si="27">D91+E91+F91+G91+H91+I91+J91+K91+L91+M91+N91+O91+P91+Q91+R91+S91+T91+V91+U91+W91+X91+Y91+Z91+AA91+AB91</f>
        <v>27</v>
      </c>
      <c r="AE91" t="s">
        <v>34</v>
      </c>
    </row>
    <row r="92" spans="2:31" x14ac:dyDescent="0.25">
      <c r="B92" s="41" t="s">
        <v>5</v>
      </c>
      <c r="C92" s="41"/>
      <c r="D92" s="3"/>
      <c r="E92" s="3"/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1</v>
      </c>
      <c r="M92" s="3">
        <v>0</v>
      </c>
      <c r="N92" s="3">
        <v>2</v>
      </c>
      <c r="O92" s="3">
        <v>2</v>
      </c>
      <c r="P92" s="3">
        <v>2</v>
      </c>
      <c r="Q92" s="3">
        <v>0</v>
      </c>
      <c r="R92" s="3">
        <v>3</v>
      </c>
      <c r="S92" s="3">
        <v>1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/>
      <c r="AC92" s="11">
        <f t="shared" si="27"/>
        <v>11</v>
      </c>
    </row>
    <row r="93" spans="2:31" x14ac:dyDescent="0.25">
      <c r="B93" s="41" t="s">
        <v>6</v>
      </c>
      <c r="C93" s="41"/>
      <c r="D93" s="3"/>
      <c r="E93" s="3"/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1</v>
      </c>
      <c r="N93" s="3">
        <v>3</v>
      </c>
      <c r="O93" s="3">
        <v>3</v>
      </c>
      <c r="P93" s="3">
        <v>2</v>
      </c>
      <c r="Q93" s="3">
        <v>2</v>
      </c>
      <c r="R93" s="3">
        <v>2</v>
      </c>
      <c r="S93" s="3">
        <v>0</v>
      </c>
      <c r="T93" s="3">
        <v>1</v>
      </c>
      <c r="U93" s="3">
        <v>1</v>
      </c>
      <c r="V93" s="3">
        <v>2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1</v>
      </c>
      <c r="AC93" s="11">
        <f t="shared" si="27"/>
        <v>18</v>
      </c>
    </row>
    <row r="94" spans="2:31" x14ac:dyDescent="0.25">
      <c r="B94" s="41" t="s">
        <v>8</v>
      </c>
      <c r="C94" s="41"/>
      <c r="D94" s="3"/>
      <c r="E94" s="3"/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1</v>
      </c>
      <c r="M94" s="3">
        <v>3</v>
      </c>
      <c r="N94" s="3">
        <v>3</v>
      </c>
      <c r="O94" s="3">
        <v>2</v>
      </c>
      <c r="P94" s="3">
        <v>1</v>
      </c>
      <c r="Q94" s="3">
        <v>1</v>
      </c>
      <c r="R94" s="3">
        <v>2</v>
      </c>
      <c r="S94" s="3">
        <v>0</v>
      </c>
      <c r="T94" s="3">
        <v>2</v>
      </c>
      <c r="U94" s="3">
        <v>1</v>
      </c>
      <c r="V94" s="3">
        <v>0</v>
      </c>
      <c r="W94" s="3">
        <v>0</v>
      </c>
      <c r="X94" s="3">
        <v>1</v>
      </c>
      <c r="Y94" s="3">
        <v>1</v>
      </c>
      <c r="Z94" s="3">
        <v>2</v>
      </c>
      <c r="AA94" s="3">
        <v>0</v>
      </c>
      <c r="AB94" s="3">
        <v>1</v>
      </c>
      <c r="AC94" s="11">
        <f t="shared" si="27"/>
        <v>21</v>
      </c>
    </row>
    <row r="95" spans="2:31" x14ac:dyDescent="0.25">
      <c r="B95" s="41" t="s">
        <v>9</v>
      </c>
      <c r="C95" s="41"/>
      <c r="D95" s="3"/>
      <c r="E95" s="3"/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1</v>
      </c>
      <c r="M95" s="3">
        <v>2</v>
      </c>
      <c r="N95" s="3">
        <v>2</v>
      </c>
      <c r="O95" s="3">
        <v>4</v>
      </c>
      <c r="P95" s="3">
        <v>1</v>
      </c>
      <c r="Q95" s="3">
        <v>1</v>
      </c>
      <c r="R95" s="3">
        <v>1</v>
      </c>
      <c r="S95" s="3">
        <v>2</v>
      </c>
      <c r="T95" s="3">
        <v>2</v>
      </c>
      <c r="U95" s="3">
        <v>1</v>
      </c>
      <c r="V95" s="3">
        <v>0</v>
      </c>
      <c r="W95" s="3">
        <v>0</v>
      </c>
      <c r="X95" s="3">
        <v>0</v>
      </c>
      <c r="Y95" s="3">
        <v>0</v>
      </c>
      <c r="Z95" s="3">
        <v>2</v>
      </c>
      <c r="AA95" s="3">
        <v>0</v>
      </c>
      <c r="AB95" s="3">
        <v>2</v>
      </c>
      <c r="AC95" s="11">
        <f t="shared" si="27"/>
        <v>21</v>
      </c>
    </row>
    <row r="96" spans="2:31" x14ac:dyDescent="0.25">
      <c r="B96" s="41" t="s">
        <v>18</v>
      </c>
      <c r="C96" s="41"/>
      <c r="D96" s="3"/>
      <c r="E96" s="3"/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1</v>
      </c>
      <c r="O96" s="3">
        <v>1</v>
      </c>
      <c r="P96" s="3">
        <v>1</v>
      </c>
      <c r="Q96" s="3">
        <v>1</v>
      </c>
      <c r="R96" s="3">
        <v>0</v>
      </c>
      <c r="S96" s="3">
        <v>0</v>
      </c>
      <c r="T96" s="3">
        <v>1</v>
      </c>
      <c r="U96" s="3">
        <v>0</v>
      </c>
      <c r="V96" s="3">
        <v>0</v>
      </c>
      <c r="W96" s="3">
        <v>0</v>
      </c>
      <c r="X96" s="3">
        <v>1</v>
      </c>
      <c r="Y96" s="3">
        <v>2</v>
      </c>
      <c r="Z96" s="3">
        <v>1</v>
      </c>
      <c r="AA96" s="3">
        <v>0</v>
      </c>
      <c r="AB96" s="3">
        <v>2</v>
      </c>
      <c r="AC96" s="11">
        <f t="shared" si="27"/>
        <v>11</v>
      </c>
    </row>
    <row r="97" spans="2:29" x14ac:dyDescent="0.25">
      <c r="B97" s="41" t="s">
        <v>19</v>
      </c>
      <c r="C97" s="41"/>
      <c r="D97" s="3"/>
      <c r="E97" s="3"/>
      <c r="F97" s="3">
        <v>0</v>
      </c>
      <c r="G97" s="3">
        <v>0</v>
      </c>
      <c r="H97" s="3">
        <v>2</v>
      </c>
      <c r="I97" s="3">
        <v>0</v>
      </c>
      <c r="J97" s="3">
        <v>0</v>
      </c>
      <c r="K97" s="3">
        <v>0</v>
      </c>
      <c r="L97" s="3">
        <v>1</v>
      </c>
      <c r="M97" s="3">
        <v>0</v>
      </c>
      <c r="N97" s="3">
        <v>2</v>
      </c>
      <c r="O97" s="3">
        <v>2</v>
      </c>
      <c r="P97" s="3">
        <v>0</v>
      </c>
      <c r="Q97" s="3">
        <v>1</v>
      </c>
      <c r="R97" s="3">
        <v>0</v>
      </c>
      <c r="S97" s="3">
        <v>1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1</v>
      </c>
      <c r="AC97" s="11">
        <f t="shared" si="27"/>
        <v>10</v>
      </c>
    </row>
    <row r="98" spans="2:29" x14ac:dyDescent="0.25">
      <c r="B98" s="41" t="s">
        <v>20</v>
      </c>
      <c r="C98" s="41"/>
      <c r="D98" s="3"/>
      <c r="E98" s="3"/>
      <c r="F98" s="3">
        <v>0</v>
      </c>
      <c r="G98" s="3">
        <v>0</v>
      </c>
      <c r="H98" s="3">
        <v>0</v>
      </c>
      <c r="I98" s="3">
        <v>1</v>
      </c>
      <c r="J98" s="3">
        <v>2</v>
      </c>
      <c r="K98" s="3">
        <v>0</v>
      </c>
      <c r="L98" s="3">
        <v>0</v>
      </c>
      <c r="M98" s="3">
        <v>5</v>
      </c>
      <c r="N98" s="3">
        <v>1</v>
      </c>
      <c r="O98" s="3">
        <v>3</v>
      </c>
      <c r="P98" s="3">
        <v>1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2</v>
      </c>
      <c r="W98" s="3">
        <v>0</v>
      </c>
      <c r="X98" s="3">
        <v>2</v>
      </c>
      <c r="Y98" s="3">
        <v>4</v>
      </c>
      <c r="Z98" s="3">
        <v>3</v>
      </c>
      <c r="AA98" s="3">
        <v>0</v>
      </c>
      <c r="AB98" s="3">
        <v>1</v>
      </c>
      <c r="AC98" s="11">
        <f t="shared" si="27"/>
        <v>25</v>
      </c>
    </row>
    <row r="99" spans="2:29" x14ac:dyDescent="0.25">
      <c r="B99" s="41" t="s">
        <v>12</v>
      </c>
      <c r="C99" s="41"/>
      <c r="D99" s="3"/>
      <c r="E99" s="3"/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1</v>
      </c>
      <c r="M99" s="3">
        <v>0</v>
      </c>
      <c r="N99" s="3">
        <v>1</v>
      </c>
      <c r="O99" s="3">
        <v>0</v>
      </c>
      <c r="P99" s="3">
        <v>0</v>
      </c>
      <c r="Q99" s="3">
        <v>0</v>
      </c>
      <c r="R99" s="3">
        <v>0</v>
      </c>
      <c r="S99" s="3">
        <v>1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1</v>
      </c>
      <c r="AA99" s="3">
        <v>0</v>
      </c>
      <c r="AB99" s="3"/>
      <c r="AC99" s="11">
        <f t="shared" si="27"/>
        <v>4</v>
      </c>
    </row>
    <row r="100" spans="2:29" x14ac:dyDescent="0.25">
      <c r="B100" s="41" t="s">
        <v>21</v>
      </c>
      <c r="C100" s="41"/>
      <c r="D100" s="3"/>
      <c r="E100" s="3"/>
      <c r="F100" s="3">
        <v>0</v>
      </c>
      <c r="G100" s="3">
        <v>0</v>
      </c>
      <c r="H100" s="3">
        <v>1</v>
      </c>
      <c r="I100" s="3">
        <v>1</v>
      </c>
      <c r="J100" s="3">
        <v>1</v>
      </c>
      <c r="K100" s="3">
        <v>0</v>
      </c>
      <c r="L100" s="3">
        <v>1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1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1</v>
      </c>
      <c r="Y100" s="3">
        <v>0</v>
      </c>
      <c r="Z100" s="3">
        <v>0</v>
      </c>
      <c r="AA100" s="3">
        <v>0</v>
      </c>
      <c r="AB100" s="3">
        <v>1</v>
      </c>
      <c r="AC100" s="11">
        <f t="shared" si="27"/>
        <v>7</v>
      </c>
    </row>
    <row r="101" spans="2:29" x14ac:dyDescent="0.25">
      <c r="B101" s="41" t="s">
        <v>10</v>
      </c>
      <c r="C101" s="41"/>
      <c r="D101" s="3"/>
      <c r="E101" s="3"/>
      <c r="F101" s="3">
        <v>0</v>
      </c>
      <c r="G101" s="3">
        <v>0</v>
      </c>
      <c r="H101" s="3">
        <v>0</v>
      </c>
      <c r="I101" s="3">
        <v>0</v>
      </c>
      <c r="J101" s="3">
        <v>1</v>
      </c>
      <c r="K101" s="3">
        <v>0</v>
      </c>
      <c r="L101" s="3">
        <v>1</v>
      </c>
      <c r="M101" s="3">
        <v>2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2</v>
      </c>
      <c r="W101" s="3">
        <v>0</v>
      </c>
      <c r="X101" s="3">
        <v>0</v>
      </c>
      <c r="Y101" s="3">
        <v>0</v>
      </c>
      <c r="Z101" s="3">
        <v>1</v>
      </c>
      <c r="AA101" s="3">
        <v>0</v>
      </c>
      <c r="AB101" s="3">
        <v>1</v>
      </c>
      <c r="AC101" s="11">
        <f t="shared" si="27"/>
        <v>8</v>
      </c>
    </row>
    <row r="102" spans="2:29" x14ac:dyDescent="0.25">
      <c r="B102" s="41" t="s">
        <v>11</v>
      </c>
      <c r="C102" s="41"/>
      <c r="D102" s="3"/>
      <c r="E102" s="3"/>
      <c r="F102" s="3">
        <v>0</v>
      </c>
      <c r="G102" s="3">
        <v>0</v>
      </c>
      <c r="H102" s="3">
        <v>0</v>
      </c>
      <c r="I102" s="3">
        <v>1</v>
      </c>
      <c r="J102" s="3">
        <v>0</v>
      </c>
      <c r="K102" s="3">
        <v>1</v>
      </c>
      <c r="L102" s="3">
        <v>1</v>
      </c>
      <c r="M102" s="3">
        <v>1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1</v>
      </c>
      <c r="T102" s="3">
        <v>2</v>
      </c>
      <c r="U102" s="3">
        <v>0</v>
      </c>
      <c r="V102" s="3">
        <v>0</v>
      </c>
      <c r="W102" s="3">
        <v>0</v>
      </c>
      <c r="X102" s="3">
        <v>0</v>
      </c>
      <c r="Y102" s="3">
        <v>1</v>
      </c>
      <c r="Z102" s="3">
        <v>1</v>
      </c>
      <c r="AA102" s="3">
        <v>0</v>
      </c>
      <c r="AB102" s="3"/>
      <c r="AC102" s="11">
        <f t="shared" si="27"/>
        <v>9</v>
      </c>
    </row>
    <row r="103" spans="2:29" x14ac:dyDescent="0.25">
      <c r="B103" s="41" t="s">
        <v>13</v>
      </c>
      <c r="C103" s="41"/>
      <c r="D103" s="3"/>
      <c r="E103" s="3"/>
      <c r="F103" s="3">
        <v>0</v>
      </c>
      <c r="G103" s="3">
        <v>0</v>
      </c>
      <c r="H103" s="3">
        <v>0</v>
      </c>
      <c r="I103" s="3">
        <v>1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1</v>
      </c>
      <c r="P103" s="3">
        <v>1</v>
      </c>
      <c r="Q103" s="3">
        <v>0</v>
      </c>
      <c r="R103" s="3">
        <v>1</v>
      </c>
      <c r="S103" s="3">
        <v>0</v>
      </c>
      <c r="T103" s="3">
        <v>0</v>
      </c>
      <c r="U103" s="3">
        <v>2</v>
      </c>
      <c r="V103" s="3">
        <v>2</v>
      </c>
      <c r="W103" s="3">
        <v>0</v>
      </c>
      <c r="X103" s="3">
        <v>1</v>
      </c>
      <c r="Y103" s="3">
        <v>1</v>
      </c>
      <c r="Z103" s="3">
        <v>0</v>
      </c>
      <c r="AA103" s="3">
        <v>0</v>
      </c>
      <c r="AB103" s="3"/>
      <c r="AC103" s="11">
        <f t="shared" si="27"/>
        <v>10</v>
      </c>
    </row>
    <row r="104" spans="2:29" x14ac:dyDescent="0.25">
      <c r="B104" s="41" t="s">
        <v>28</v>
      </c>
      <c r="C104" s="41"/>
      <c r="D104" s="3"/>
      <c r="E104" s="3"/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1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1</v>
      </c>
      <c r="AA104" s="3">
        <v>0</v>
      </c>
      <c r="AB104" s="3"/>
      <c r="AC104" s="11">
        <f t="shared" si="27"/>
        <v>2</v>
      </c>
    </row>
    <row r="105" spans="2:29" x14ac:dyDescent="0.25">
      <c r="B105" s="41" t="s">
        <v>29</v>
      </c>
      <c r="C105" s="41"/>
      <c r="D105" s="3"/>
      <c r="E105" s="3"/>
      <c r="F105" s="3">
        <v>0</v>
      </c>
      <c r="G105" s="3">
        <v>0</v>
      </c>
      <c r="H105" s="3">
        <v>0</v>
      </c>
      <c r="I105" s="3">
        <v>0</v>
      </c>
      <c r="J105" s="3">
        <v>1</v>
      </c>
      <c r="K105" s="3">
        <v>1</v>
      </c>
      <c r="L105" s="3">
        <v>1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2</v>
      </c>
      <c r="S105" s="3">
        <v>0</v>
      </c>
      <c r="T105" s="3">
        <v>0</v>
      </c>
      <c r="U105" s="3">
        <v>1</v>
      </c>
      <c r="V105" s="3">
        <v>1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1</v>
      </c>
      <c r="AC105" s="11">
        <f t="shared" si="27"/>
        <v>8</v>
      </c>
    </row>
    <row r="106" spans="2:29" x14ac:dyDescent="0.25">
      <c r="B106" s="41" t="s">
        <v>14</v>
      </c>
      <c r="C106" s="41"/>
      <c r="D106" s="3"/>
      <c r="E106" s="3"/>
      <c r="F106" s="3">
        <v>0</v>
      </c>
      <c r="G106" s="3">
        <v>0</v>
      </c>
      <c r="H106" s="3">
        <v>18</v>
      </c>
      <c r="I106" s="3">
        <v>0</v>
      </c>
      <c r="J106" s="3">
        <v>0</v>
      </c>
      <c r="K106" s="3">
        <v>0</v>
      </c>
      <c r="L106" s="3">
        <v>1</v>
      </c>
      <c r="M106" s="3">
        <v>1</v>
      </c>
      <c r="N106" s="3">
        <v>2</v>
      </c>
      <c r="O106" s="3">
        <v>1</v>
      </c>
      <c r="P106" s="3">
        <v>2</v>
      </c>
      <c r="Q106" s="3">
        <v>0</v>
      </c>
      <c r="R106" s="3">
        <v>0</v>
      </c>
      <c r="S106" s="3">
        <v>0</v>
      </c>
      <c r="T106" s="3">
        <v>1</v>
      </c>
      <c r="U106" s="3">
        <v>1</v>
      </c>
      <c r="V106" s="3">
        <v>0</v>
      </c>
      <c r="W106" s="3">
        <v>0</v>
      </c>
      <c r="X106" s="3">
        <v>1</v>
      </c>
      <c r="Y106" s="3">
        <v>0</v>
      </c>
      <c r="Z106" s="3">
        <v>0</v>
      </c>
      <c r="AA106" s="3">
        <v>0</v>
      </c>
      <c r="AB106" s="3"/>
      <c r="AC106" s="11">
        <f t="shared" si="27"/>
        <v>28</v>
      </c>
    </row>
    <row r="107" spans="2:29" x14ac:dyDescent="0.25">
      <c r="B107" s="41" t="s">
        <v>15</v>
      </c>
      <c r="C107" s="41"/>
      <c r="D107" s="3"/>
      <c r="E107" s="3"/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2</v>
      </c>
      <c r="M107" s="3">
        <v>1</v>
      </c>
      <c r="N107" s="3">
        <v>3</v>
      </c>
      <c r="O107" s="3">
        <v>2</v>
      </c>
      <c r="P107" s="3">
        <v>2</v>
      </c>
      <c r="Q107" s="3">
        <v>1</v>
      </c>
      <c r="R107" s="3">
        <v>1</v>
      </c>
      <c r="S107" s="3">
        <v>1</v>
      </c>
      <c r="T107" s="3">
        <v>1</v>
      </c>
      <c r="U107" s="3">
        <v>1</v>
      </c>
      <c r="V107" s="3">
        <v>1</v>
      </c>
      <c r="W107" s="3">
        <v>0</v>
      </c>
      <c r="X107" s="3">
        <v>4</v>
      </c>
      <c r="Y107" s="3">
        <v>2</v>
      </c>
      <c r="Z107" s="3">
        <v>4</v>
      </c>
      <c r="AA107" s="3">
        <v>0</v>
      </c>
      <c r="AB107" s="3">
        <v>3</v>
      </c>
      <c r="AC107" s="11">
        <f t="shared" si="27"/>
        <v>29</v>
      </c>
    </row>
    <row r="108" spans="2:29" x14ac:dyDescent="0.25">
      <c r="B108" s="41" t="s">
        <v>16</v>
      </c>
      <c r="C108" s="41"/>
      <c r="D108" s="3"/>
      <c r="E108" s="3"/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1</v>
      </c>
      <c r="O108" s="3">
        <v>1</v>
      </c>
      <c r="P108" s="3">
        <v>0</v>
      </c>
      <c r="Q108" s="3">
        <v>3</v>
      </c>
      <c r="R108" s="3">
        <v>0</v>
      </c>
      <c r="S108" s="3">
        <v>0</v>
      </c>
      <c r="T108" s="3">
        <v>1</v>
      </c>
      <c r="U108" s="3">
        <v>0</v>
      </c>
      <c r="V108" s="3">
        <v>2</v>
      </c>
      <c r="W108" s="3">
        <v>0</v>
      </c>
      <c r="X108" s="3">
        <v>0</v>
      </c>
      <c r="Y108" s="3">
        <v>2</v>
      </c>
      <c r="Z108" s="3">
        <v>1</v>
      </c>
      <c r="AA108" s="3">
        <v>0</v>
      </c>
      <c r="AB108" s="3"/>
      <c r="AC108" s="11">
        <f t="shared" si="27"/>
        <v>11</v>
      </c>
    </row>
    <row r="109" spans="2:29" x14ac:dyDescent="0.25">
      <c r="B109" s="41" t="s">
        <v>17</v>
      </c>
      <c r="C109" s="41"/>
      <c r="D109" s="3"/>
      <c r="E109" s="3"/>
      <c r="F109" s="3">
        <v>0</v>
      </c>
      <c r="G109" s="3">
        <v>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1</v>
      </c>
      <c r="O109" s="3">
        <v>2</v>
      </c>
      <c r="P109" s="3">
        <v>3</v>
      </c>
      <c r="Q109" s="3">
        <v>1</v>
      </c>
      <c r="R109" s="3">
        <v>0</v>
      </c>
      <c r="S109" s="3">
        <v>0</v>
      </c>
      <c r="T109" s="3">
        <v>1</v>
      </c>
      <c r="U109" s="3">
        <v>1</v>
      </c>
      <c r="V109" s="3">
        <v>1</v>
      </c>
      <c r="W109" s="3">
        <v>0</v>
      </c>
      <c r="X109" s="3">
        <v>2</v>
      </c>
      <c r="Y109" s="3">
        <v>0</v>
      </c>
      <c r="Z109" s="3">
        <v>0</v>
      </c>
      <c r="AA109" s="3">
        <v>0</v>
      </c>
      <c r="AB109" s="3"/>
      <c r="AC109" s="11">
        <f t="shared" si="27"/>
        <v>13</v>
      </c>
    </row>
    <row r="110" spans="2:29" x14ac:dyDescent="0.25">
      <c r="B110" s="9" t="s">
        <v>27</v>
      </c>
      <c r="C110" s="2"/>
      <c r="D110" s="2"/>
      <c r="E110" s="2"/>
      <c r="F110" s="2">
        <v>0</v>
      </c>
      <c r="G110" s="2">
        <f t="shared" ref="G110:S110" si="28">G90+G91+G92+G93+G94+G95+G96+G97+G98+G99+G100+G101+G102+G103+G104+G105+G106+G107+G108+G109</f>
        <v>3</v>
      </c>
      <c r="H110" s="2">
        <f t="shared" si="28"/>
        <v>22</v>
      </c>
      <c r="I110" s="2">
        <f t="shared" si="28"/>
        <v>5</v>
      </c>
      <c r="J110" s="4">
        <f t="shared" si="28"/>
        <v>6</v>
      </c>
      <c r="K110" s="4">
        <f t="shared" si="28"/>
        <v>2</v>
      </c>
      <c r="L110" s="4">
        <f t="shared" si="28"/>
        <v>13</v>
      </c>
      <c r="M110" s="4">
        <f t="shared" si="28"/>
        <v>19</v>
      </c>
      <c r="N110" s="4">
        <f t="shared" si="28"/>
        <v>24</v>
      </c>
      <c r="O110" s="2">
        <f t="shared" si="28"/>
        <v>26</v>
      </c>
      <c r="P110" s="2">
        <f t="shared" si="28"/>
        <v>20</v>
      </c>
      <c r="Q110" s="2">
        <f t="shared" si="28"/>
        <v>16</v>
      </c>
      <c r="R110" s="2">
        <f t="shared" si="28"/>
        <v>20</v>
      </c>
      <c r="S110" s="2">
        <f t="shared" si="28"/>
        <v>8</v>
      </c>
      <c r="T110" s="2">
        <f t="shared" ref="T110:AA110" si="29">T90+T91+T92+T93+T94+T95+T96+T97+T98+T99+T100+T101+T102+T103+T104+T105+T106+T107+T108+T109</f>
        <v>15</v>
      </c>
      <c r="U110" s="2">
        <f t="shared" si="29"/>
        <v>13</v>
      </c>
      <c r="V110" s="2">
        <f t="shared" si="29"/>
        <v>17</v>
      </c>
      <c r="W110" s="2">
        <f t="shared" si="29"/>
        <v>0</v>
      </c>
      <c r="X110" s="2">
        <f t="shared" si="29"/>
        <v>15</v>
      </c>
      <c r="Y110" s="2">
        <f t="shared" si="29"/>
        <v>14</v>
      </c>
      <c r="Z110" s="2">
        <f t="shared" si="29"/>
        <v>19</v>
      </c>
      <c r="AA110" s="2">
        <f t="shared" si="29"/>
        <v>0</v>
      </c>
      <c r="AB110" s="2">
        <f>AB90+AB91+AB92+AB93+AB94+AB95+AB96+AB97+AB98+AB99+AB100+AB101+AB102+AB103+AB104+AB105+AB106+AB107+AB108+AB109</f>
        <v>15</v>
      </c>
      <c r="AC110" s="11">
        <f>AC90+AC91+AC92+AC93+AC94+AC95+AC96+AC97+AC98+AC99+AC100+AC101+AC102+AC103+AC104+AC105+AC106+AC107+AC108+AC109</f>
        <v>292</v>
      </c>
    </row>
    <row r="111" spans="2:29" x14ac:dyDescent="0.25">
      <c r="S111" s="15"/>
      <c r="T111" s="15"/>
      <c r="U111" s="15"/>
    </row>
    <row r="112" spans="2:29" x14ac:dyDescent="0.25">
      <c r="S112" s="15"/>
      <c r="T112" s="15"/>
      <c r="U112" s="15"/>
    </row>
    <row r="113" spans="2:61" x14ac:dyDescent="0.25">
      <c r="S113" s="15"/>
      <c r="T113" s="15"/>
      <c r="U113" s="15"/>
    </row>
    <row r="114" spans="2:61" x14ac:dyDescent="0.25">
      <c r="B114" s="64" t="s">
        <v>24</v>
      </c>
      <c r="C114" s="64"/>
      <c r="D114" s="43" t="s">
        <v>36</v>
      </c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E114" s="64" t="s">
        <v>24</v>
      </c>
      <c r="AF114" s="64"/>
      <c r="AG114" s="43" t="s">
        <v>38</v>
      </c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</row>
    <row r="115" spans="2:61" x14ac:dyDescent="0.25">
      <c r="B115" s="64" t="s">
        <v>23</v>
      </c>
      <c r="C115" s="64"/>
      <c r="D115" s="2" t="s">
        <v>0</v>
      </c>
      <c r="E115" s="4" t="s">
        <v>1</v>
      </c>
      <c r="F115" s="4" t="s">
        <v>1</v>
      </c>
      <c r="G115" s="4" t="s">
        <v>2</v>
      </c>
      <c r="H115" s="4" t="s">
        <v>3</v>
      </c>
      <c r="I115" s="2" t="s">
        <v>0</v>
      </c>
      <c r="J115" s="4" t="s">
        <v>1</v>
      </c>
      <c r="K115" s="4" t="s">
        <v>1</v>
      </c>
      <c r="L115" s="4" t="s">
        <v>2</v>
      </c>
      <c r="M115" s="4" t="s">
        <v>3</v>
      </c>
      <c r="N115" s="2" t="s">
        <v>0</v>
      </c>
      <c r="O115" s="4" t="s">
        <v>1</v>
      </c>
      <c r="P115" s="4" t="s">
        <v>1</v>
      </c>
      <c r="Q115" s="4" t="s">
        <v>2</v>
      </c>
      <c r="R115" s="4" t="s">
        <v>3</v>
      </c>
      <c r="S115" s="2" t="s">
        <v>0</v>
      </c>
      <c r="T115" s="4" t="s">
        <v>1</v>
      </c>
      <c r="U115" s="4" t="s">
        <v>1</v>
      </c>
      <c r="V115" s="4" t="s">
        <v>2</v>
      </c>
      <c r="W115" s="4" t="s">
        <v>3</v>
      </c>
      <c r="X115" s="2" t="s">
        <v>0</v>
      </c>
      <c r="Y115" s="4" t="s">
        <v>1</v>
      </c>
      <c r="Z115" s="4" t="s">
        <v>1</v>
      </c>
      <c r="AA115" s="4" t="s">
        <v>2</v>
      </c>
      <c r="AB115" s="4" t="s">
        <v>3</v>
      </c>
      <c r="AC115" s="2" t="s">
        <v>27</v>
      </c>
      <c r="AE115" s="64" t="s">
        <v>23</v>
      </c>
      <c r="AF115" s="64"/>
      <c r="AG115" s="2" t="s">
        <v>0</v>
      </c>
      <c r="AH115" s="4" t="s">
        <v>1</v>
      </c>
      <c r="AI115" s="4" t="s">
        <v>1</v>
      </c>
      <c r="AJ115" s="4" t="s">
        <v>2</v>
      </c>
      <c r="AK115" s="4" t="s">
        <v>3</v>
      </c>
      <c r="AL115" s="30" t="s">
        <v>40</v>
      </c>
      <c r="AM115" s="2" t="s">
        <v>0</v>
      </c>
      <c r="AN115" s="4" t="s">
        <v>1</v>
      </c>
      <c r="AO115" s="4" t="s">
        <v>1</v>
      </c>
      <c r="AP115" s="4" t="s">
        <v>2</v>
      </c>
      <c r="AQ115" s="4" t="s">
        <v>3</v>
      </c>
      <c r="AR115" s="25" t="s">
        <v>39</v>
      </c>
      <c r="AS115" s="2" t="s">
        <v>0</v>
      </c>
      <c r="AT115" s="4" t="s">
        <v>1</v>
      </c>
      <c r="AU115" s="4" t="s">
        <v>1</v>
      </c>
      <c r="AV115" s="4" t="s">
        <v>2</v>
      </c>
      <c r="AW115" s="4" t="s">
        <v>3</v>
      </c>
      <c r="AX115" s="25" t="s">
        <v>40</v>
      </c>
      <c r="AY115" s="2" t="s">
        <v>0</v>
      </c>
      <c r="AZ115" s="4" t="s">
        <v>1</v>
      </c>
      <c r="BA115" s="4" t="s">
        <v>1</v>
      </c>
      <c r="BB115" s="4" t="s">
        <v>2</v>
      </c>
      <c r="BC115" s="4" t="s">
        <v>3</v>
      </c>
      <c r="BD115" s="2" t="s">
        <v>0</v>
      </c>
      <c r="BE115" s="4" t="s">
        <v>1</v>
      </c>
      <c r="BF115" s="4" t="s">
        <v>1</v>
      </c>
      <c r="BG115" s="4" t="s">
        <v>2</v>
      </c>
      <c r="BH115" s="4" t="s">
        <v>3</v>
      </c>
      <c r="BI115" s="2" t="s">
        <v>27</v>
      </c>
    </row>
    <row r="116" spans="2:61" x14ac:dyDescent="0.25">
      <c r="B116" s="64" t="s">
        <v>22</v>
      </c>
      <c r="C116" s="64"/>
      <c r="D116" s="42">
        <v>3</v>
      </c>
      <c r="E116" s="42">
        <v>4</v>
      </c>
      <c r="F116" s="42">
        <v>5</v>
      </c>
      <c r="G116" s="42">
        <v>6</v>
      </c>
      <c r="H116" s="42">
        <v>7</v>
      </c>
      <c r="I116" s="46">
        <v>10</v>
      </c>
      <c r="J116" s="46">
        <v>11</v>
      </c>
      <c r="K116" s="46">
        <v>12</v>
      </c>
      <c r="L116" s="46">
        <v>13</v>
      </c>
      <c r="M116" s="46">
        <v>14</v>
      </c>
      <c r="N116" s="42">
        <v>17</v>
      </c>
      <c r="O116" s="42">
        <v>18</v>
      </c>
      <c r="P116" s="42">
        <v>19</v>
      </c>
      <c r="Q116" s="42">
        <v>20</v>
      </c>
      <c r="R116" s="42">
        <v>21</v>
      </c>
      <c r="S116" s="42">
        <v>24</v>
      </c>
      <c r="T116" s="42">
        <v>25</v>
      </c>
      <c r="U116" s="42">
        <v>26</v>
      </c>
      <c r="V116" s="42">
        <v>27</v>
      </c>
      <c r="W116" s="42">
        <v>28</v>
      </c>
      <c r="X116" s="42"/>
      <c r="Y116" s="42"/>
      <c r="Z116" s="42"/>
      <c r="AA116" s="42"/>
      <c r="AB116" s="42"/>
      <c r="AC116" s="62"/>
      <c r="AE116" s="64" t="s">
        <v>22</v>
      </c>
      <c r="AF116" s="64"/>
      <c r="AG116" s="66"/>
      <c r="AH116" s="66"/>
      <c r="AI116" s="66"/>
      <c r="AJ116" s="67">
        <v>1</v>
      </c>
      <c r="AK116" s="67">
        <v>2</v>
      </c>
      <c r="AL116" s="69">
        <v>3</v>
      </c>
      <c r="AM116" s="67">
        <v>5</v>
      </c>
      <c r="AN116" s="67">
        <v>6</v>
      </c>
      <c r="AO116" s="67">
        <v>7</v>
      </c>
      <c r="AP116" s="67">
        <v>8</v>
      </c>
      <c r="AQ116" s="67">
        <v>9</v>
      </c>
      <c r="AR116" s="69">
        <v>10</v>
      </c>
      <c r="AS116" s="67">
        <v>12</v>
      </c>
      <c r="AT116" s="67">
        <v>13</v>
      </c>
      <c r="AU116" s="67">
        <v>14</v>
      </c>
      <c r="AV116" s="67">
        <v>15</v>
      </c>
      <c r="AW116" s="67">
        <v>16</v>
      </c>
      <c r="AX116" s="69">
        <v>17</v>
      </c>
      <c r="AY116" s="67">
        <v>19</v>
      </c>
      <c r="AZ116" s="67">
        <v>20</v>
      </c>
      <c r="BA116" s="67">
        <v>21</v>
      </c>
      <c r="BB116" s="67">
        <v>22</v>
      </c>
      <c r="BC116" s="67">
        <v>23</v>
      </c>
      <c r="BD116" s="67">
        <v>26</v>
      </c>
      <c r="BE116" s="67">
        <v>27</v>
      </c>
      <c r="BF116" s="67">
        <v>28</v>
      </c>
      <c r="BG116" s="67">
        <v>29</v>
      </c>
      <c r="BH116" s="67">
        <v>30</v>
      </c>
      <c r="BI116" s="62"/>
    </row>
    <row r="117" spans="2:61" x14ac:dyDescent="0.25">
      <c r="B117" s="65" t="s">
        <v>25</v>
      </c>
      <c r="C117" s="45"/>
      <c r="D117" s="42"/>
      <c r="E117" s="42"/>
      <c r="F117" s="42"/>
      <c r="G117" s="42"/>
      <c r="H117" s="42"/>
      <c r="I117" s="46"/>
      <c r="J117" s="46"/>
      <c r="K117" s="46"/>
      <c r="L117" s="46"/>
      <c r="M117" s="46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63"/>
      <c r="AE117" s="65" t="s">
        <v>25</v>
      </c>
      <c r="AF117" s="45"/>
      <c r="AG117" s="66"/>
      <c r="AH117" s="66"/>
      <c r="AI117" s="66"/>
      <c r="AJ117" s="68"/>
      <c r="AK117" s="68"/>
      <c r="AL117" s="70"/>
      <c r="AM117" s="68"/>
      <c r="AN117" s="68"/>
      <c r="AO117" s="68"/>
      <c r="AP117" s="68"/>
      <c r="AQ117" s="68"/>
      <c r="AR117" s="70"/>
      <c r="AS117" s="68"/>
      <c r="AT117" s="68"/>
      <c r="AU117" s="68"/>
      <c r="AV117" s="68"/>
      <c r="AW117" s="68"/>
      <c r="AX117" s="70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3"/>
    </row>
    <row r="118" spans="2:61" x14ac:dyDescent="0.25">
      <c r="B118" s="45" t="s">
        <v>4</v>
      </c>
      <c r="C118" s="45"/>
      <c r="D118" s="3">
        <v>1</v>
      </c>
      <c r="E118" s="3">
        <v>1</v>
      </c>
      <c r="F118" s="3">
        <v>2</v>
      </c>
      <c r="G118" s="3">
        <v>0</v>
      </c>
      <c r="H118" s="3">
        <v>0</v>
      </c>
      <c r="I118" s="3">
        <v>2</v>
      </c>
      <c r="J118" s="3">
        <v>0</v>
      </c>
      <c r="K118" s="3">
        <v>1</v>
      </c>
      <c r="L118" s="3">
        <v>0</v>
      </c>
      <c r="M118" s="3">
        <v>0</v>
      </c>
      <c r="N118" s="3">
        <v>1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/>
      <c r="Y118" s="3"/>
      <c r="Z118" s="3"/>
      <c r="AA118" s="3"/>
      <c r="AB118" s="3"/>
      <c r="AC118" s="21">
        <f>D118+E118+F118+G118+H118+I118+J118+K118+L118+M118+N118+O118+P118+Q118+R118+S118+T118+V118+U118+W118+X118+Y118+Z118+AA118+AB118</f>
        <v>8</v>
      </c>
      <c r="AE118" s="45" t="s">
        <v>4</v>
      </c>
      <c r="AF118" s="45"/>
      <c r="AG118" s="3"/>
      <c r="AH118" s="3"/>
      <c r="AI118" s="3">
        <v>0</v>
      </c>
      <c r="AJ118" s="3">
        <v>0</v>
      </c>
      <c r="AK118" s="3">
        <v>0</v>
      </c>
      <c r="AL118" s="31">
        <v>0</v>
      </c>
      <c r="AM118" s="3">
        <v>1</v>
      </c>
      <c r="AN118" s="71" t="s">
        <v>41</v>
      </c>
      <c r="AO118" s="3">
        <v>0</v>
      </c>
      <c r="AP118" s="3">
        <v>1</v>
      </c>
      <c r="AQ118" s="3">
        <v>1</v>
      </c>
      <c r="AR118" s="26">
        <v>1</v>
      </c>
      <c r="AS118" s="3">
        <v>1</v>
      </c>
      <c r="AT118" s="3">
        <v>1</v>
      </c>
      <c r="AU118" s="3">
        <v>1</v>
      </c>
      <c r="AV118" s="3">
        <v>1</v>
      </c>
      <c r="AW118" s="3">
        <v>1</v>
      </c>
      <c r="AX118" s="26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22">
        <f>AG118+AH118+AI118+AJ118+AK118+AM118+AO118+AP118+AQ118+AS118+AT118+AU118+AV118+AW118+AY118+AZ118+BB118+BA118+BC118+BD118+BE118+BF118+BG118+BH118+AL118+AR118+AX118</f>
        <v>9</v>
      </c>
    </row>
    <row r="119" spans="2:61" x14ac:dyDescent="0.25">
      <c r="B119" s="41" t="s">
        <v>7</v>
      </c>
      <c r="C119" s="41"/>
      <c r="D119" s="3">
        <v>1</v>
      </c>
      <c r="E119" s="3">
        <v>0</v>
      </c>
      <c r="F119" s="3">
        <v>0</v>
      </c>
      <c r="G119" s="3">
        <v>1</v>
      </c>
      <c r="H119" s="3">
        <v>0</v>
      </c>
      <c r="I119" s="3">
        <v>3</v>
      </c>
      <c r="J119" s="3">
        <v>2</v>
      </c>
      <c r="K119" s="3">
        <v>3</v>
      </c>
      <c r="L119" s="3">
        <v>0</v>
      </c>
      <c r="M119" s="3">
        <v>1</v>
      </c>
      <c r="N119" s="3">
        <v>0</v>
      </c>
      <c r="O119" s="3">
        <v>1</v>
      </c>
      <c r="P119" s="3">
        <v>0</v>
      </c>
      <c r="Q119" s="3">
        <v>1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/>
      <c r="Y119" s="3"/>
      <c r="Z119" s="3"/>
      <c r="AA119" s="3"/>
      <c r="AB119" s="3"/>
      <c r="AC119" s="21">
        <f t="shared" ref="AC119:AC137" si="30">D119+E119+F119+G119+H119+I119+J119+K119+L119+M119+N119+O119+P119+Q119+R119+S119+T119+V119+U119+W119+X119+Y119+Z119+AA119+AB119</f>
        <v>13</v>
      </c>
      <c r="AE119" s="41" t="s">
        <v>7</v>
      </c>
      <c r="AF119" s="41"/>
      <c r="AG119" s="3"/>
      <c r="AH119" s="3"/>
      <c r="AI119" s="3">
        <v>0</v>
      </c>
      <c r="AJ119" s="3">
        <v>0</v>
      </c>
      <c r="AK119" s="3">
        <v>1</v>
      </c>
      <c r="AL119" s="31">
        <v>0</v>
      </c>
      <c r="AM119" s="3">
        <v>0</v>
      </c>
      <c r="AN119" s="72"/>
      <c r="AO119" s="3">
        <v>1</v>
      </c>
      <c r="AP119" s="3">
        <v>1</v>
      </c>
      <c r="AQ119" s="3">
        <v>1</v>
      </c>
      <c r="AR119" s="26">
        <v>0</v>
      </c>
      <c r="AS119" s="3">
        <v>0</v>
      </c>
      <c r="AT119" s="3">
        <v>1</v>
      </c>
      <c r="AU119" s="3">
        <v>0</v>
      </c>
      <c r="AV119" s="3">
        <v>0</v>
      </c>
      <c r="AW119" s="3">
        <v>0</v>
      </c>
      <c r="AX119" s="26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22">
        <f t="shared" ref="BI119:BI137" si="31">AG119+AH119+AI119+AJ119+AK119+AM119+AN119+AO119+AP119+AQ119+AS119+AT119+AU119+AV119+AW119+AY119+AZ119+BB119+BA119+BC119+BD119+BE119+BF119+BG119+BH119</f>
        <v>5</v>
      </c>
    </row>
    <row r="120" spans="2:61" x14ac:dyDescent="0.25">
      <c r="B120" s="41" t="s">
        <v>5</v>
      </c>
      <c r="C120" s="41"/>
      <c r="D120" s="3">
        <v>0</v>
      </c>
      <c r="E120" s="3">
        <v>1</v>
      </c>
      <c r="F120" s="3">
        <v>0</v>
      </c>
      <c r="G120" s="3">
        <v>0</v>
      </c>
      <c r="H120" s="3">
        <v>0</v>
      </c>
      <c r="I120" s="3">
        <v>1</v>
      </c>
      <c r="J120" s="3">
        <v>0</v>
      </c>
      <c r="K120" s="3">
        <v>1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/>
      <c r="Y120" s="3"/>
      <c r="Z120" s="3"/>
      <c r="AA120" s="3"/>
      <c r="AB120" s="3"/>
      <c r="AC120" s="21">
        <f t="shared" si="30"/>
        <v>3</v>
      </c>
      <c r="AE120" s="41" t="s">
        <v>5</v>
      </c>
      <c r="AF120" s="41"/>
      <c r="AG120" s="3"/>
      <c r="AH120" s="3"/>
      <c r="AI120" s="3">
        <v>0</v>
      </c>
      <c r="AJ120" s="3">
        <v>0</v>
      </c>
      <c r="AK120" s="3">
        <v>0</v>
      </c>
      <c r="AL120" s="31">
        <v>0</v>
      </c>
      <c r="AM120" s="3">
        <v>0</v>
      </c>
      <c r="AN120" s="72"/>
      <c r="AO120" s="3">
        <v>1</v>
      </c>
      <c r="AP120" s="3">
        <v>0</v>
      </c>
      <c r="AQ120" s="3">
        <v>0</v>
      </c>
      <c r="AR120" s="26">
        <v>0</v>
      </c>
      <c r="AS120" s="3">
        <v>1</v>
      </c>
      <c r="AT120" s="3">
        <v>1</v>
      </c>
      <c r="AU120" s="3">
        <v>1</v>
      </c>
      <c r="AV120" s="3">
        <v>1</v>
      </c>
      <c r="AW120" s="3">
        <v>1</v>
      </c>
      <c r="AX120" s="26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22">
        <f t="shared" si="31"/>
        <v>6</v>
      </c>
    </row>
    <row r="121" spans="2:61" x14ac:dyDescent="0.25">
      <c r="B121" s="41" t="s">
        <v>6</v>
      </c>
      <c r="C121" s="41"/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2</v>
      </c>
      <c r="J121" s="3">
        <v>0</v>
      </c>
      <c r="K121" s="3">
        <v>0</v>
      </c>
      <c r="L121" s="3">
        <v>0</v>
      </c>
      <c r="M121" s="3">
        <v>0</v>
      </c>
      <c r="N121" s="3">
        <v>2</v>
      </c>
      <c r="O121" s="3">
        <v>2</v>
      </c>
      <c r="P121" s="3">
        <v>1</v>
      </c>
      <c r="Q121" s="3">
        <v>2</v>
      </c>
      <c r="R121" s="3">
        <v>0</v>
      </c>
      <c r="S121" s="3">
        <v>1</v>
      </c>
      <c r="T121" s="3">
        <v>0</v>
      </c>
      <c r="U121" s="3">
        <v>0</v>
      </c>
      <c r="V121" s="3">
        <v>0</v>
      </c>
      <c r="W121" s="3">
        <v>0</v>
      </c>
      <c r="X121" s="3"/>
      <c r="Y121" s="3"/>
      <c r="Z121" s="3"/>
      <c r="AA121" s="3"/>
      <c r="AB121" s="3"/>
      <c r="AC121" s="21">
        <f t="shared" si="30"/>
        <v>10</v>
      </c>
      <c r="AE121" s="41" t="s">
        <v>6</v>
      </c>
      <c r="AF121" s="41"/>
      <c r="AG121" s="3"/>
      <c r="AH121" s="3"/>
      <c r="AI121" s="3">
        <v>0</v>
      </c>
      <c r="AJ121" s="3">
        <v>0</v>
      </c>
      <c r="AK121" s="3">
        <v>0</v>
      </c>
      <c r="AL121" s="31">
        <v>2</v>
      </c>
      <c r="AM121" s="3">
        <v>0</v>
      </c>
      <c r="AN121" s="72"/>
      <c r="AO121" s="3">
        <v>1</v>
      </c>
      <c r="AP121" s="3">
        <v>0</v>
      </c>
      <c r="AQ121" s="3">
        <v>1</v>
      </c>
      <c r="AR121" s="26">
        <v>0</v>
      </c>
      <c r="AS121" s="3">
        <v>1</v>
      </c>
      <c r="AT121" s="3">
        <v>0</v>
      </c>
      <c r="AU121" s="3">
        <v>1</v>
      </c>
      <c r="AV121" s="3">
        <v>0</v>
      </c>
      <c r="AW121" s="3">
        <v>2</v>
      </c>
      <c r="AX121" s="26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22">
        <f t="shared" si="31"/>
        <v>6</v>
      </c>
    </row>
    <row r="122" spans="2:61" x14ac:dyDescent="0.25">
      <c r="B122" s="41" t="s">
        <v>8</v>
      </c>
      <c r="C122" s="41"/>
      <c r="D122" s="3">
        <v>1</v>
      </c>
      <c r="E122" s="3">
        <v>0</v>
      </c>
      <c r="F122" s="3">
        <v>1</v>
      </c>
      <c r="G122" s="3">
        <v>1</v>
      </c>
      <c r="H122" s="3">
        <v>1</v>
      </c>
      <c r="I122" s="3">
        <v>2</v>
      </c>
      <c r="J122" s="3">
        <v>1</v>
      </c>
      <c r="K122" s="3">
        <v>0</v>
      </c>
      <c r="L122" s="3">
        <v>0</v>
      </c>
      <c r="M122" s="3">
        <v>0</v>
      </c>
      <c r="N122" s="3">
        <v>0</v>
      </c>
      <c r="O122" s="3">
        <v>2</v>
      </c>
      <c r="P122" s="3">
        <v>0</v>
      </c>
      <c r="Q122" s="3">
        <v>0</v>
      </c>
      <c r="R122" s="3">
        <v>0</v>
      </c>
      <c r="S122" s="3">
        <v>0</v>
      </c>
      <c r="T122" s="3">
        <v>1</v>
      </c>
      <c r="U122" s="3">
        <v>0</v>
      </c>
      <c r="V122" s="3">
        <v>0</v>
      </c>
      <c r="W122" s="3">
        <v>0</v>
      </c>
      <c r="X122" s="3"/>
      <c r="Y122" s="3"/>
      <c r="Z122" s="3"/>
      <c r="AA122" s="3"/>
      <c r="AB122" s="3"/>
      <c r="AC122" s="21">
        <f t="shared" si="30"/>
        <v>10</v>
      </c>
      <c r="AE122" s="41" t="s">
        <v>8</v>
      </c>
      <c r="AF122" s="41"/>
      <c r="AG122" s="3"/>
      <c r="AH122" s="3"/>
      <c r="AI122" s="3">
        <v>0</v>
      </c>
      <c r="AJ122" s="3">
        <v>0</v>
      </c>
      <c r="AK122" s="3">
        <v>0</v>
      </c>
      <c r="AL122" s="31">
        <v>0</v>
      </c>
      <c r="AM122" s="3">
        <v>1</v>
      </c>
      <c r="AN122" s="72"/>
      <c r="AO122" s="3">
        <v>0</v>
      </c>
      <c r="AP122" s="3">
        <v>1</v>
      </c>
      <c r="AQ122" s="3">
        <v>1</v>
      </c>
      <c r="AR122" s="26">
        <v>0</v>
      </c>
      <c r="AS122" s="3">
        <v>0</v>
      </c>
      <c r="AT122" s="3">
        <v>0</v>
      </c>
      <c r="AU122" s="3">
        <v>0</v>
      </c>
      <c r="AV122" s="3">
        <v>1</v>
      </c>
      <c r="AW122" s="3">
        <v>0</v>
      </c>
      <c r="AX122" s="26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22">
        <f t="shared" si="31"/>
        <v>4</v>
      </c>
    </row>
    <row r="123" spans="2:61" x14ac:dyDescent="0.25">
      <c r="B123" s="41" t="s">
        <v>9</v>
      </c>
      <c r="C123" s="41"/>
      <c r="D123" s="3">
        <v>1</v>
      </c>
      <c r="E123" s="3">
        <v>0</v>
      </c>
      <c r="F123" s="3">
        <v>0</v>
      </c>
      <c r="G123" s="3">
        <v>1</v>
      </c>
      <c r="H123" s="3">
        <v>0</v>
      </c>
      <c r="I123" s="3">
        <v>2</v>
      </c>
      <c r="J123" s="3">
        <v>1</v>
      </c>
      <c r="K123" s="3">
        <v>0</v>
      </c>
      <c r="L123" s="3">
        <v>1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/>
      <c r="Y123" s="3"/>
      <c r="Z123" s="3"/>
      <c r="AA123" s="3"/>
      <c r="AB123" s="3"/>
      <c r="AC123" s="21">
        <f t="shared" si="30"/>
        <v>6</v>
      </c>
      <c r="AE123" s="41" t="s">
        <v>9</v>
      </c>
      <c r="AF123" s="41"/>
      <c r="AG123" s="3"/>
      <c r="AH123" s="3"/>
      <c r="AI123" s="3">
        <v>0</v>
      </c>
      <c r="AJ123" s="3">
        <v>0</v>
      </c>
      <c r="AK123" s="3">
        <v>0</v>
      </c>
      <c r="AL123" s="31">
        <v>2</v>
      </c>
      <c r="AM123" s="3">
        <v>1</v>
      </c>
      <c r="AN123" s="72"/>
      <c r="AO123" s="3">
        <v>3</v>
      </c>
      <c r="AP123" s="3">
        <v>0</v>
      </c>
      <c r="AQ123" s="3">
        <v>0</v>
      </c>
      <c r="AR123" s="26">
        <v>1</v>
      </c>
      <c r="AS123" s="3">
        <v>2</v>
      </c>
      <c r="AT123" s="3">
        <v>0</v>
      </c>
      <c r="AU123" s="3">
        <v>1</v>
      </c>
      <c r="AV123" s="3">
        <v>0</v>
      </c>
      <c r="AW123" s="3">
        <v>1</v>
      </c>
      <c r="AX123" s="26">
        <v>0</v>
      </c>
      <c r="AY123" s="3">
        <v>0</v>
      </c>
      <c r="AZ123" s="3">
        <v>0</v>
      </c>
      <c r="BA123" s="3">
        <v>0</v>
      </c>
      <c r="BB123" s="3">
        <v>1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22">
        <f t="shared" si="31"/>
        <v>9</v>
      </c>
    </row>
    <row r="124" spans="2:61" x14ac:dyDescent="0.25">
      <c r="B124" s="41" t="s">
        <v>18</v>
      </c>
      <c r="C124" s="41"/>
      <c r="D124" s="3">
        <v>1</v>
      </c>
      <c r="E124" s="3">
        <v>0</v>
      </c>
      <c r="F124" s="3">
        <v>0</v>
      </c>
      <c r="G124" s="3">
        <v>1</v>
      </c>
      <c r="H124" s="3">
        <v>1</v>
      </c>
      <c r="I124" s="3">
        <v>1</v>
      </c>
      <c r="J124" s="3">
        <v>0</v>
      </c>
      <c r="K124" s="3">
        <v>1</v>
      </c>
      <c r="L124" s="3">
        <v>0</v>
      </c>
      <c r="M124" s="3">
        <v>0</v>
      </c>
      <c r="N124" s="3">
        <v>0</v>
      </c>
      <c r="O124" s="3">
        <v>4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1</v>
      </c>
      <c r="V124" s="3">
        <v>0</v>
      </c>
      <c r="W124" s="3">
        <v>0</v>
      </c>
      <c r="X124" s="3"/>
      <c r="Y124" s="3"/>
      <c r="Z124" s="3"/>
      <c r="AA124" s="3"/>
      <c r="AB124" s="3"/>
      <c r="AC124" s="21">
        <f t="shared" si="30"/>
        <v>10</v>
      </c>
      <c r="AE124" s="41" t="s">
        <v>18</v>
      </c>
      <c r="AF124" s="41"/>
      <c r="AG124" s="3"/>
      <c r="AH124" s="3"/>
      <c r="AI124" s="3">
        <v>0</v>
      </c>
      <c r="AJ124" s="3">
        <v>0</v>
      </c>
      <c r="AK124" s="3">
        <v>0</v>
      </c>
      <c r="AL124" s="31">
        <v>0</v>
      </c>
      <c r="AM124" s="3">
        <v>1</v>
      </c>
      <c r="AN124" s="72"/>
      <c r="AO124" s="3">
        <v>0</v>
      </c>
      <c r="AP124" s="3">
        <v>0</v>
      </c>
      <c r="AQ124" s="3">
        <v>0</v>
      </c>
      <c r="AR124" s="26">
        <v>1</v>
      </c>
      <c r="AS124" s="3">
        <v>0</v>
      </c>
      <c r="AT124" s="3">
        <v>0</v>
      </c>
      <c r="AU124" s="3">
        <v>0</v>
      </c>
      <c r="AV124" s="3">
        <v>0</v>
      </c>
      <c r="AW124" s="3">
        <v>1</v>
      </c>
      <c r="AX124" s="26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22">
        <f t="shared" si="31"/>
        <v>2</v>
      </c>
    </row>
    <row r="125" spans="2:61" x14ac:dyDescent="0.25">
      <c r="B125" s="41" t="s">
        <v>19</v>
      </c>
      <c r="C125" s="41"/>
      <c r="D125" s="3">
        <v>0</v>
      </c>
      <c r="E125" s="3">
        <v>1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1</v>
      </c>
      <c r="L125" s="3">
        <v>0</v>
      </c>
      <c r="M125" s="3">
        <v>1</v>
      </c>
      <c r="N125" s="3">
        <v>0</v>
      </c>
      <c r="O125" s="3">
        <v>0</v>
      </c>
      <c r="P125" s="3">
        <v>0</v>
      </c>
      <c r="Q125" s="3">
        <v>1</v>
      </c>
      <c r="R125" s="3">
        <v>0</v>
      </c>
      <c r="S125" s="3">
        <v>0</v>
      </c>
      <c r="T125" s="3">
        <v>0</v>
      </c>
      <c r="U125" s="3">
        <v>1</v>
      </c>
      <c r="V125" s="3">
        <v>1</v>
      </c>
      <c r="W125" s="3">
        <v>1</v>
      </c>
      <c r="X125" s="3"/>
      <c r="Y125" s="3"/>
      <c r="Z125" s="3"/>
      <c r="AA125" s="3"/>
      <c r="AB125" s="3"/>
      <c r="AC125" s="21">
        <f t="shared" si="30"/>
        <v>7</v>
      </c>
      <c r="AE125" s="41" t="s">
        <v>19</v>
      </c>
      <c r="AF125" s="41"/>
      <c r="AG125" s="3"/>
      <c r="AH125" s="3"/>
      <c r="AI125" s="3">
        <v>0</v>
      </c>
      <c r="AJ125" s="3">
        <v>0</v>
      </c>
      <c r="AK125" s="3">
        <v>0</v>
      </c>
      <c r="AL125" s="31">
        <v>0</v>
      </c>
      <c r="AM125" s="3">
        <v>1</v>
      </c>
      <c r="AN125" s="72"/>
      <c r="AO125" s="3">
        <v>0</v>
      </c>
      <c r="AP125" s="3">
        <v>0</v>
      </c>
      <c r="AQ125" s="3">
        <v>0</v>
      </c>
      <c r="AR125" s="26">
        <v>1</v>
      </c>
      <c r="AS125" s="3">
        <v>1</v>
      </c>
      <c r="AT125" s="3">
        <v>0</v>
      </c>
      <c r="AU125" s="3">
        <v>0</v>
      </c>
      <c r="AV125" s="3">
        <v>0</v>
      </c>
      <c r="AW125" s="3">
        <v>0</v>
      </c>
      <c r="AX125" s="26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22">
        <f t="shared" si="31"/>
        <v>2</v>
      </c>
    </row>
    <row r="126" spans="2:61" x14ac:dyDescent="0.25">
      <c r="B126" s="41" t="s">
        <v>20</v>
      </c>
      <c r="C126" s="41"/>
      <c r="D126" s="3">
        <v>2</v>
      </c>
      <c r="E126" s="3">
        <v>1</v>
      </c>
      <c r="F126" s="3">
        <v>1</v>
      </c>
      <c r="G126" s="3">
        <v>0</v>
      </c>
      <c r="H126" s="3">
        <v>2</v>
      </c>
      <c r="I126" s="3">
        <v>1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2</v>
      </c>
      <c r="P126" s="3">
        <v>0</v>
      </c>
      <c r="Q126" s="3">
        <v>0</v>
      </c>
      <c r="R126" s="3">
        <v>0</v>
      </c>
      <c r="S126" s="3">
        <v>1</v>
      </c>
      <c r="T126" s="3">
        <v>1</v>
      </c>
      <c r="U126" s="3">
        <v>1</v>
      </c>
      <c r="V126" s="3">
        <v>1</v>
      </c>
      <c r="W126" s="3">
        <v>1</v>
      </c>
      <c r="X126" s="3"/>
      <c r="Y126" s="3"/>
      <c r="Z126" s="3"/>
      <c r="AA126" s="3"/>
      <c r="AB126" s="3"/>
      <c r="AC126" s="21">
        <f t="shared" si="30"/>
        <v>14</v>
      </c>
      <c r="AE126" s="41" t="s">
        <v>20</v>
      </c>
      <c r="AF126" s="41"/>
      <c r="AG126" s="3"/>
      <c r="AH126" s="3"/>
      <c r="AI126" s="3">
        <v>0</v>
      </c>
      <c r="AJ126" s="3">
        <v>0</v>
      </c>
      <c r="AK126" s="3">
        <v>1</v>
      </c>
      <c r="AL126" s="31">
        <v>2</v>
      </c>
      <c r="AM126" s="3">
        <v>1</v>
      </c>
      <c r="AN126" s="72"/>
      <c r="AO126" s="3">
        <v>0</v>
      </c>
      <c r="AP126" s="3">
        <v>0</v>
      </c>
      <c r="AQ126" s="3">
        <v>0</v>
      </c>
      <c r="AR126" s="26">
        <v>2</v>
      </c>
      <c r="AS126" s="3">
        <v>1</v>
      </c>
      <c r="AT126" s="3">
        <v>0</v>
      </c>
      <c r="AU126" s="3">
        <v>0</v>
      </c>
      <c r="AV126" s="3">
        <v>0</v>
      </c>
      <c r="AW126" s="3">
        <v>1</v>
      </c>
      <c r="AX126" s="26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22">
        <f t="shared" si="31"/>
        <v>4</v>
      </c>
    </row>
    <row r="127" spans="2:61" x14ac:dyDescent="0.25">
      <c r="B127" s="41" t="s">
        <v>12</v>
      </c>
      <c r="C127" s="41"/>
      <c r="D127" s="3">
        <v>1</v>
      </c>
      <c r="E127" s="3">
        <v>0</v>
      </c>
      <c r="F127" s="3">
        <v>0</v>
      </c>
      <c r="G127" s="3">
        <v>0</v>
      </c>
      <c r="H127" s="3">
        <v>0</v>
      </c>
      <c r="I127" s="3">
        <v>1</v>
      </c>
      <c r="J127" s="3">
        <v>1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1</v>
      </c>
      <c r="T127" s="3">
        <v>0</v>
      </c>
      <c r="U127" s="3">
        <v>0</v>
      </c>
      <c r="V127" s="3">
        <v>0</v>
      </c>
      <c r="W127" s="3">
        <v>0</v>
      </c>
      <c r="X127" s="3"/>
      <c r="Y127" s="3"/>
      <c r="Z127" s="3"/>
      <c r="AA127" s="3"/>
      <c r="AB127" s="3"/>
      <c r="AC127" s="21">
        <f t="shared" si="30"/>
        <v>4</v>
      </c>
      <c r="AE127" s="41" t="s">
        <v>12</v>
      </c>
      <c r="AF127" s="41"/>
      <c r="AG127" s="3"/>
      <c r="AH127" s="3"/>
      <c r="AI127" s="3">
        <v>0</v>
      </c>
      <c r="AJ127" s="3">
        <v>0</v>
      </c>
      <c r="AK127" s="3">
        <v>0</v>
      </c>
      <c r="AL127" s="31">
        <v>0</v>
      </c>
      <c r="AM127" s="3">
        <v>2</v>
      </c>
      <c r="AN127" s="72"/>
      <c r="AO127" s="3">
        <v>2</v>
      </c>
      <c r="AP127" s="3">
        <v>1</v>
      </c>
      <c r="AQ127" s="3">
        <v>0</v>
      </c>
      <c r="AR127" s="26">
        <v>1</v>
      </c>
      <c r="AS127" s="3">
        <v>0</v>
      </c>
      <c r="AT127" s="3">
        <v>0</v>
      </c>
      <c r="AU127" s="3">
        <v>1</v>
      </c>
      <c r="AV127" s="3">
        <v>0</v>
      </c>
      <c r="AW127" s="3">
        <v>0</v>
      </c>
      <c r="AX127" s="26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22">
        <f t="shared" si="31"/>
        <v>6</v>
      </c>
    </row>
    <row r="128" spans="2:61" x14ac:dyDescent="0.25">
      <c r="B128" s="41" t="s">
        <v>21</v>
      </c>
      <c r="C128" s="41"/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1</v>
      </c>
      <c r="P128" s="3">
        <v>0</v>
      </c>
      <c r="Q128" s="3">
        <v>1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/>
      <c r="Y128" s="3"/>
      <c r="Z128" s="3"/>
      <c r="AA128" s="3"/>
      <c r="AB128" s="3"/>
      <c r="AC128" s="21">
        <f t="shared" si="30"/>
        <v>2</v>
      </c>
      <c r="AE128" s="41" t="s">
        <v>21</v>
      </c>
      <c r="AF128" s="41"/>
      <c r="AG128" s="3"/>
      <c r="AH128" s="3"/>
      <c r="AI128" s="3">
        <v>0</v>
      </c>
      <c r="AJ128" s="3">
        <v>0</v>
      </c>
      <c r="AK128" s="3">
        <v>0</v>
      </c>
      <c r="AL128" s="31">
        <v>0</v>
      </c>
      <c r="AM128" s="3">
        <v>1</v>
      </c>
      <c r="AN128" s="72"/>
      <c r="AO128" s="3">
        <v>0</v>
      </c>
      <c r="AP128" s="3">
        <v>0</v>
      </c>
      <c r="AQ128" s="3">
        <v>0</v>
      </c>
      <c r="AR128" s="26">
        <v>0</v>
      </c>
      <c r="AS128" s="3">
        <v>1</v>
      </c>
      <c r="AT128" s="3">
        <v>1</v>
      </c>
      <c r="AU128" s="3">
        <v>0</v>
      </c>
      <c r="AV128" s="3">
        <v>0</v>
      </c>
      <c r="AW128" s="3">
        <v>0</v>
      </c>
      <c r="AX128" s="26">
        <v>0</v>
      </c>
      <c r="AY128" s="3">
        <v>0</v>
      </c>
      <c r="AZ128" s="3">
        <v>0</v>
      </c>
      <c r="BA128" s="3">
        <v>1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22">
        <f t="shared" si="31"/>
        <v>4</v>
      </c>
    </row>
    <row r="129" spans="2:61" x14ac:dyDescent="0.25">
      <c r="B129" s="41" t="s">
        <v>10</v>
      </c>
      <c r="C129" s="41"/>
      <c r="D129" s="3">
        <v>1</v>
      </c>
      <c r="E129" s="3">
        <v>0</v>
      </c>
      <c r="F129" s="3">
        <v>0</v>
      </c>
      <c r="G129" s="3">
        <v>1</v>
      </c>
      <c r="H129" s="3">
        <v>0</v>
      </c>
      <c r="I129" s="3">
        <v>1</v>
      </c>
      <c r="J129" s="3">
        <v>0</v>
      </c>
      <c r="K129" s="3">
        <v>1</v>
      </c>
      <c r="L129" s="3">
        <v>0</v>
      </c>
      <c r="M129" s="3">
        <v>0</v>
      </c>
      <c r="N129" s="3">
        <v>2</v>
      </c>
      <c r="O129" s="3">
        <v>1</v>
      </c>
      <c r="P129" s="3">
        <v>0</v>
      </c>
      <c r="Q129" s="3">
        <v>1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/>
      <c r="Y129" s="3"/>
      <c r="Z129" s="3"/>
      <c r="AA129" s="3"/>
      <c r="AB129" s="3"/>
      <c r="AC129" s="21">
        <f t="shared" si="30"/>
        <v>8</v>
      </c>
      <c r="AE129" s="41" t="s">
        <v>10</v>
      </c>
      <c r="AF129" s="41"/>
      <c r="AG129" s="3"/>
      <c r="AH129" s="3"/>
      <c r="AI129" s="3">
        <v>0</v>
      </c>
      <c r="AJ129" s="3">
        <v>0</v>
      </c>
      <c r="AK129" s="3">
        <v>0</v>
      </c>
      <c r="AL129" s="31">
        <v>0</v>
      </c>
      <c r="AM129" s="3">
        <v>0</v>
      </c>
      <c r="AN129" s="72"/>
      <c r="AO129" s="3">
        <v>1</v>
      </c>
      <c r="AP129" s="3">
        <v>2</v>
      </c>
      <c r="AQ129" s="3">
        <v>2</v>
      </c>
      <c r="AR129" s="26">
        <v>0</v>
      </c>
      <c r="AS129" s="3">
        <v>0</v>
      </c>
      <c r="AT129" s="3">
        <v>0</v>
      </c>
      <c r="AU129" s="3">
        <v>0</v>
      </c>
      <c r="AV129" s="3">
        <v>1</v>
      </c>
      <c r="AW129" s="3">
        <v>0</v>
      </c>
      <c r="AX129" s="26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1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22">
        <f t="shared" si="31"/>
        <v>7</v>
      </c>
    </row>
    <row r="130" spans="2:61" x14ac:dyDescent="0.25">
      <c r="B130" s="41" t="s">
        <v>11</v>
      </c>
      <c r="C130" s="41"/>
      <c r="D130" s="3">
        <v>0</v>
      </c>
      <c r="E130" s="3">
        <v>0</v>
      </c>
      <c r="F130" s="3">
        <v>0</v>
      </c>
      <c r="G130" s="3">
        <v>2</v>
      </c>
      <c r="H130" s="3">
        <v>0</v>
      </c>
      <c r="I130" s="3">
        <v>2</v>
      </c>
      <c r="J130" s="3">
        <v>2</v>
      </c>
      <c r="K130" s="3">
        <v>1</v>
      </c>
      <c r="L130" s="3">
        <v>1</v>
      </c>
      <c r="M130" s="3">
        <v>1</v>
      </c>
      <c r="N130" s="3">
        <v>1</v>
      </c>
      <c r="O130" s="3">
        <v>2</v>
      </c>
      <c r="P130" s="3">
        <v>3</v>
      </c>
      <c r="Q130" s="3">
        <v>1</v>
      </c>
      <c r="R130" s="3">
        <v>0</v>
      </c>
      <c r="S130" s="3">
        <v>0</v>
      </c>
      <c r="T130" s="3">
        <v>1</v>
      </c>
      <c r="U130" s="3">
        <v>1</v>
      </c>
      <c r="V130" s="3">
        <v>1</v>
      </c>
      <c r="W130" s="3">
        <v>1</v>
      </c>
      <c r="X130" s="3"/>
      <c r="Y130" s="3"/>
      <c r="Z130" s="3"/>
      <c r="AA130" s="3"/>
      <c r="AB130" s="3"/>
      <c r="AC130" s="21">
        <f t="shared" si="30"/>
        <v>20</v>
      </c>
      <c r="AE130" s="41" t="s">
        <v>11</v>
      </c>
      <c r="AF130" s="41"/>
      <c r="AG130" s="3"/>
      <c r="AH130" s="3"/>
      <c r="AI130" s="3">
        <v>0</v>
      </c>
      <c r="AJ130" s="3">
        <v>0</v>
      </c>
      <c r="AK130" s="3">
        <v>0</v>
      </c>
      <c r="AL130" s="31">
        <v>1</v>
      </c>
      <c r="AM130" s="3">
        <v>0</v>
      </c>
      <c r="AN130" s="72"/>
      <c r="AO130" s="3">
        <v>1</v>
      </c>
      <c r="AP130" s="3">
        <v>1</v>
      </c>
      <c r="AQ130" s="3">
        <v>0</v>
      </c>
      <c r="AR130" s="26">
        <v>0</v>
      </c>
      <c r="AS130" s="3">
        <v>1</v>
      </c>
      <c r="AT130" s="3">
        <v>1</v>
      </c>
      <c r="AU130" s="3">
        <v>0</v>
      </c>
      <c r="AV130" s="3">
        <v>2</v>
      </c>
      <c r="AW130" s="3">
        <v>0</v>
      </c>
      <c r="AX130" s="26">
        <v>0</v>
      </c>
      <c r="AY130" s="3">
        <v>0</v>
      </c>
      <c r="AZ130" s="3">
        <v>1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22">
        <f t="shared" si="31"/>
        <v>7</v>
      </c>
    </row>
    <row r="131" spans="2:61" x14ac:dyDescent="0.25">
      <c r="B131" s="41" t="s">
        <v>13</v>
      </c>
      <c r="C131" s="41"/>
      <c r="D131" s="3">
        <v>1</v>
      </c>
      <c r="E131" s="3">
        <v>1</v>
      </c>
      <c r="F131" s="3">
        <v>0</v>
      </c>
      <c r="G131" s="3">
        <v>1</v>
      </c>
      <c r="H131" s="3">
        <v>0</v>
      </c>
      <c r="I131" s="3">
        <v>0</v>
      </c>
      <c r="J131" s="3">
        <v>0</v>
      </c>
      <c r="K131" s="3">
        <v>0</v>
      </c>
      <c r="L131" s="3">
        <v>1</v>
      </c>
      <c r="M131" s="3">
        <v>0</v>
      </c>
      <c r="N131" s="3">
        <v>1</v>
      </c>
      <c r="O131" s="3">
        <v>1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/>
      <c r="Y131" s="3"/>
      <c r="Z131" s="3"/>
      <c r="AA131" s="3"/>
      <c r="AB131" s="3"/>
      <c r="AC131" s="21">
        <f t="shared" si="30"/>
        <v>6</v>
      </c>
      <c r="AE131" s="41" t="s">
        <v>13</v>
      </c>
      <c r="AF131" s="41"/>
      <c r="AG131" s="3"/>
      <c r="AH131" s="3"/>
      <c r="AI131" s="3">
        <v>0</v>
      </c>
      <c r="AJ131" s="3">
        <v>0</v>
      </c>
      <c r="AK131" s="3">
        <v>0</v>
      </c>
      <c r="AL131" s="31">
        <v>0</v>
      </c>
      <c r="AM131" s="3">
        <v>1</v>
      </c>
      <c r="AN131" s="72"/>
      <c r="AO131" s="3">
        <v>0</v>
      </c>
      <c r="AP131" s="3">
        <v>0</v>
      </c>
      <c r="AQ131" s="3">
        <v>0</v>
      </c>
      <c r="AR131" s="26">
        <v>1</v>
      </c>
      <c r="AS131" s="3">
        <v>0</v>
      </c>
      <c r="AT131" s="3">
        <v>0</v>
      </c>
      <c r="AU131" s="3">
        <v>0</v>
      </c>
      <c r="AV131" s="3">
        <v>1</v>
      </c>
      <c r="AW131" s="3">
        <v>2</v>
      </c>
      <c r="AX131" s="26">
        <v>0</v>
      </c>
      <c r="AY131" s="3">
        <v>1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22">
        <f t="shared" si="31"/>
        <v>5</v>
      </c>
    </row>
    <row r="132" spans="2:61" x14ac:dyDescent="0.25">
      <c r="B132" s="41" t="s">
        <v>28</v>
      </c>
      <c r="C132" s="41"/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2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1</v>
      </c>
      <c r="W132" s="3">
        <v>1</v>
      </c>
      <c r="X132" s="3"/>
      <c r="Y132" s="3"/>
      <c r="Z132" s="3"/>
      <c r="AA132" s="3"/>
      <c r="AB132" s="3"/>
      <c r="AC132" s="21">
        <f t="shared" si="30"/>
        <v>4</v>
      </c>
      <c r="AE132" s="41" t="s">
        <v>28</v>
      </c>
      <c r="AF132" s="41"/>
      <c r="AG132" s="3"/>
      <c r="AH132" s="3"/>
      <c r="AI132" s="3">
        <v>0</v>
      </c>
      <c r="AJ132" s="3">
        <v>0</v>
      </c>
      <c r="AK132" s="3">
        <v>0</v>
      </c>
      <c r="AL132" s="31">
        <v>1</v>
      </c>
      <c r="AM132" s="3">
        <v>1</v>
      </c>
      <c r="AN132" s="72"/>
      <c r="AO132" s="3">
        <v>1</v>
      </c>
      <c r="AP132" s="3">
        <v>0</v>
      </c>
      <c r="AQ132" s="3">
        <v>0</v>
      </c>
      <c r="AR132" s="26">
        <v>2</v>
      </c>
      <c r="AS132" s="3">
        <v>0</v>
      </c>
      <c r="AT132" s="3">
        <v>0</v>
      </c>
      <c r="AU132" s="3">
        <v>0</v>
      </c>
      <c r="AV132" s="3">
        <v>0</v>
      </c>
      <c r="AW132" s="3">
        <v>1</v>
      </c>
      <c r="AX132" s="26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1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22">
        <f t="shared" si="31"/>
        <v>4</v>
      </c>
    </row>
    <row r="133" spans="2:61" x14ac:dyDescent="0.25">
      <c r="B133" s="41" t="s">
        <v>29</v>
      </c>
      <c r="C133" s="41"/>
      <c r="D133" s="3">
        <v>0</v>
      </c>
      <c r="E133" s="3">
        <v>0</v>
      </c>
      <c r="F133" s="3">
        <v>0</v>
      </c>
      <c r="G133" s="3">
        <v>1</v>
      </c>
      <c r="H133" s="3">
        <v>0</v>
      </c>
      <c r="I133" s="3">
        <v>2</v>
      </c>
      <c r="J133" s="3">
        <v>1</v>
      </c>
      <c r="K133" s="3">
        <v>2</v>
      </c>
      <c r="L133" s="3">
        <v>0</v>
      </c>
      <c r="M133" s="3">
        <v>0</v>
      </c>
      <c r="N133" s="3">
        <v>0</v>
      </c>
      <c r="O133" s="3">
        <v>1</v>
      </c>
      <c r="P133" s="3">
        <v>0</v>
      </c>
      <c r="Q133" s="3">
        <v>0</v>
      </c>
      <c r="R133" s="3">
        <v>0</v>
      </c>
      <c r="S133" s="3">
        <v>0</v>
      </c>
      <c r="T133" s="3">
        <v>1</v>
      </c>
      <c r="U133" s="3">
        <v>0</v>
      </c>
      <c r="V133" s="3">
        <v>0</v>
      </c>
      <c r="W133" s="3">
        <v>0</v>
      </c>
      <c r="X133" s="3"/>
      <c r="Y133" s="3"/>
      <c r="Z133" s="3"/>
      <c r="AA133" s="3"/>
      <c r="AB133" s="3"/>
      <c r="AC133" s="21">
        <f t="shared" si="30"/>
        <v>8</v>
      </c>
      <c r="AE133" s="41" t="s">
        <v>29</v>
      </c>
      <c r="AF133" s="41"/>
      <c r="AG133" s="3"/>
      <c r="AH133" s="3"/>
      <c r="AI133" s="3">
        <v>0</v>
      </c>
      <c r="AJ133" s="3">
        <v>0</v>
      </c>
      <c r="AK133" s="3">
        <v>1</v>
      </c>
      <c r="AL133" s="31">
        <v>0</v>
      </c>
      <c r="AM133" s="3">
        <v>0</v>
      </c>
      <c r="AN133" s="72"/>
      <c r="AO133" s="3">
        <v>0</v>
      </c>
      <c r="AP133" s="3">
        <v>0</v>
      </c>
      <c r="AQ133" s="3">
        <v>1</v>
      </c>
      <c r="AR133" s="26">
        <v>2</v>
      </c>
      <c r="AS133" s="3">
        <v>0</v>
      </c>
      <c r="AT133" s="3">
        <v>0</v>
      </c>
      <c r="AU133" s="3">
        <v>0</v>
      </c>
      <c r="AV133" s="3">
        <v>1</v>
      </c>
      <c r="AW133" s="3">
        <v>1</v>
      </c>
      <c r="AX133" s="26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1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22">
        <f t="shared" si="31"/>
        <v>5</v>
      </c>
    </row>
    <row r="134" spans="2:61" x14ac:dyDescent="0.25">
      <c r="B134" s="41" t="s">
        <v>14</v>
      </c>
      <c r="C134" s="41"/>
      <c r="D134" s="3">
        <v>0</v>
      </c>
      <c r="E134" s="3">
        <v>1</v>
      </c>
      <c r="F134" s="3">
        <v>0</v>
      </c>
      <c r="G134" s="3">
        <v>1</v>
      </c>
      <c r="H134" s="3">
        <v>0</v>
      </c>
      <c r="I134" s="3">
        <v>1</v>
      </c>
      <c r="J134" s="3">
        <v>2</v>
      </c>
      <c r="K134" s="3">
        <v>0</v>
      </c>
      <c r="L134" s="3">
        <v>0</v>
      </c>
      <c r="M134" s="3">
        <v>0</v>
      </c>
      <c r="N134" s="3">
        <v>0</v>
      </c>
      <c r="O134" s="3">
        <v>3</v>
      </c>
      <c r="P134" s="3">
        <v>0</v>
      </c>
      <c r="Q134" s="3">
        <v>1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/>
      <c r="Y134" s="3"/>
      <c r="Z134" s="3"/>
      <c r="AA134" s="3"/>
      <c r="AB134" s="3"/>
      <c r="AC134" s="21">
        <f t="shared" si="30"/>
        <v>9</v>
      </c>
      <c r="AE134" s="41" t="s">
        <v>14</v>
      </c>
      <c r="AF134" s="41"/>
      <c r="AG134" s="3"/>
      <c r="AH134" s="3"/>
      <c r="AI134" s="3">
        <v>0</v>
      </c>
      <c r="AJ134" s="3">
        <v>0</v>
      </c>
      <c r="AK134" s="3">
        <v>0</v>
      </c>
      <c r="AL134" s="31">
        <v>3</v>
      </c>
      <c r="AM134" s="3">
        <v>1</v>
      </c>
      <c r="AN134" s="72"/>
      <c r="AO134" s="3">
        <v>1</v>
      </c>
      <c r="AP134" s="3">
        <v>0</v>
      </c>
      <c r="AQ134" s="3">
        <v>1</v>
      </c>
      <c r="AR134" s="26">
        <v>3</v>
      </c>
      <c r="AS134" s="3">
        <v>2</v>
      </c>
      <c r="AT134" s="3">
        <v>0</v>
      </c>
      <c r="AU134" s="3">
        <v>0</v>
      </c>
      <c r="AV134" s="3">
        <v>2</v>
      </c>
      <c r="AW134" s="3">
        <v>2</v>
      </c>
      <c r="AX134" s="26">
        <v>0</v>
      </c>
      <c r="AY134" s="3">
        <v>0</v>
      </c>
      <c r="AZ134" s="3">
        <v>0</v>
      </c>
      <c r="BA134" s="3">
        <v>1</v>
      </c>
      <c r="BB134" s="3">
        <v>1</v>
      </c>
      <c r="BC134" s="3">
        <v>1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22">
        <f t="shared" si="31"/>
        <v>12</v>
      </c>
    </row>
    <row r="135" spans="2:61" x14ac:dyDescent="0.25">
      <c r="B135" s="41" t="s">
        <v>15</v>
      </c>
      <c r="C135" s="41"/>
      <c r="D135" s="3">
        <v>2</v>
      </c>
      <c r="E135" s="3">
        <v>1</v>
      </c>
      <c r="F135" s="3">
        <v>1</v>
      </c>
      <c r="G135" s="3">
        <v>0</v>
      </c>
      <c r="H135" s="3">
        <v>1</v>
      </c>
      <c r="I135" s="3">
        <v>0</v>
      </c>
      <c r="J135" s="3">
        <v>1</v>
      </c>
      <c r="K135" s="3">
        <v>0</v>
      </c>
      <c r="L135" s="3">
        <v>1</v>
      </c>
      <c r="M135" s="3">
        <v>0</v>
      </c>
      <c r="N135" s="3">
        <v>0</v>
      </c>
      <c r="O135" s="3">
        <v>2</v>
      </c>
      <c r="P135" s="3">
        <v>0</v>
      </c>
      <c r="Q135" s="3">
        <v>1</v>
      </c>
      <c r="R135" s="3">
        <v>0</v>
      </c>
      <c r="S135" s="3">
        <v>1</v>
      </c>
      <c r="T135" s="3">
        <v>0</v>
      </c>
      <c r="U135" s="3">
        <v>0</v>
      </c>
      <c r="V135" s="3">
        <v>1</v>
      </c>
      <c r="W135" s="3">
        <v>1</v>
      </c>
      <c r="X135" s="3"/>
      <c r="Y135" s="3"/>
      <c r="Z135" s="3"/>
      <c r="AA135" s="3"/>
      <c r="AB135" s="3"/>
      <c r="AC135" s="21">
        <f t="shared" si="30"/>
        <v>13</v>
      </c>
      <c r="AE135" s="41" t="s">
        <v>15</v>
      </c>
      <c r="AF135" s="41"/>
      <c r="AG135" s="3"/>
      <c r="AH135" s="3"/>
      <c r="AI135" s="3">
        <v>0</v>
      </c>
      <c r="AJ135" s="3">
        <v>0</v>
      </c>
      <c r="AK135" s="3">
        <v>1</v>
      </c>
      <c r="AL135" s="31">
        <v>1</v>
      </c>
      <c r="AM135" s="3">
        <v>3</v>
      </c>
      <c r="AN135" s="72"/>
      <c r="AO135" s="3">
        <v>1</v>
      </c>
      <c r="AP135" s="3">
        <v>1</v>
      </c>
      <c r="AQ135" s="3">
        <v>1</v>
      </c>
      <c r="AR135" s="26">
        <v>2</v>
      </c>
      <c r="AS135" s="3">
        <v>2</v>
      </c>
      <c r="AT135" s="3">
        <v>1</v>
      </c>
      <c r="AU135" s="3">
        <v>1</v>
      </c>
      <c r="AV135" s="3">
        <v>1</v>
      </c>
      <c r="AW135" s="3">
        <v>2</v>
      </c>
      <c r="AX135" s="26">
        <v>0</v>
      </c>
      <c r="AY135" s="3">
        <v>2</v>
      </c>
      <c r="AZ135" s="3">
        <v>1</v>
      </c>
      <c r="BA135" s="3">
        <v>1</v>
      </c>
      <c r="BB135" s="3">
        <v>2</v>
      </c>
      <c r="BC135" s="3">
        <v>1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22">
        <f t="shared" si="31"/>
        <v>21</v>
      </c>
    </row>
    <row r="136" spans="2:61" x14ac:dyDescent="0.25">
      <c r="B136" s="41" t="s">
        <v>16</v>
      </c>
      <c r="C136" s="41"/>
      <c r="D136" s="3">
        <v>1</v>
      </c>
      <c r="E136" s="3">
        <v>0</v>
      </c>
      <c r="F136" s="3">
        <v>1</v>
      </c>
      <c r="G136" s="3">
        <v>0</v>
      </c>
      <c r="H136" s="3">
        <v>1</v>
      </c>
      <c r="I136" s="3">
        <v>1</v>
      </c>
      <c r="J136" s="3">
        <v>0</v>
      </c>
      <c r="K136" s="3">
        <v>0</v>
      </c>
      <c r="L136" s="3">
        <v>0</v>
      </c>
      <c r="M136" s="3">
        <v>0</v>
      </c>
      <c r="N136" s="3">
        <v>1</v>
      </c>
      <c r="O136" s="3">
        <v>2</v>
      </c>
      <c r="P136" s="3">
        <v>1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/>
      <c r="Y136" s="3"/>
      <c r="Z136" s="3"/>
      <c r="AA136" s="3"/>
      <c r="AB136" s="3"/>
      <c r="AC136" s="21">
        <f t="shared" si="30"/>
        <v>8</v>
      </c>
      <c r="AE136" s="41" t="s">
        <v>16</v>
      </c>
      <c r="AF136" s="41"/>
      <c r="AG136" s="3"/>
      <c r="AH136" s="3"/>
      <c r="AI136" s="3">
        <v>0</v>
      </c>
      <c r="AJ136" s="3">
        <v>0</v>
      </c>
      <c r="AK136" s="3">
        <v>0</v>
      </c>
      <c r="AL136" s="31">
        <v>3</v>
      </c>
      <c r="AM136" s="3">
        <v>2</v>
      </c>
      <c r="AN136" s="72"/>
      <c r="AO136" s="3">
        <v>3</v>
      </c>
      <c r="AP136" s="3">
        <v>0</v>
      </c>
      <c r="AQ136" s="3">
        <v>0</v>
      </c>
      <c r="AR136" s="26">
        <v>0</v>
      </c>
      <c r="AS136" s="3">
        <v>0</v>
      </c>
      <c r="AT136" s="3">
        <v>0</v>
      </c>
      <c r="AU136" s="3">
        <v>1</v>
      </c>
      <c r="AV136" s="3">
        <v>3</v>
      </c>
      <c r="AW136" s="3">
        <v>4</v>
      </c>
      <c r="AX136" s="26">
        <v>0</v>
      </c>
      <c r="AY136" s="3">
        <v>0</v>
      </c>
      <c r="AZ136" s="3">
        <v>0</v>
      </c>
      <c r="BA136" s="3">
        <v>1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22">
        <f t="shared" si="31"/>
        <v>14</v>
      </c>
    </row>
    <row r="137" spans="2:61" x14ac:dyDescent="0.25">
      <c r="B137" s="41" t="s">
        <v>17</v>
      </c>
      <c r="C137" s="41"/>
      <c r="D137" s="3">
        <v>0</v>
      </c>
      <c r="E137" s="3">
        <v>1</v>
      </c>
      <c r="F137" s="3">
        <v>1</v>
      </c>
      <c r="G137" s="3">
        <v>0</v>
      </c>
      <c r="H137" s="3">
        <v>0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3</v>
      </c>
      <c r="O137" s="3">
        <v>4</v>
      </c>
      <c r="P137" s="3">
        <v>2</v>
      </c>
      <c r="Q137" s="3">
        <v>4</v>
      </c>
      <c r="R137" s="3">
        <v>0</v>
      </c>
      <c r="S137" s="3">
        <v>0</v>
      </c>
      <c r="T137" s="3">
        <v>0</v>
      </c>
      <c r="U137" s="3">
        <v>1</v>
      </c>
      <c r="V137" s="3">
        <v>0</v>
      </c>
      <c r="W137" s="3">
        <v>0</v>
      </c>
      <c r="X137" s="3"/>
      <c r="Y137" s="3"/>
      <c r="Z137" s="3"/>
      <c r="AA137" s="3"/>
      <c r="AB137" s="3"/>
      <c r="AC137" s="21">
        <f t="shared" si="30"/>
        <v>21</v>
      </c>
      <c r="AE137" s="41" t="s">
        <v>17</v>
      </c>
      <c r="AF137" s="41"/>
      <c r="AG137" s="3"/>
      <c r="AH137" s="3"/>
      <c r="AI137" s="3">
        <v>0</v>
      </c>
      <c r="AJ137" s="3">
        <v>0</v>
      </c>
      <c r="AK137" s="3">
        <v>1</v>
      </c>
      <c r="AL137" s="31">
        <v>4</v>
      </c>
      <c r="AM137" s="3">
        <v>0</v>
      </c>
      <c r="AN137" s="73"/>
      <c r="AO137" s="3">
        <v>1</v>
      </c>
      <c r="AP137" s="3">
        <v>1</v>
      </c>
      <c r="AQ137" s="3">
        <v>0</v>
      </c>
      <c r="AR137" s="26">
        <v>1</v>
      </c>
      <c r="AS137" s="3">
        <v>0</v>
      </c>
      <c r="AT137" s="3">
        <v>1</v>
      </c>
      <c r="AU137" s="3">
        <v>1</v>
      </c>
      <c r="AV137" s="3">
        <v>1</v>
      </c>
      <c r="AW137" s="3">
        <v>2</v>
      </c>
      <c r="AX137" s="26">
        <v>0</v>
      </c>
      <c r="AY137" s="3">
        <v>0</v>
      </c>
      <c r="AZ137" s="3">
        <v>2</v>
      </c>
      <c r="BA137" s="3">
        <v>4</v>
      </c>
      <c r="BB137" s="3">
        <v>2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22">
        <f t="shared" si="31"/>
        <v>16</v>
      </c>
    </row>
    <row r="138" spans="2:61" x14ac:dyDescent="0.25">
      <c r="B138" s="9" t="s">
        <v>27</v>
      </c>
      <c r="C138" s="2"/>
      <c r="D138" s="2">
        <f t="shared" ref="D138:G138" si="32">D118+D119+D120+D121+D122+D123+D124+D125+D126+D127+D128+D129+D130+D131+D132+D133+D134+D135+D136+D137</f>
        <v>13</v>
      </c>
      <c r="E138" s="2">
        <f t="shared" si="32"/>
        <v>8</v>
      </c>
      <c r="F138" s="2">
        <f t="shared" si="32"/>
        <v>7</v>
      </c>
      <c r="G138" s="2">
        <f t="shared" si="32"/>
        <v>10</v>
      </c>
      <c r="H138" s="2">
        <f t="shared" ref="H138:AA138" si="33">H118+H119+H120+H121+H122+H123+H124+H125+H126+H127+H128+H129+H130+H131+H132+H133+H134+H135+H136+H137</f>
        <v>6</v>
      </c>
      <c r="I138" s="2">
        <f t="shared" si="33"/>
        <v>23</v>
      </c>
      <c r="J138" s="4">
        <f t="shared" si="33"/>
        <v>12</v>
      </c>
      <c r="K138" s="4">
        <f t="shared" si="33"/>
        <v>12</v>
      </c>
      <c r="L138" s="4">
        <f t="shared" si="33"/>
        <v>5</v>
      </c>
      <c r="M138" s="4">
        <f t="shared" si="33"/>
        <v>4</v>
      </c>
      <c r="N138" s="4">
        <f t="shared" si="33"/>
        <v>11</v>
      </c>
      <c r="O138" s="2">
        <f t="shared" si="33"/>
        <v>30</v>
      </c>
      <c r="P138" s="2">
        <f t="shared" si="33"/>
        <v>7</v>
      </c>
      <c r="Q138" s="2">
        <f t="shared" ref="Q138" si="34">Q118+Q119+Q120+Q121+Q122+Q123+Q124+Q125+Q126+Q127+Q128+Q129+Q130+Q131+Q132+Q133+Q134+Q135+Q136+Q137</f>
        <v>13</v>
      </c>
      <c r="R138" s="2">
        <v>0</v>
      </c>
      <c r="S138" s="2">
        <f t="shared" si="33"/>
        <v>4</v>
      </c>
      <c r="T138" s="2">
        <f t="shared" si="33"/>
        <v>4</v>
      </c>
      <c r="U138" s="2">
        <f t="shared" si="33"/>
        <v>5</v>
      </c>
      <c r="V138" s="2">
        <f t="shared" si="33"/>
        <v>5</v>
      </c>
      <c r="W138" s="2">
        <f t="shared" si="33"/>
        <v>5</v>
      </c>
      <c r="X138" s="2">
        <f t="shared" si="33"/>
        <v>0</v>
      </c>
      <c r="Y138" s="2">
        <f t="shared" si="33"/>
        <v>0</v>
      </c>
      <c r="Z138" s="2">
        <f t="shared" si="33"/>
        <v>0</v>
      </c>
      <c r="AA138" s="2">
        <f t="shared" si="33"/>
        <v>0</v>
      </c>
      <c r="AB138" s="2"/>
      <c r="AC138" s="21">
        <f>AC118+AC119+AC120+AC121+AC122+AC123+AC124+AC125+AC126+AC127+AC128+AC129+AC130+AC131+AC132+AC133+AC134+AC135+AC136+AC137</f>
        <v>184</v>
      </c>
      <c r="AE138" s="9" t="s">
        <v>27</v>
      </c>
      <c r="AF138" s="2"/>
      <c r="AG138" s="2"/>
      <c r="AH138" s="2"/>
      <c r="AI138" s="2">
        <v>0</v>
      </c>
      <c r="AJ138" s="2">
        <f t="shared" ref="AJ138:BH138" si="35">AJ118+AJ119+AJ120+AJ121+AJ122+AJ123+AJ124+AJ125+AJ126+AJ127+AJ128+AJ129+AJ130+AJ131+AJ132+AJ133+AJ134+AJ135+AJ136+AJ137</f>
        <v>0</v>
      </c>
      <c r="AK138" s="2">
        <f t="shared" si="35"/>
        <v>5</v>
      </c>
      <c r="AL138" s="27">
        <f t="shared" si="35"/>
        <v>19</v>
      </c>
      <c r="AM138" s="2">
        <f t="shared" si="35"/>
        <v>17</v>
      </c>
      <c r="AN138" s="2">
        <v>0</v>
      </c>
      <c r="AO138" s="2">
        <f>AO118+AO119+AO120+AO121+AO122+AO123+AO124+AO125+AO126+AO127+AO128+AO129+AO130+AO131+AO132+AO133+AO134+AO135+AO136+AO137</f>
        <v>17</v>
      </c>
      <c r="AP138" s="4">
        <f t="shared" si="35"/>
        <v>9</v>
      </c>
      <c r="AQ138" s="4">
        <f t="shared" si="35"/>
        <v>9</v>
      </c>
      <c r="AR138" s="25">
        <f t="shared" si="35"/>
        <v>18</v>
      </c>
      <c r="AS138" s="4">
        <f t="shared" si="35"/>
        <v>13</v>
      </c>
      <c r="AT138" s="2">
        <f t="shared" si="35"/>
        <v>7</v>
      </c>
      <c r="AU138" s="2">
        <f t="shared" si="35"/>
        <v>8</v>
      </c>
      <c r="AV138" s="2">
        <f t="shared" si="35"/>
        <v>15</v>
      </c>
      <c r="AW138" s="2">
        <f t="shared" si="35"/>
        <v>21</v>
      </c>
      <c r="AX138" s="27">
        <f t="shared" si="35"/>
        <v>0</v>
      </c>
      <c r="AY138" s="2">
        <f t="shared" si="35"/>
        <v>3</v>
      </c>
      <c r="AZ138" s="2">
        <f t="shared" si="35"/>
        <v>4</v>
      </c>
      <c r="BA138" s="2">
        <f t="shared" si="35"/>
        <v>8</v>
      </c>
      <c r="BB138" s="2">
        <f t="shared" si="35"/>
        <v>6</v>
      </c>
      <c r="BC138" s="2">
        <f t="shared" si="35"/>
        <v>5</v>
      </c>
      <c r="BD138" s="2">
        <f t="shared" si="35"/>
        <v>0</v>
      </c>
      <c r="BE138" s="2">
        <f t="shared" si="35"/>
        <v>0</v>
      </c>
      <c r="BF138" s="2">
        <f t="shared" si="35"/>
        <v>0</v>
      </c>
      <c r="BG138" s="2">
        <f t="shared" si="35"/>
        <v>0</v>
      </c>
      <c r="BH138" s="2">
        <f t="shared" si="35"/>
        <v>0</v>
      </c>
      <c r="BI138" s="22">
        <f>BI119+BI120+BI121+BI122+BI123+BI124+BI125+BI126+BI127+BI128+BI129+BI130+BI131+BI132+BI133+BI134+BI135+BI136+BI137</f>
        <v>139</v>
      </c>
    </row>
    <row r="140" spans="2:61" x14ac:dyDescent="0.25">
      <c r="B140" s="64" t="s">
        <v>24</v>
      </c>
      <c r="C140" s="64"/>
      <c r="D140" s="43" t="s">
        <v>37</v>
      </c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 spans="2:61" x14ac:dyDescent="0.25">
      <c r="B141" s="64" t="s">
        <v>23</v>
      </c>
      <c r="C141" s="64"/>
      <c r="D141" s="2" t="s">
        <v>0</v>
      </c>
      <c r="E141" s="4" t="s">
        <v>1</v>
      </c>
      <c r="F141" s="4" t="s">
        <v>1</v>
      </c>
      <c r="G141" s="4" t="s">
        <v>2</v>
      </c>
      <c r="H141" s="4" t="s">
        <v>3</v>
      </c>
      <c r="I141" s="2" t="s">
        <v>0</v>
      </c>
      <c r="J141" s="4" t="s">
        <v>1</v>
      </c>
      <c r="K141" s="4" t="s">
        <v>1</v>
      </c>
      <c r="L141" s="4" t="s">
        <v>2</v>
      </c>
      <c r="M141" s="4" t="s">
        <v>3</v>
      </c>
      <c r="N141" s="2" t="s">
        <v>0</v>
      </c>
      <c r="O141" s="4" t="s">
        <v>1</v>
      </c>
      <c r="P141" s="4" t="s">
        <v>1</v>
      </c>
      <c r="Q141" s="4" t="s">
        <v>2</v>
      </c>
      <c r="R141" s="4" t="s">
        <v>3</v>
      </c>
      <c r="S141" s="2" t="s">
        <v>0</v>
      </c>
      <c r="T141" s="4" t="s">
        <v>1</v>
      </c>
      <c r="U141" s="4" t="s">
        <v>1</v>
      </c>
      <c r="V141" s="4" t="s">
        <v>2</v>
      </c>
      <c r="W141" s="4" t="s">
        <v>3</v>
      </c>
      <c r="X141" s="2" t="s">
        <v>0</v>
      </c>
      <c r="Y141" s="4" t="s">
        <v>1</v>
      </c>
      <c r="Z141" s="4" t="s">
        <v>1</v>
      </c>
      <c r="AA141" s="4" t="s">
        <v>2</v>
      </c>
      <c r="AB141" s="4" t="s">
        <v>3</v>
      </c>
      <c r="AC141" s="2" t="s">
        <v>27</v>
      </c>
    </row>
    <row r="142" spans="2:61" x14ac:dyDescent="0.25">
      <c r="B142" s="64" t="s">
        <v>22</v>
      </c>
      <c r="C142" s="64"/>
      <c r="D142" s="42">
        <v>1</v>
      </c>
      <c r="E142" s="42">
        <v>2</v>
      </c>
      <c r="F142" s="42">
        <v>3</v>
      </c>
      <c r="G142" s="42">
        <v>4</v>
      </c>
      <c r="H142" s="42">
        <v>5</v>
      </c>
      <c r="I142" s="46">
        <v>8</v>
      </c>
      <c r="J142" s="46">
        <v>9</v>
      </c>
      <c r="K142" s="46">
        <v>10</v>
      </c>
      <c r="L142" s="46">
        <v>11</v>
      </c>
      <c r="M142" s="46">
        <v>12</v>
      </c>
      <c r="N142" s="42">
        <v>15</v>
      </c>
      <c r="O142" s="42">
        <v>16</v>
      </c>
      <c r="P142" s="42">
        <v>17</v>
      </c>
      <c r="Q142" s="42">
        <v>18</v>
      </c>
      <c r="R142" s="42">
        <v>19</v>
      </c>
      <c r="S142" s="42">
        <v>22</v>
      </c>
      <c r="T142" s="42">
        <v>23</v>
      </c>
      <c r="U142" s="42">
        <v>24</v>
      </c>
      <c r="V142" s="42">
        <v>25</v>
      </c>
      <c r="W142" s="42">
        <v>26</v>
      </c>
      <c r="X142" s="42">
        <v>29</v>
      </c>
      <c r="Y142" s="42">
        <v>30</v>
      </c>
      <c r="Z142" s="42">
        <v>31</v>
      </c>
      <c r="AA142" s="42"/>
      <c r="AB142" s="42"/>
      <c r="AC142" s="62"/>
    </row>
    <row r="143" spans="2:61" x14ac:dyDescent="0.25">
      <c r="B143" s="65" t="s">
        <v>25</v>
      </c>
      <c r="C143" s="45"/>
      <c r="D143" s="42"/>
      <c r="E143" s="42"/>
      <c r="F143" s="42"/>
      <c r="G143" s="42"/>
      <c r="H143" s="42"/>
      <c r="I143" s="46"/>
      <c r="J143" s="46"/>
      <c r="K143" s="46"/>
      <c r="L143" s="46"/>
      <c r="M143" s="46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63"/>
    </row>
    <row r="144" spans="2:61" x14ac:dyDescent="0.25">
      <c r="B144" s="45" t="s">
        <v>4</v>
      </c>
      <c r="C144" s="45"/>
      <c r="D144" s="3"/>
      <c r="E144" s="3"/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1</v>
      </c>
      <c r="T144" s="3">
        <v>1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/>
      <c r="AB144" s="3"/>
      <c r="AC144" s="21">
        <f>D144+E144+F144+G144+H144+I144+J144+K144+L144+M144+N144+O144+P144+Q144+R144+S144+T144+V144+U144+W144+X144+Y144+Z144+AA144+AB144</f>
        <v>2</v>
      </c>
    </row>
    <row r="145" spans="2:29" x14ac:dyDescent="0.25">
      <c r="B145" s="41" t="s">
        <v>7</v>
      </c>
      <c r="C145" s="41"/>
      <c r="D145" s="3"/>
      <c r="E145" s="3"/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1</v>
      </c>
      <c r="V145" s="3">
        <v>0</v>
      </c>
      <c r="W145" s="3">
        <v>0</v>
      </c>
      <c r="X145" s="3">
        <v>0</v>
      </c>
      <c r="Y145" s="3">
        <v>1</v>
      </c>
      <c r="Z145" s="3">
        <v>0</v>
      </c>
      <c r="AA145" s="3"/>
      <c r="AB145" s="3"/>
      <c r="AC145" s="21">
        <f t="shared" ref="AC145:AC163" si="36">D145+E145+F145+G145+H145+I145+J145+K145+L145+M145+N145+O145+P145+Q145+R145+S145+T145+V145+U145+W145+X145+Y145+Z145+AA145+AB145</f>
        <v>2</v>
      </c>
    </row>
    <row r="146" spans="2:29" x14ac:dyDescent="0.25">
      <c r="B146" s="41" t="s">
        <v>5</v>
      </c>
      <c r="C146" s="41"/>
      <c r="D146" s="3"/>
      <c r="E146" s="3"/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2</v>
      </c>
      <c r="T146" s="3">
        <v>0</v>
      </c>
      <c r="U146" s="3">
        <v>0</v>
      </c>
      <c r="V146" s="3">
        <v>0</v>
      </c>
      <c r="W146" s="3">
        <v>0</v>
      </c>
      <c r="X146" s="3">
        <v>1</v>
      </c>
      <c r="Y146" s="3">
        <v>0</v>
      </c>
      <c r="Z146" s="3">
        <v>0</v>
      </c>
      <c r="AA146" s="3"/>
      <c r="AB146" s="3"/>
      <c r="AC146" s="21">
        <f t="shared" si="36"/>
        <v>3</v>
      </c>
    </row>
    <row r="147" spans="2:29" x14ac:dyDescent="0.25">
      <c r="B147" s="41" t="s">
        <v>6</v>
      </c>
      <c r="C147" s="41"/>
      <c r="D147" s="3"/>
      <c r="E147" s="3"/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1</v>
      </c>
      <c r="T147" s="3">
        <v>2</v>
      </c>
      <c r="U147" s="3">
        <v>1</v>
      </c>
      <c r="V147" s="3">
        <v>2</v>
      </c>
      <c r="W147" s="3">
        <v>2</v>
      </c>
      <c r="X147" s="3">
        <v>3</v>
      </c>
      <c r="Y147" s="3">
        <v>1</v>
      </c>
      <c r="Z147" s="3">
        <v>0</v>
      </c>
      <c r="AA147" s="3"/>
      <c r="AB147" s="3"/>
      <c r="AC147" s="21">
        <f t="shared" si="36"/>
        <v>12</v>
      </c>
    </row>
    <row r="148" spans="2:29" x14ac:dyDescent="0.25">
      <c r="B148" s="41" t="s">
        <v>8</v>
      </c>
      <c r="C148" s="41"/>
      <c r="D148" s="3"/>
      <c r="E148" s="3"/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1</v>
      </c>
      <c r="T148" s="3">
        <v>1</v>
      </c>
      <c r="U148" s="3">
        <v>0</v>
      </c>
      <c r="V148" s="3">
        <v>0</v>
      </c>
      <c r="W148" s="3">
        <v>0</v>
      </c>
      <c r="X148" s="3">
        <v>1</v>
      </c>
      <c r="Y148" s="3">
        <v>0</v>
      </c>
      <c r="Z148" s="3">
        <v>1</v>
      </c>
      <c r="AA148" s="3"/>
      <c r="AB148" s="3"/>
      <c r="AC148" s="21">
        <f t="shared" si="36"/>
        <v>4</v>
      </c>
    </row>
    <row r="149" spans="2:29" x14ac:dyDescent="0.25">
      <c r="B149" s="41" t="s">
        <v>9</v>
      </c>
      <c r="C149" s="41"/>
      <c r="D149" s="3"/>
      <c r="E149" s="3"/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2</v>
      </c>
      <c r="T149" s="3">
        <v>1</v>
      </c>
      <c r="U149" s="3">
        <v>1</v>
      </c>
      <c r="V149" s="3">
        <v>1</v>
      </c>
      <c r="W149" s="3">
        <v>0</v>
      </c>
      <c r="X149" s="3">
        <v>1</v>
      </c>
      <c r="Y149" s="3">
        <v>1</v>
      </c>
      <c r="Z149" s="3">
        <v>1</v>
      </c>
      <c r="AA149" s="3"/>
      <c r="AB149" s="3"/>
      <c r="AC149" s="21">
        <f t="shared" si="36"/>
        <v>8</v>
      </c>
    </row>
    <row r="150" spans="2:29" x14ac:dyDescent="0.25">
      <c r="B150" s="41" t="s">
        <v>18</v>
      </c>
      <c r="C150" s="41"/>
      <c r="D150" s="3"/>
      <c r="E150" s="3"/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1</v>
      </c>
      <c r="Y150" s="3">
        <v>0</v>
      </c>
      <c r="Z150" s="3">
        <v>0</v>
      </c>
      <c r="AA150" s="3"/>
      <c r="AB150" s="3"/>
      <c r="AC150" s="21">
        <f t="shared" si="36"/>
        <v>1</v>
      </c>
    </row>
    <row r="151" spans="2:29" x14ac:dyDescent="0.25">
      <c r="B151" s="41" t="s">
        <v>19</v>
      </c>
      <c r="C151" s="41"/>
      <c r="D151" s="3"/>
      <c r="E151" s="3"/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1</v>
      </c>
      <c r="T151" s="3">
        <v>2</v>
      </c>
      <c r="U151" s="3">
        <v>1</v>
      </c>
      <c r="V151" s="3">
        <v>0</v>
      </c>
      <c r="W151" s="3">
        <v>0</v>
      </c>
      <c r="X151" s="3">
        <v>0</v>
      </c>
      <c r="Y151" s="3">
        <v>0</v>
      </c>
      <c r="Z151" s="3">
        <v>1</v>
      </c>
      <c r="AA151" s="3"/>
      <c r="AB151" s="3"/>
      <c r="AC151" s="21">
        <f t="shared" si="36"/>
        <v>5</v>
      </c>
    </row>
    <row r="152" spans="2:29" x14ac:dyDescent="0.25">
      <c r="B152" s="41" t="s">
        <v>20</v>
      </c>
      <c r="C152" s="41"/>
      <c r="D152" s="3"/>
      <c r="E152" s="3"/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1</v>
      </c>
      <c r="T152" s="3">
        <v>0</v>
      </c>
      <c r="U152" s="3">
        <v>1</v>
      </c>
      <c r="V152" s="3">
        <v>1</v>
      </c>
      <c r="W152" s="3">
        <v>2</v>
      </c>
      <c r="X152" s="3">
        <v>0</v>
      </c>
      <c r="Y152" s="3">
        <v>0</v>
      </c>
      <c r="Z152" s="3">
        <v>0</v>
      </c>
      <c r="AA152" s="3"/>
      <c r="AB152" s="3"/>
      <c r="AC152" s="21">
        <f t="shared" si="36"/>
        <v>5</v>
      </c>
    </row>
    <row r="153" spans="2:29" x14ac:dyDescent="0.25">
      <c r="B153" s="41" t="s">
        <v>12</v>
      </c>
      <c r="C153" s="41"/>
      <c r="D153" s="3"/>
      <c r="E153" s="3"/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2</v>
      </c>
      <c r="Y153" s="3">
        <v>0</v>
      </c>
      <c r="Z153" s="3">
        <v>0</v>
      </c>
      <c r="AA153" s="3"/>
      <c r="AB153" s="3"/>
      <c r="AC153" s="21">
        <f t="shared" si="36"/>
        <v>2</v>
      </c>
    </row>
    <row r="154" spans="2:29" x14ac:dyDescent="0.25">
      <c r="B154" s="41" t="s">
        <v>21</v>
      </c>
      <c r="C154" s="41"/>
      <c r="D154" s="3"/>
      <c r="E154" s="3"/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/>
      <c r="AB154" s="3"/>
      <c r="AC154" s="21">
        <f t="shared" si="36"/>
        <v>0</v>
      </c>
    </row>
    <row r="155" spans="2:29" x14ac:dyDescent="0.25">
      <c r="B155" s="41" t="s">
        <v>10</v>
      </c>
      <c r="C155" s="41"/>
      <c r="D155" s="3"/>
      <c r="E155" s="3"/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2</v>
      </c>
      <c r="T155" s="3">
        <v>0</v>
      </c>
      <c r="U155" s="3">
        <v>2</v>
      </c>
      <c r="V155" s="3">
        <v>1</v>
      </c>
      <c r="W155" s="3">
        <v>0</v>
      </c>
      <c r="X155" s="3">
        <v>0</v>
      </c>
      <c r="Y155" s="3">
        <v>0</v>
      </c>
      <c r="Z155" s="3">
        <v>1</v>
      </c>
      <c r="AA155" s="3"/>
      <c r="AB155" s="3"/>
      <c r="AC155" s="21">
        <f t="shared" si="36"/>
        <v>6</v>
      </c>
    </row>
    <row r="156" spans="2:29" x14ac:dyDescent="0.25">
      <c r="B156" s="41" t="s">
        <v>11</v>
      </c>
      <c r="C156" s="41"/>
      <c r="D156" s="3"/>
      <c r="E156" s="3"/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1</v>
      </c>
      <c r="T156" s="3">
        <v>2</v>
      </c>
      <c r="U156" s="3">
        <v>1</v>
      </c>
      <c r="V156" s="3">
        <v>0</v>
      </c>
      <c r="W156" s="3">
        <v>0</v>
      </c>
      <c r="X156" s="3">
        <v>0</v>
      </c>
      <c r="Y156" s="3">
        <v>0</v>
      </c>
      <c r="Z156" s="3">
        <v>1</v>
      </c>
      <c r="AA156" s="3"/>
      <c r="AB156" s="3"/>
      <c r="AC156" s="21">
        <f t="shared" si="36"/>
        <v>5</v>
      </c>
    </row>
    <row r="157" spans="2:29" x14ac:dyDescent="0.25">
      <c r="B157" s="41" t="s">
        <v>13</v>
      </c>
      <c r="C157" s="41"/>
      <c r="D157" s="3"/>
      <c r="E157" s="3"/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1</v>
      </c>
      <c r="T157" s="3">
        <v>0</v>
      </c>
      <c r="U157" s="3">
        <v>1</v>
      </c>
      <c r="V157" s="3">
        <v>1</v>
      </c>
      <c r="W157" s="3">
        <v>1</v>
      </c>
      <c r="X157" s="3">
        <v>0</v>
      </c>
      <c r="Y157" s="3">
        <v>0</v>
      </c>
      <c r="Z157" s="3">
        <v>1</v>
      </c>
      <c r="AA157" s="3"/>
      <c r="AB157" s="3"/>
      <c r="AC157" s="21">
        <f t="shared" si="36"/>
        <v>5</v>
      </c>
    </row>
    <row r="158" spans="2:29" x14ac:dyDescent="0.25">
      <c r="B158" s="41" t="s">
        <v>28</v>
      </c>
      <c r="C158" s="41"/>
      <c r="D158" s="3"/>
      <c r="E158" s="3"/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1</v>
      </c>
      <c r="Y158" s="3">
        <v>0</v>
      </c>
      <c r="Z158" s="3">
        <v>0</v>
      </c>
      <c r="AA158" s="3"/>
      <c r="AB158" s="3"/>
      <c r="AC158" s="21">
        <f t="shared" si="36"/>
        <v>1</v>
      </c>
    </row>
    <row r="159" spans="2:29" x14ac:dyDescent="0.25">
      <c r="B159" s="41" t="s">
        <v>29</v>
      </c>
      <c r="C159" s="41"/>
      <c r="D159" s="3"/>
      <c r="E159" s="3"/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3">
        <v>1</v>
      </c>
      <c r="Z159" s="3">
        <v>0</v>
      </c>
      <c r="AA159" s="3"/>
      <c r="AB159" s="3"/>
      <c r="AC159" s="21">
        <f t="shared" si="36"/>
        <v>2</v>
      </c>
    </row>
    <row r="160" spans="2:29" x14ac:dyDescent="0.25">
      <c r="B160" s="41" t="s">
        <v>14</v>
      </c>
      <c r="C160" s="41"/>
      <c r="D160" s="3"/>
      <c r="E160" s="3"/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4</v>
      </c>
      <c r="T160" s="3">
        <v>2</v>
      </c>
      <c r="U160" s="3">
        <v>3</v>
      </c>
      <c r="V160" s="3">
        <v>2</v>
      </c>
      <c r="W160" s="3">
        <v>3</v>
      </c>
      <c r="X160" s="3">
        <v>0</v>
      </c>
      <c r="Y160" s="3">
        <v>0</v>
      </c>
      <c r="Z160" s="3">
        <v>0</v>
      </c>
      <c r="AA160" s="3"/>
      <c r="AB160" s="3"/>
      <c r="AC160" s="21">
        <f t="shared" si="36"/>
        <v>14</v>
      </c>
    </row>
    <row r="161" spans="2:29" x14ac:dyDescent="0.25">
      <c r="B161" s="41" t="s">
        <v>15</v>
      </c>
      <c r="C161" s="41"/>
      <c r="D161" s="3"/>
      <c r="E161" s="3"/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2</v>
      </c>
      <c r="T161" s="3">
        <v>3</v>
      </c>
      <c r="U161" s="3">
        <v>1</v>
      </c>
      <c r="V161" s="3">
        <v>0</v>
      </c>
      <c r="W161" s="3">
        <v>0</v>
      </c>
      <c r="X161" s="3">
        <v>0</v>
      </c>
      <c r="Y161" s="3">
        <v>1</v>
      </c>
      <c r="Z161" s="3">
        <v>0</v>
      </c>
      <c r="AA161" s="3"/>
      <c r="AB161" s="3"/>
      <c r="AC161" s="21">
        <f t="shared" si="36"/>
        <v>7</v>
      </c>
    </row>
    <row r="162" spans="2:29" x14ac:dyDescent="0.25">
      <c r="B162" s="41" t="s">
        <v>16</v>
      </c>
      <c r="C162" s="41"/>
      <c r="D162" s="3"/>
      <c r="E162" s="3"/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2</v>
      </c>
      <c r="T162" s="3">
        <v>0</v>
      </c>
      <c r="U162" s="3">
        <v>1</v>
      </c>
      <c r="V162" s="3">
        <v>0</v>
      </c>
      <c r="W162" s="3">
        <v>1</v>
      </c>
      <c r="X162" s="3">
        <v>0</v>
      </c>
      <c r="Y162" s="3">
        <v>0</v>
      </c>
      <c r="Z162" s="3">
        <v>1</v>
      </c>
      <c r="AA162" s="3"/>
      <c r="AB162" s="3"/>
      <c r="AC162" s="21">
        <f t="shared" si="36"/>
        <v>5</v>
      </c>
    </row>
    <row r="163" spans="2:29" x14ac:dyDescent="0.25">
      <c r="B163" s="41" t="s">
        <v>17</v>
      </c>
      <c r="C163" s="41"/>
      <c r="D163" s="3"/>
      <c r="E163" s="3"/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3</v>
      </c>
      <c r="T163" s="3">
        <v>0</v>
      </c>
      <c r="U163" s="3">
        <v>2</v>
      </c>
      <c r="V163" s="3">
        <v>1</v>
      </c>
      <c r="W163" s="3">
        <v>1</v>
      </c>
      <c r="X163" s="3">
        <v>3</v>
      </c>
      <c r="Y163" s="3">
        <v>2</v>
      </c>
      <c r="Z163" s="3">
        <v>1</v>
      </c>
      <c r="AA163" s="3"/>
      <c r="AB163" s="3"/>
      <c r="AC163" s="21">
        <f t="shared" si="36"/>
        <v>13</v>
      </c>
    </row>
    <row r="164" spans="2:29" x14ac:dyDescent="0.25">
      <c r="B164" s="9" t="s">
        <v>27</v>
      </c>
      <c r="C164" s="2"/>
      <c r="D164" s="2"/>
      <c r="E164" s="2"/>
      <c r="F164" s="2">
        <v>0</v>
      </c>
      <c r="G164" s="2">
        <f t="shared" ref="G164:P164" si="37">G144+G145+G146+G147+G148+G149+G150+G151+G152+G153+G154+G155+G156+G157+G158+G159+G160+G161+G162+G163</f>
        <v>0</v>
      </c>
      <c r="H164" s="2">
        <f t="shared" si="37"/>
        <v>0</v>
      </c>
      <c r="I164" s="2">
        <f t="shared" si="37"/>
        <v>0</v>
      </c>
      <c r="J164" s="4">
        <f t="shared" si="37"/>
        <v>0</v>
      </c>
      <c r="K164" s="4">
        <f t="shared" si="37"/>
        <v>0</v>
      </c>
      <c r="L164" s="4">
        <f t="shared" si="37"/>
        <v>0</v>
      </c>
      <c r="M164" s="4">
        <f t="shared" si="37"/>
        <v>0</v>
      </c>
      <c r="N164" s="4">
        <f t="shared" si="37"/>
        <v>0</v>
      </c>
      <c r="O164" s="2">
        <f t="shared" si="37"/>
        <v>0</v>
      </c>
      <c r="P164" s="2">
        <f t="shared" si="37"/>
        <v>0</v>
      </c>
      <c r="Q164" s="2">
        <f t="shared" ref="Q164:R164" si="38">Q144+Q145+Q146+Q147+Q148+Q149+Q150+Q151+Q152+Q153+Q154+Q155+Q156+Q157+Q158+Q159+Q160+Q161+Q162+Q163</f>
        <v>0</v>
      </c>
      <c r="R164" s="2">
        <f t="shared" si="38"/>
        <v>0</v>
      </c>
      <c r="S164" s="2">
        <f t="shared" ref="S164:Z164" si="39">S144+S145+S146+S147+S148+S149+S150+S151+S152+S153+S154+S155+S156+S157+S158+S159+S160+S161+S162+S163</f>
        <v>24</v>
      </c>
      <c r="T164" s="2">
        <f t="shared" si="39"/>
        <v>14</v>
      </c>
      <c r="U164" s="2">
        <f t="shared" si="39"/>
        <v>16</v>
      </c>
      <c r="V164" s="2">
        <f t="shared" si="39"/>
        <v>9</v>
      </c>
      <c r="W164" s="2">
        <f t="shared" si="39"/>
        <v>11</v>
      </c>
      <c r="X164" s="2">
        <f t="shared" si="39"/>
        <v>13</v>
      </c>
      <c r="Y164" s="2">
        <f t="shared" si="39"/>
        <v>7</v>
      </c>
      <c r="Z164" s="2">
        <f t="shared" si="39"/>
        <v>8</v>
      </c>
      <c r="AA164" s="3"/>
      <c r="AB164" s="3"/>
      <c r="AC164" s="21">
        <f t="shared" ref="AC164" si="40">AC144+AC145+AC146+AC147+AC148+AC149+AC150+AC151+AC152+AC153+AC154+AC155+AC156+AC157+AC158+AC159+AC160+AC161+AC162+AC163</f>
        <v>102</v>
      </c>
    </row>
    <row r="170" spans="2:29" x14ac:dyDescent="0.25">
      <c r="B170" s="64" t="s">
        <v>24</v>
      </c>
      <c r="C170" s="64"/>
      <c r="D170" s="43" t="s">
        <v>45</v>
      </c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 spans="2:29" x14ac:dyDescent="0.25">
      <c r="B171" s="64" t="s">
        <v>23</v>
      </c>
      <c r="C171" s="64"/>
      <c r="D171" s="2" t="s">
        <v>0</v>
      </c>
      <c r="E171" s="4" t="s">
        <v>1</v>
      </c>
      <c r="F171" s="4" t="s">
        <v>1</v>
      </c>
      <c r="G171" s="4" t="s">
        <v>2</v>
      </c>
      <c r="H171" s="4" t="s">
        <v>3</v>
      </c>
      <c r="I171" s="2" t="s">
        <v>0</v>
      </c>
      <c r="J171" s="4" t="s">
        <v>1</v>
      </c>
      <c r="K171" s="4" t="s">
        <v>1</v>
      </c>
      <c r="L171" s="4" t="s">
        <v>2</v>
      </c>
      <c r="M171" s="4" t="s">
        <v>3</v>
      </c>
      <c r="N171" s="2" t="s">
        <v>0</v>
      </c>
      <c r="O171" s="4" t="s">
        <v>1</v>
      </c>
      <c r="P171" s="4" t="s">
        <v>1</v>
      </c>
      <c r="Q171" s="4" t="s">
        <v>2</v>
      </c>
      <c r="R171" s="4" t="s">
        <v>3</v>
      </c>
      <c r="S171" s="2" t="s">
        <v>0</v>
      </c>
      <c r="T171" s="4" t="s">
        <v>1</v>
      </c>
      <c r="U171" s="4" t="s">
        <v>1</v>
      </c>
      <c r="V171" s="4" t="s">
        <v>2</v>
      </c>
      <c r="W171" s="4" t="s">
        <v>3</v>
      </c>
      <c r="X171" s="2" t="s">
        <v>0</v>
      </c>
      <c r="Y171" s="4" t="s">
        <v>1</v>
      </c>
      <c r="Z171" s="4" t="s">
        <v>1</v>
      </c>
      <c r="AA171" s="4" t="s">
        <v>2</v>
      </c>
      <c r="AB171" s="4" t="s">
        <v>3</v>
      </c>
      <c r="AC171" s="2" t="s">
        <v>27</v>
      </c>
    </row>
    <row r="172" spans="2:29" x14ac:dyDescent="0.25">
      <c r="B172" s="64" t="s">
        <v>22</v>
      </c>
      <c r="C172" s="64"/>
      <c r="D172" s="42">
        <v>2</v>
      </c>
      <c r="E172" s="42">
        <v>3</v>
      </c>
      <c r="F172" s="42">
        <v>4</v>
      </c>
      <c r="G172" s="42">
        <v>5</v>
      </c>
      <c r="H172" s="42">
        <v>6</v>
      </c>
      <c r="I172" s="46">
        <v>9</v>
      </c>
      <c r="J172" s="46">
        <v>10</v>
      </c>
      <c r="K172" s="46">
        <v>11</v>
      </c>
      <c r="L172" s="46">
        <v>12</v>
      </c>
      <c r="M172" s="46">
        <v>13</v>
      </c>
      <c r="N172" s="42">
        <v>16</v>
      </c>
      <c r="O172" s="42">
        <v>17</v>
      </c>
      <c r="P172" s="42">
        <v>18</v>
      </c>
      <c r="Q172" s="42">
        <v>19</v>
      </c>
      <c r="R172" s="42">
        <v>20</v>
      </c>
      <c r="S172" s="42">
        <v>23</v>
      </c>
      <c r="T172" s="42">
        <v>24</v>
      </c>
      <c r="U172" s="42">
        <v>25</v>
      </c>
      <c r="V172" s="42">
        <v>26</v>
      </c>
      <c r="W172" s="42">
        <v>27</v>
      </c>
      <c r="X172" s="42">
        <v>30</v>
      </c>
      <c r="Y172" s="42"/>
      <c r="Z172" s="48"/>
      <c r="AA172" s="48"/>
      <c r="AB172" s="42"/>
      <c r="AC172" s="62"/>
    </row>
    <row r="173" spans="2:29" x14ac:dyDescent="0.25">
      <c r="B173" s="65" t="s">
        <v>25</v>
      </c>
      <c r="C173" s="45"/>
      <c r="D173" s="42"/>
      <c r="E173" s="42"/>
      <c r="F173" s="42"/>
      <c r="G173" s="42"/>
      <c r="H173" s="42"/>
      <c r="I173" s="46"/>
      <c r="J173" s="46"/>
      <c r="K173" s="46"/>
      <c r="L173" s="46"/>
      <c r="M173" s="46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9"/>
      <c r="AA173" s="49"/>
      <c r="AB173" s="42"/>
      <c r="AC173" s="63"/>
    </row>
    <row r="174" spans="2:29" x14ac:dyDescent="0.25">
      <c r="B174" s="45" t="s">
        <v>4</v>
      </c>
      <c r="C174" s="45"/>
      <c r="D174" s="3">
        <v>1</v>
      </c>
      <c r="E174" s="3">
        <v>0</v>
      </c>
      <c r="F174" s="7">
        <v>0</v>
      </c>
      <c r="G174" s="3">
        <v>0</v>
      </c>
      <c r="H174" s="3">
        <v>1</v>
      </c>
      <c r="I174" s="3">
        <v>1</v>
      </c>
      <c r="J174" s="3">
        <v>0</v>
      </c>
      <c r="K174" s="3">
        <v>0</v>
      </c>
      <c r="L174" s="3">
        <v>0</v>
      </c>
      <c r="M174" s="3">
        <v>0</v>
      </c>
      <c r="N174" s="3">
        <v>1</v>
      </c>
      <c r="O174" s="3">
        <v>2</v>
      </c>
      <c r="P174" s="3">
        <v>1</v>
      </c>
      <c r="Q174" s="3">
        <v>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/>
      <c r="Z174" s="3"/>
      <c r="AA174" s="3"/>
      <c r="AB174" s="3"/>
      <c r="AC174" s="36">
        <f>D174+E174+F174+G174+H174+I174+J174+K174+L174+M174+N174+O174+P174+Q174+R174+S174+T174+V174+U174+W174+X174+Y174+Z174+AA174+AB174</f>
        <v>9</v>
      </c>
    </row>
    <row r="175" spans="2:29" x14ac:dyDescent="0.25">
      <c r="B175" s="41" t="s">
        <v>7</v>
      </c>
      <c r="C175" s="41"/>
      <c r="D175" s="3">
        <v>1</v>
      </c>
      <c r="E175" s="3">
        <v>1</v>
      </c>
      <c r="F175" s="7">
        <v>0</v>
      </c>
      <c r="G175" s="3">
        <v>0</v>
      </c>
      <c r="H175" s="3">
        <v>1</v>
      </c>
      <c r="I175" s="3">
        <v>2</v>
      </c>
      <c r="J175" s="3">
        <v>0</v>
      </c>
      <c r="K175" s="3">
        <v>0</v>
      </c>
      <c r="L175" s="3">
        <v>1</v>
      </c>
      <c r="M175" s="3">
        <v>0</v>
      </c>
      <c r="N175" s="3">
        <v>1</v>
      </c>
      <c r="O175" s="3">
        <v>2</v>
      </c>
      <c r="P175" s="3">
        <v>1</v>
      </c>
      <c r="Q175" s="3">
        <v>1</v>
      </c>
      <c r="R175" s="3">
        <v>0</v>
      </c>
      <c r="S175" s="3">
        <v>0</v>
      </c>
      <c r="T175" s="3">
        <v>0</v>
      </c>
      <c r="U175" s="3">
        <v>1</v>
      </c>
      <c r="V175" s="3">
        <v>0</v>
      </c>
      <c r="W175" s="3">
        <v>0</v>
      </c>
      <c r="X175" s="3">
        <v>0</v>
      </c>
      <c r="Y175" s="3"/>
      <c r="Z175" s="3"/>
      <c r="AA175" s="3"/>
      <c r="AB175" s="3"/>
      <c r="AC175" s="36">
        <f t="shared" ref="AC175:AC193" si="41">D175+E175+F175+G175+H175+I175+J175+K175+L175+M175+N175+O175+P175+Q175+R175+S175+T175+V175+U175+W175+X175+Y175+Z175+AA175+AB175</f>
        <v>12</v>
      </c>
    </row>
    <row r="176" spans="2:29" x14ac:dyDescent="0.25">
      <c r="B176" s="41" t="s">
        <v>5</v>
      </c>
      <c r="C176" s="41"/>
      <c r="D176" s="3">
        <v>0</v>
      </c>
      <c r="E176" s="3">
        <v>0</v>
      </c>
      <c r="F176" s="7">
        <v>0</v>
      </c>
      <c r="G176" s="3">
        <v>0</v>
      </c>
      <c r="H176" s="3">
        <v>0</v>
      </c>
      <c r="I176" s="3">
        <v>0</v>
      </c>
      <c r="J176" s="3">
        <v>1</v>
      </c>
      <c r="K176" s="3">
        <v>1</v>
      </c>
      <c r="L176" s="3">
        <v>1</v>
      </c>
      <c r="M176" s="3">
        <v>1</v>
      </c>
      <c r="N176" s="3">
        <v>1</v>
      </c>
      <c r="O176" s="3">
        <v>0</v>
      </c>
      <c r="P176" s="3">
        <v>0</v>
      </c>
      <c r="Q176" s="3">
        <v>0</v>
      </c>
      <c r="R176" s="3">
        <v>0</v>
      </c>
      <c r="S176" s="3">
        <v>2</v>
      </c>
      <c r="T176" s="3">
        <v>0</v>
      </c>
      <c r="U176" s="3">
        <v>0</v>
      </c>
      <c r="V176" s="3">
        <v>2</v>
      </c>
      <c r="W176" s="3">
        <v>0</v>
      </c>
      <c r="X176" s="3">
        <v>1</v>
      </c>
      <c r="Y176" s="3"/>
      <c r="Z176" s="3"/>
      <c r="AA176" s="3"/>
      <c r="AB176" s="3"/>
      <c r="AC176" s="36">
        <f t="shared" si="41"/>
        <v>10</v>
      </c>
    </row>
    <row r="177" spans="2:29" x14ac:dyDescent="0.25">
      <c r="B177" s="41" t="s">
        <v>6</v>
      </c>
      <c r="C177" s="41"/>
      <c r="D177" s="3">
        <v>2</v>
      </c>
      <c r="E177" s="3">
        <v>1</v>
      </c>
      <c r="F177" s="7">
        <v>1</v>
      </c>
      <c r="G177" s="3">
        <v>2</v>
      </c>
      <c r="H177" s="3">
        <v>2</v>
      </c>
      <c r="I177" s="3">
        <v>1</v>
      </c>
      <c r="J177" s="3">
        <v>1</v>
      </c>
      <c r="K177" s="3">
        <v>0</v>
      </c>
      <c r="L177" s="3">
        <v>0</v>
      </c>
      <c r="M177" s="3">
        <v>1</v>
      </c>
      <c r="N177" s="3">
        <v>0</v>
      </c>
      <c r="O177" s="3">
        <v>1</v>
      </c>
      <c r="P177" s="3">
        <v>1</v>
      </c>
      <c r="Q177" s="3">
        <v>1</v>
      </c>
      <c r="R177" s="3">
        <v>0</v>
      </c>
      <c r="S177" s="3">
        <v>2</v>
      </c>
      <c r="T177" s="3">
        <v>0</v>
      </c>
      <c r="U177" s="3">
        <v>1</v>
      </c>
      <c r="V177" s="3">
        <v>1</v>
      </c>
      <c r="W177" s="3">
        <v>0</v>
      </c>
      <c r="X177" s="3">
        <v>1</v>
      </c>
      <c r="Y177" s="3"/>
      <c r="Z177" s="3"/>
      <c r="AA177" s="3"/>
      <c r="AB177" s="3"/>
      <c r="AC177" s="36">
        <f t="shared" si="41"/>
        <v>19</v>
      </c>
    </row>
    <row r="178" spans="2:29" x14ac:dyDescent="0.25">
      <c r="B178" s="41" t="s">
        <v>8</v>
      </c>
      <c r="C178" s="41"/>
      <c r="D178" s="3">
        <v>0</v>
      </c>
      <c r="E178" s="3">
        <v>0</v>
      </c>
      <c r="F178" s="7">
        <v>0</v>
      </c>
      <c r="G178" s="3">
        <v>0</v>
      </c>
      <c r="H178" s="3">
        <v>0</v>
      </c>
      <c r="I178" s="3">
        <v>2</v>
      </c>
      <c r="J178" s="3">
        <v>0</v>
      </c>
      <c r="K178" s="3">
        <v>3</v>
      </c>
      <c r="L178" s="3">
        <v>1</v>
      </c>
      <c r="M178" s="3">
        <v>1</v>
      </c>
      <c r="N178" s="3">
        <v>0</v>
      </c>
      <c r="O178" s="3">
        <v>1</v>
      </c>
      <c r="P178" s="3">
        <v>2</v>
      </c>
      <c r="Q178" s="3">
        <v>0</v>
      </c>
      <c r="R178" s="3">
        <v>0</v>
      </c>
      <c r="S178" s="3">
        <v>3</v>
      </c>
      <c r="T178" s="3">
        <v>1</v>
      </c>
      <c r="U178" s="3">
        <v>1</v>
      </c>
      <c r="V178" s="3">
        <v>1</v>
      </c>
      <c r="W178" s="3">
        <v>1</v>
      </c>
      <c r="X178" s="3">
        <v>3</v>
      </c>
      <c r="Y178" s="3"/>
      <c r="Z178" s="3"/>
      <c r="AA178" s="3"/>
      <c r="AB178" s="3"/>
      <c r="AC178" s="36">
        <f t="shared" si="41"/>
        <v>20</v>
      </c>
    </row>
    <row r="179" spans="2:29" x14ac:dyDescent="0.25">
      <c r="B179" s="41" t="s">
        <v>9</v>
      </c>
      <c r="C179" s="41"/>
      <c r="D179" s="3">
        <v>4</v>
      </c>
      <c r="E179" s="3">
        <v>0</v>
      </c>
      <c r="F179" s="7">
        <v>0</v>
      </c>
      <c r="G179" s="3">
        <v>1</v>
      </c>
      <c r="H179" s="3">
        <v>1</v>
      </c>
      <c r="I179" s="3">
        <v>1</v>
      </c>
      <c r="J179" s="3">
        <v>2</v>
      </c>
      <c r="K179" s="3">
        <v>2</v>
      </c>
      <c r="L179" s="3">
        <v>1</v>
      </c>
      <c r="M179" s="3">
        <v>1</v>
      </c>
      <c r="N179" s="3">
        <v>1</v>
      </c>
      <c r="O179" s="3">
        <v>3</v>
      </c>
      <c r="P179" s="3">
        <v>0</v>
      </c>
      <c r="Q179" s="3">
        <v>3</v>
      </c>
      <c r="R179" s="3">
        <v>0</v>
      </c>
      <c r="S179" s="3">
        <v>2</v>
      </c>
      <c r="T179" s="3">
        <v>0</v>
      </c>
      <c r="U179" s="3">
        <v>1</v>
      </c>
      <c r="V179" s="3">
        <v>1</v>
      </c>
      <c r="W179" s="3">
        <v>0</v>
      </c>
      <c r="X179" s="3">
        <v>0</v>
      </c>
      <c r="Y179" s="3"/>
      <c r="Z179" s="3"/>
      <c r="AA179" s="3"/>
      <c r="AB179" s="3"/>
      <c r="AC179" s="36">
        <f t="shared" si="41"/>
        <v>24</v>
      </c>
    </row>
    <row r="180" spans="2:29" x14ac:dyDescent="0.25">
      <c r="B180" s="41" t="s">
        <v>18</v>
      </c>
      <c r="C180" s="41"/>
      <c r="D180" s="3">
        <v>2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1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2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/>
      <c r="Z180" s="3"/>
      <c r="AA180" s="3"/>
      <c r="AB180" s="3"/>
      <c r="AC180" s="36">
        <f t="shared" si="41"/>
        <v>5</v>
      </c>
    </row>
    <row r="181" spans="2:29" x14ac:dyDescent="0.25">
      <c r="B181" s="41" t="s">
        <v>19</v>
      </c>
      <c r="C181" s="41"/>
      <c r="D181" s="3">
        <v>1</v>
      </c>
      <c r="E181" s="3">
        <v>0</v>
      </c>
      <c r="F181" s="3">
        <v>0</v>
      </c>
      <c r="G181" s="3">
        <v>0</v>
      </c>
      <c r="H181" s="3">
        <v>0</v>
      </c>
      <c r="I181" s="3">
        <v>1</v>
      </c>
      <c r="J181" s="3">
        <v>0</v>
      </c>
      <c r="K181" s="3">
        <v>0</v>
      </c>
      <c r="L181" s="3">
        <v>0</v>
      </c>
      <c r="M181" s="3">
        <v>0</v>
      </c>
      <c r="N181" s="3">
        <v>2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1</v>
      </c>
      <c r="U181" s="3">
        <v>0</v>
      </c>
      <c r="V181" s="3">
        <v>0</v>
      </c>
      <c r="W181" s="3">
        <v>0</v>
      </c>
      <c r="X181" s="3">
        <v>2</v>
      </c>
      <c r="Y181" s="3"/>
      <c r="Z181" s="3"/>
      <c r="AA181" s="3"/>
      <c r="AB181" s="3"/>
      <c r="AC181" s="36">
        <f t="shared" si="41"/>
        <v>7</v>
      </c>
    </row>
    <row r="182" spans="2:29" x14ac:dyDescent="0.25">
      <c r="B182" s="41" t="s">
        <v>20</v>
      </c>
      <c r="C182" s="41"/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1</v>
      </c>
      <c r="O182" s="3">
        <v>0</v>
      </c>
      <c r="P182" s="3">
        <v>0</v>
      </c>
      <c r="Q182" s="3">
        <v>0</v>
      </c>
      <c r="R182" s="3">
        <v>0</v>
      </c>
      <c r="S182" s="3">
        <v>1</v>
      </c>
      <c r="T182" s="3">
        <v>0</v>
      </c>
      <c r="U182" s="3">
        <v>2</v>
      </c>
      <c r="V182" s="3">
        <v>0</v>
      </c>
      <c r="W182" s="3">
        <v>0</v>
      </c>
      <c r="X182" s="3">
        <v>1</v>
      </c>
      <c r="Y182" s="3"/>
      <c r="Z182" s="3"/>
      <c r="AA182" s="3"/>
      <c r="AB182" s="3"/>
      <c r="AC182" s="36">
        <f t="shared" si="41"/>
        <v>6</v>
      </c>
    </row>
    <row r="183" spans="2:29" x14ac:dyDescent="0.25">
      <c r="B183" s="41" t="s">
        <v>12</v>
      </c>
      <c r="C183" s="41"/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1</v>
      </c>
      <c r="J183" s="3">
        <v>0</v>
      </c>
      <c r="K183" s="3">
        <v>0</v>
      </c>
      <c r="L183" s="3">
        <v>2</v>
      </c>
      <c r="M183" s="3">
        <v>1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1</v>
      </c>
      <c r="T183" s="3">
        <v>1</v>
      </c>
      <c r="U183" s="3">
        <v>0</v>
      </c>
      <c r="V183" s="3">
        <v>1</v>
      </c>
      <c r="W183" s="3">
        <v>0</v>
      </c>
      <c r="X183" s="3">
        <v>1</v>
      </c>
      <c r="Y183" s="3"/>
      <c r="Z183" s="3"/>
      <c r="AA183" s="3"/>
      <c r="AB183" s="3"/>
      <c r="AC183" s="36">
        <f t="shared" si="41"/>
        <v>8</v>
      </c>
    </row>
    <row r="184" spans="2:29" x14ac:dyDescent="0.25">
      <c r="B184" s="41" t="s">
        <v>21</v>
      </c>
      <c r="C184" s="41"/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>
        <v>0</v>
      </c>
      <c r="J184" s="3">
        <v>0</v>
      </c>
      <c r="K184" s="3">
        <v>0</v>
      </c>
      <c r="L184" s="3">
        <v>0</v>
      </c>
      <c r="M184" s="3">
        <v>1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1</v>
      </c>
      <c r="T184" s="3">
        <v>1</v>
      </c>
      <c r="U184" s="3">
        <v>0</v>
      </c>
      <c r="V184" s="3">
        <v>0</v>
      </c>
      <c r="W184" s="3">
        <v>0</v>
      </c>
      <c r="X184" s="3">
        <v>0</v>
      </c>
      <c r="Y184" s="3"/>
      <c r="Z184" s="3"/>
      <c r="AA184" s="3"/>
      <c r="AB184" s="3"/>
      <c r="AC184" s="36">
        <f t="shared" si="41"/>
        <v>4</v>
      </c>
    </row>
    <row r="185" spans="2:29" x14ac:dyDescent="0.25">
      <c r="B185" s="41" t="s">
        <v>10</v>
      </c>
      <c r="C185" s="41"/>
      <c r="D185" s="3">
        <v>3</v>
      </c>
      <c r="E185" s="3">
        <v>0</v>
      </c>
      <c r="F185" s="3">
        <v>0</v>
      </c>
      <c r="G185" s="3">
        <v>0</v>
      </c>
      <c r="H185" s="3">
        <v>0</v>
      </c>
      <c r="I185" s="3">
        <v>1</v>
      </c>
      <c r="J185" s="3">
        <v>0</v>
      </c>
      <c r="K185" s="3">
        <v>2</v>
      </c>
      <c r="L185" s="3">
        <v>1</v>
      </c>
      <c r="M185" s="3">
        <v>2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1</v>
      </c>
      <c r="Y185" s="3"/>
      <c r="Z185" s="3"/>
      <c r="AA185" s="3"/>
      <c r="AB185" s="3"/>
      <c r="AC185" s="36">
        <f t="shared" si="41"/>
        <v>10</v>
      </c>
    </row>
    <row r="186" spans="2:29" x14ac:dyDescent="0.25">
      <c r="B186" s="41" t="s">
        <v>11</v>
      </c>
      <c r="C186" s="41"/>
      <c r="D186" s="3">
        <v>0</v>
      </c>
      <c r="E186" s="3">
        <v>2</v>
      </c>
      <c r="F186" s="3">
        <v>1</v>
      </c>
      <c r="G186" s="3">
        <v>0</v>
      </c>
      <c r="H186" s="3">
        <v>0</v>
      </c>
      <c r="I186" s="3">
        <v>1</v>
      </c>
      <c r="J186" s="3">
        <v>2</v>
      </c>
      <c r="K186" s="3">
        <v>0</v>
      </c>
      <c r="L186" s="3">
        <v>0</v>
      </c>
      <c r="M186" s="3">
        <v>2</v>
      </c>
      <c r="N186" s="3">
        <v>2</v>
      </c>
      <c r="O186" s="3">
        <v>0</v>
      </c>
      <c r="P186" s="3">
        <v>0</v>
      </c>
      <c r="Q186" s="3">
        <v>2</v>
      </c>
      <c r="R186" s="3">
        <v>0</v>
      </c>
      <c r="S186" s="3">
        <v>1</v>
      </c>
      <c r="T186" s="3">
        <v>1</v>
      </c>
      <c r="U186" s="3">
        <v>1</v>
      </c>
      <c r="V186" s="3">
        <v>1</v>
      </c>
      <c r="W186" s="3">
        <v>2</v>
      </c>
      <c r="X186" s="3">
        <v>0</v>
      </c>
      <c r="Y186" s="3"/>
      <c r="Z186" s="3"/>
      <c r="AA186" s="3"/>
      <c r="AB186" s="3"/>
      <c r="AC186" s="36">
        <f t="shared" si="41"/>
        <v>18</v>
      </c>
    </row>
    <row r="187" spans="2:29" x14ac:dyDescent="0.25">
      <c r="B187" s="41" t="s">
        <v>13</v>
      </c>
      <c r="C187" s="41"/>
      <c r="D187" s="3">
        <v>0</v>
      </c>
      <c r="E187" s="3">
        <v>0</v>
      </c>
      <c r="F187" s="3">
        <v>0</v>
      </c>
      <c r="G187" s="3">
        <v>1</v>
      </c>
      <c r="H187" s="3">
        <v>0</v>
      </c>
      <c r="I187" s="3">
        <v>0</v>
      </c>
      <c r="J187" s="3">
        <v>0</v>
      </c>
      <c r="K187" s="3">
        <v>0</v>
      </c>
      <c r="L187" s="3">
        <v>1</v>
      </c>
      <c r="M187" s="3">
        <v>0</v>
      </c>
      <c r="N187" s="3">
        <v>1</v>
      </c>
      <c r="O187" s="3">
        <v>1</v>
      </c>
      <c r="P187" s="3">
        <v>2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1</v>
      </c>
      <c r="Y187" s="3"/>
      <c r="Z187" s="3"/>
      <c r="AA187" s="3"/>
      <c r="AB187" s="3"/>
      <c r="AC187" s="36">
        <f t="shared" si="41"/>
        <v>7</v>
      </c>
    </row>
    <row r="188" spans="2:29" x14ac:dyDescent="0.25">
      <c r="B188" s="41" t="s">
        <v>28</v>
      </c>
      <c r="C188" s="41"/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1</v>
      </c>
      <c r="U188" s="3">
        <v>1</v>
      </c>
      <c r="V188" s="3">
        <v>1</v>
      </c>
      <c r="W188" s="3">
        <v>0</v>
      </c>
      <c r="X188" s="3">
        <v>0</v>
      </c>
      <c r="Y188" s="3"/>
      <c r="Z188" s="3"/>
      <c r="AA188" s="3"/>
      <c r="AB188" s="3"/>
      <c r="AC188" s="36">
        <f t="shared" si="41"/>
        <v>4</v>
      </c>
    </row>
    <row r="189" spans="2:29" x14ac:dyDescent="0.25">
      <c r="B189" s="41" t="s">
        <v>29</v>
      </c>
      <c r="C189" s="41"/>
      <c r="D189" s="3">
        <v>0</v>
      </c>
      <c r="E189" s="3">
        <v>1</v>
      </c>
      <c r="F189" s="3">
        <v>0</v>
      </c>
      <c r="G189" s="3">
        <v>0</v>
      </c>
      <c r="H189" s="3">
        <v>1</v>
      </c>
      <c r="I189" s="3">
        <v>1</v>
      </c>
      <c r="J189" s="3">
        <v>1</v>
      </c>
      <c r="K189" s="3">
        <v>2</v>
      </c>
      <c r="L189" s="3">
        <v>1</v>
      </c>
      <c r="M189" s="3">
        <v>2</v>
      </c>
      <c r="N189" s="3">
        <v>1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1</v>
      </c>
      <c r="U189" s="3">
        <v>0</v>
      </c>
      <c r="V189" s="3">
        <v>0</v>
      </c>
      <c r="W189" s="3">
        <v>0</v>
      </c>
      <c r="X189" s="3">
        <v>0</v>
      </c>
      <c r="Y189" s="3"/>
      <c r="Z189" s="3"/>
      <c r="AA189" s="3"/>
      <c r="AB189" s="3"/>
      <c r="AC189" s="36">
        <f t="shared" si="41"/>
        <v>11</v>
      </c>
    </row>
    <row r="190" spans="2:29" x14ac:dyDescent="0.25">
      <c r="B190" s="41" t="s">
        <v>14</v>
      </c>
      <c r="C190" s="41"/>
      <c r="D190" s="3">
        <v>1</v>
      </c>
      <c r="E190" s="3">
        <v>0</v>
      </c>
      <c r="F190" s="3">
        <v>0</v>
      </c>
      <c r="G190" s="3">
        <v>0</v>
      </c>
      <c r="H190" s="3">
        <v>1</v>
      </c>
      <c r="I190" s="3">
        <v>1</v>
      </c>
      <c r="J190" s="3">
        <v>2</v>
      </c>
      <c r="K190" s="3">
        <v>0</v>
      </c>
      <c r="L190" s="3">
        <v>2</v>
      </c>
      <c r="M190" s="3">
        <v>3</v>
      </c>
      <c r="N190" s="3">
        <v>2</v>
      </c>
      <c r="O190" s="3">
        <v>0</v>
      </c>
      <c r="P190" s="3">
        <v>0</v>
      </c>
      <c r="Q190" s="3">
        <v>1</v>
      </c>
      <c r="R190" s="3">
        <v>0</v>
      </c>
      <c r="S190" s="3">
        <v>1</v>
      </c>
      <c r="T190" s="3">
        <v>0</v>
      </c>
      <c r="U190" s="3">
        <v>0</v>
      </c>
      <c r="V190" s="3">
        <v>0</v>
      </c>
      <c r="W190" s="3">
        <v>2</v>
      </c>
      <c r="X190" s="3">
        <v>0</v>
      </c>
      <c r="Y190" s="3"/>
      <c r="Z190" s="3"/>
      <c r="AA190" s="3"/>
      <c r="AB190" s="3"/>
      <c r="AC190" s="36">
        <f t="shared" si="41"/>
        <v>16</v>
      </c>
    </row>
    <row r="191" spans="2:29" x14ac:dyDescent="0.25">
      <c r="B191" s="41" t="s">
        <v>15</v>
      </c>
      <c r="C191" s="41"/>
      <c r="D191" s="3">
        <v>5</v>
      </c>
      <c r="E191" s="3">
        <v>2</v>
      </c>
      <c r="F191" s="3">
        <v>1</v>
      </c>
      <c r="G191" s="3">
        <v>1</v>
      </c>
      <c r="H191" s="3">
        <v>2</v>
      </c>
      <c r="I191" s="3">
        <v>1</v>
      </c>
      <c r="J191" s="3">
        <v>1</v>
      </c>
      <c r="K191" s="3">
        <v>1</v>
      </c>
      <c r="L191" s="3">
        <v>0</v>
      </c>
      <c r="M191" s="3">
        <v>1</v>
      </c>
      <c r="N191" s="3">
        <v>1</v>
      </c>
      <c r="O191" s="3">
        <v>1</v>
      </c>
      <c r="P191" s="3">
        <v>1</v>
      </c>
      <c r="Q191" s="3">
        <v>0</v>
      </c>
      <c r="R191" s="3">
        <v>0</v>
      </c>
      <c r="S191" s="3">
        <v>1</v>
      </c>
      <c r="T191" s="3">
        <v>0</v>
      </c>
      <c r="U191" s="3">
        <v>2</v>
      </c>
      <c r="V191" s="3">
        <v>26</v>
      </c>
      <c r="W191" s="3">
        <v>24</v>
      </c>
      <c r="X191" s="3">
        <v>4</v>
      </c>
      <c r="Y191" s="3"/>
      <c r="Z191" s="3"/>
      <c r="AA191" s="3"/>
      <c r="AB191" s="3"/>
      <c r="AC191" s="36">
        <f t="shared" si="41"/>
        <v>75</v>
      </c>
    </row>
    <row r="192" spans="2:29" x14ac:dyDescent="0.25">
      <c r="B192" s="41" t="s">
        <v>16</v>
      </c>
      <c r="C192" s="41"/>
      <c r="D192" s="3">
        <v>1</v>
      </c>
      <c r="E192" s="3">
        <v>0</v>
      </c>
      <c r="F192" s="3">
        <v>0</v>
      </c>
      <c r="G192" s="3">
        <v>1</v>
      </c>
      <c r="H192" s="3">
        <v>2</v>
      </c>
      <c r="I192" s="3">
        <v>0</v>
      </c>
      <c r="J192" s="3">
        <v>0</v>
      </c>
      <c r="K192" s="3">
        <v>0</v>
      </c>
      <c r="L192" s="3">
        <v>2</v>
      </c>
      <c r="M192" s="3">
        <v>2</v>
      </c>
      <c r="N192" s="3">
        <v>2</v>
      </c>
      <c r="O192" s="3">
        <v>2</v>
      </c>
      <c r="P192" s="3">
        <v>1</v>
      </c>
      <c r="Q192" s="3">
        <v>2</v>
      </c>
      <c r="R192" s="3">
        <v>0</v>
      </c>
      <c r="S192" s="3">
        <v>2</v>
      </c>
      <c r="T192" s="3">
        <v>1</v>
      </c>
      <c r="U192" s="3">
        <v>0</v>
      </c>
      <c r="V192" s="3">
        <v>0</v>
      </c>
      <c r="W192" s="3">
        <v>0</v>
      </c>
      <c r="X192" s="3">
        <v>1</v>
      </c>
      <c r="Y192" s="3"/>
      <c r="Z192" s="3"/>
      <c r="AA192" s="3"/>
      <c r="AB192" s="3"/>
      <c r="AC192" s="36">
        <f t="shared" si="41"/>
        <v>19</v>
      </c>
    </row>
    <row r="193" spans="2:29" x14ac:dyDescent="0.25">
      <c r="B193" s="41" t="s">
        <v>17</v>
      </c>
      <c r="C193" s="41"/>
      <c r="D193" s="3">
        <v>2</v>
      </c>
      <c r="E193" s="3">
        <v>0</v>
      </c>
      <c r="F193" s="3">
        <v>1</v>
      </c>
      <c r="G193" s="3">
        <v>0</v>
      </c>
      <c r="H193" s="3">
        <v>0</v>
      </c>
      <c r="I193" s="3">
        <v>3</v>
      </c>
      <c r="J193" s="3">
        <v>1</v>
      </c>
      <c r="K193" s="3">
        <v>2</v>
      </c>
      <c r="L193" s="3">
        <v>0</v>
      </c>
      <c r="M193" s="3">
        <v>2</v>
      </c>
      <c r="N193" s="3">
        <v>0</v>
      </c>
      <c r="O193" s="3">
        <v>2</v>
      </c>
      <c r="P193" s="3">
        <v>4</v>
      </c>
      <c r="Q193" s="3">
        <v>1</v>
      </c>
      <c r="R193" s="3">
        <v>0</v>
      </c>
      <c r="S193" s="3">
        <v>2</v>
      </c>
      <c r="T193" s="3">
        <v>3</v>
      </c>
      <c r="U193" s="3">
        <v>0</v>
      </c>
      <c r="V193" s="3">
        <v>1</v>
      </c>
      <c r="W193" s="3">
        <v>6</v>
      </c>
      <c r="X193" s="3">
        <v>2</v>
      </c>
      <c r="Y193" s="3"/>
      <c r="Z193" s="3"/>
      <c r="AA193" s="3"/>
      <c r="AB193" s="3"/>
      <c r="AC193" s="36">
        <f t="shared" si="41"/>
        <v>32</v>
      </c>
    </row>
    <row r="194" spans="2:29" x14ac:dyDescent="0.25">
      <c r="B194" s="9" t="s">
        <v>27</v>
      </c>
      <c r="C194" s="2"/>
      <c r="D194" s="4">
        <f>D174+D175+D176+D177+D178+D179+D180+D181+D182+D183+D184+D185+D186+D187+D188+D189+D190+D191+D192+D193</f>
        <v>23</v>
      </c>
      <c r="E194" s="4">
        <f t="shared" ref="E194:I194" si="42">E174+E175+E176+E177+E178+E179+E180+E181+E182+E183+E184+E185+E186+E187+E188+E189+E190+E191+E192+E193</f>
        <v>7</v>
      </c>
      <c r="F194" s="4">
        <f t="shared" si="42"/>
        <v>4</v>
      </c>
      <c r="G194" s="4">
        <f t="shared" si="42"/>
        <v>6</v>
      </c>
      <c r="H194" s="4">
        <f t="shared" si="42"/>
        <v>14</v>
      </c>
      <c r="I194" s="4">
        <f t="shared" si="42"/>
        <v>17</v>
      </c>
      <c r="J194" s="4">
        <f t="shared" ref="J194:X194" si="43">J174+J175+J176+J177+J178+J179+J180+J181+J182+J183+J184+J185+J186+J187+J188+J189+J190+J191+J192+J193</f>
        <v>12</v>
      </c>
      <c r="K194" s="4">
        <f t="shared" si="43"/>
        <v>13</v>
      </c>
      <c r="L194" s="4">
        <f t="shared" si="43"/>
        <v>13</v>
      </c>
      <c r="M194" s="4">
        <f t="shared" si="43"/>
        <v>20</v>
      </c>
      <c r="N194" s="4">
        <f t="shared" si="43"/>
        <v>16</v>
      </c>
      <c r="O194" s="2">
        <f t="shared" si="43"/>
        <v>15</v>
      </c>
      <c r="P194" s="2">
        <f t="shared" si="43"/>
        <v>13</v>
      </c>
      <c r="Q194" s="2">
        <f t="shared" si="43"/>
        <v>13</v>
      </c>
      <c r="R194" s="2">
        <f t="shared" si="43"/>
        <v>0</v>
      </c>
      <c r="S194" s="2">
        <f t="shared" si="43"/>
        <v>21</v>
      </c>
      <c r="T194" s="2">
        <f t="shared" si="43"/>
        <v>11</v>
      </c>
      <c r="U194" s="2">
        <f t="shared" si="43"/>
        <v>10</v>
      </c>
      <c r="V194" s="2">
        <f t="shared" si="43"/>
        <v>35</v>
      </c>
      <c r="W194" s="2">
        <f t="shared" si="43"/>
        <v>35</v>
      </c>
      <c r="X194" s="2">
        <f t="shared" si="43"/>
        <v>18</v>
      </c>
      <c r="Y194" s="2"/>
      <c r="Z194" s="2"/>
      <c r="AA194" s="3"/>
      <c r="AB194" s="3"/>
      <c r="AC194" s="36">
        <f>AC174+AC175+AC176+AC177+AC178+AC179+AC180+AC181+AC182+AC183+AC184+AC185+AC186+AC187+AC188+AC189+AC190+AC191+AC192+AC193</f>
        <v>316</v>
      </c>
    </row>
    <row r="196" spans="2:29" x14ac:dyDescent="0.25">
      <c r="B196" s="64" t="s">
        <v>24</v>
      </c>
      <c r="C196" s="64"/>
      <c r="D196" s="43" t="s">
        <v>46</v>
      </c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 spans="2:29" x14ac:dyDescent="0.25">
      <c r="B197" s="64" t="s">
        <v>23</v>
      </c>
      <c r="C197" s="64"/>
      <c r="D197" s="2" t="s">
        <v>0</v>
      </c>
      <c r="E197" s="4" t="s">
        <v>1</v>
      </c>
      <c r="F197" s="4" t="s">
        <v>1</v>
      </c>
      <c r="G197" s="4" t="s">
        <v>2</v>
      </c>
      <c r="H197" s="4" t="s">
        <v>3</v>
      </c>
      <c r="I197" s="2" t="s">
        <v>0</v>
      </c>
      <c r="J197" s="4" t="s">
        <v>1</v>
      </c>
      <c r="K197" s="4" t="s">
        <v>1</v>
      </c>
      <c r="L197" s="4" t="s">
        <v>2</v>
      </c>
      <c r="M197" s="4" t="s">
        <v>3</v>
      </c>
      <c r="N197" s="2" t="s">
        <v>0</v>
      </c>
      <c r="O197" s="4" t="s">
        <v>1</v>
      </c>
      <c r="P197" s="4" t="s">
        <v>1</v>
      </c>
      <c r="Q197" s="4" t="s">
        <v>2</v>
      </c>
      <c r="R197" s="4" t="s">
        <v>3</v>
      </c>
      <c r="S197" s="2" t="s">
        <v>0</v>
      </c>
      <c r="T197" s="4" t="s">
        <v>1</v>
      </c>
      <c r="U197" s="4" t="s">
        <v>1</v>
      </c>
      <c r="V197" s="4" t="s">
        <v>2</v>
      </c>
      <c r="W197" s="4" t="s">
        <v>3</v>
      </c>
      <c r="X197" s="2" t="s">
        <v>0</v>
      </c>
      <c r="Y197" s="4" t="s">
        <v>1</v>
      </c>
      <c r="Z197" s="4" t="s">
        <v>1</v>
      </c>
      <c r="AA197" s="4" t="s">
        <v>2</v>
      </c>
      <c r="AB197" s="4" t="s">
        <v>3</v>
      </c>
      <c r="AC197" s="2" t="s">
        <v>27</v>
      </c>
    </row>
    <row r="198" spans="2:29" x14ac:dyDescent="0.25">
      <c r="B198" s="64" t="s">
        <v>22</v>
      </c>
      <c r="C198" s="64"/>
      <c r="D198" s="42"/>
      <c r="E198" s="42">
        <v>1</v>
      </c>
      <c r="F198" s="42">
        <v>2</v>
      </c>
      <c r="G198" s="42">
        <v>3</v>
      </c>
      <c r="H198" s="42">
        <v>4</v>
      </c>
      <c r="I198" s="46">
        <v>7</v>
      </c>
      <c r="J198" s="46">
        <v>8</v>
      </c>
      <c r="K198" s="46">
        <v>9</v>
      </c>
      <c r="L198" s="46">
        <v>10</v>
      </c>
      <c r="M198" s="46">
        <v>11</v>
      </c>
      <c r="N198" s="42">
        <v>14</v>
      </c>
      <c r="O198" s="42">
        <v>15</v>
      </c>
      <c r="P198" s="42">
        <v>16</v>
      </c>
      <c r="Q198" s="42">
        <v>17</v>
      </c>
      <c r="R198" s="42">
        <v>18</v>
      </c>
      <c r="S198" s="42">
        <v>21</v>
      </c>
      <c r="T198" s="42">
        <v>22</v>
      </c>
      <c r="U198" s="42">
        <v>23</v>
      </c>
      <c r="V198" s="42">
        <v>24</v>
      </c>
      <c r="W198" s="42">
        <v>25</v>
      </c>
      <c r="X198" s="42">
        <v>28</v>
      </c>
      <c r="Y198" s="42">
        <v>29</v>
      </c>
      <c r="Z198" s="42">
        <v>30</v>
      </c>
      <c r="AA198" s="42">
        <v>31</v>
      </c>
      <c r="AB198" s="42"/>
      <c r="AC198" s="62"/>
    </row>
    <row r="199" spans="2:29" x14ac:dyDescent="0.25">
      <c r="B199" s="65" t="s">
        <v>25</v>
      </c>
      <c r="C199" s="45"/>
      <c r="D199" s="42"/>
      <c r="E199" s="42"/>
      <c r="F199" s="42"/>
      <c r="G199" s="42"/>
      <c r="H199" s="42"/>
      <c r="I199" s="46"/>
      <c r="J199" s="46"/>
      <c r="K199" s="46"/>
      <c r="L199" s="46"/>
      <c r="M199" s="46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63"/>
    </row>
    <row r="200" spans="2:29" x14ac:dyDescent="0.25">
      <c r="B200" s="45" t="s">
        <v>4</v>
      </c>
      <c r="C200" s="45"/>
      <c r="D200" s="3"/>
      <c r="E200" s="3">
        <v>0</v>
      </c>
      <c r="F200" s="3">
        <v>0</v>
      </c>
      <c r="G200" s="3">
        <v>0</v>
      </c>
      <c r="H200" s="3">
        <v>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2</v>
      </c>
      <c r="O200" s="3">
        <v>1</v>
      </c>
      <c r="P200" s="3">
        <v>0</v>
      </c>
      <c r="Q200" s="3">
        <v>0</v>
      </c>
      <c r="R200" s="3">
        <v>1</v>
      </c>
      <c r="S200" s="3">
        <v>1</v>
      </c>
      <c r="T200" s="3">
        <v>1</v>
      </c>
      <c r="U200" s="7">
        <v>0</v>
      </c>
      <c r="V200" s="3">
        <v>1</v>
      </c>
      <c r="W200" s="3">
        <v>0</v>
      </c>
      <c r="X200" s="3">
        <v>1</v>
      </c>
      <c r="Y200" s="3">
        <v>0</v>
      </c>
      <c r="Z200" s="3">
        <v>1</v>
      </c>
      <c r="AA200" s="3">
        <v>0</v>
      </c>
      <c r="AB200" s="3"/>
      <c r="AC200" s="36">
        <f>D200+E200+F200+G200+H200+I200+J200+K200+L200+M200+N200+O200+P200+Q200+R200+S200+T200+V200+U200+W200+X200+Y200+Z200+AA200+AB200</f>
        <v>10</v>
      </c>
    </row>
    <row r="201" spans="2:29" x14ac:dyDescent="0.25">
      <c r="B201" s="41" t="s">
        <v>7</v>
      </c>
      <c r="C201" s="41"/>
      <c r="D201" s="3"/>
      <c r="E201" s="3">
        <v>0</v>
      </c>
      <c r="F201" s="3">
        <v>0</v>
      </c>
      <c r="G201" s="3">
        <v>2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1</v>
      </c>
      <c r="O201" s="3">
        <v>0</v>
      </c>
      <c r="P201" s="3">
        <v>0</v>
      </c>
      <c r="Q201" s="3">
        <v>0</v>
      </c>
      <c r="R201" s="3">
        <v>0</v>
      </c>
      <c r="S201" s="3">
        <v>1</v>
      </c>
      <c r="T201" s="3">
        <v>0</v>
      </c>
      <c r="U201" s="7">
        <v>1</v>
      </c>
      <c r="V201" s="3">
        <v>1</v>
      </c>
      <c r="W201" s="3">
        <v>0</v>
      </c>
      <c r="X201" s="3">
        <v>0</v>
      </c>
      <c r="Y201" s="3">
        <v>0</v>
      </c>
      <c r="Z201" s="3">
        <v>0</v>
      </c>
      <c r="AA201" s="3">
        <v>2</v>
      </c>
      <c r="AB201" s="3"/>
      <c r="AC201" s="36">
        <f t="shared" ref="AC201:AC219" si="44">D201+E201+F201+G201+H201+I201+J201+K201+L201+M201+N201+O201+P201+Q201+R201+S201+T201+V201+U201+W201+X201+Y201+Z201+AA201+AB201</f>
        <v>8</v>
      </c>
    </row>
    <row r="202" spans="2:29" x14ac:dyDescent="0.25">
      <c r="B202" s="41" t="s">
        <v>5</v>
      </c>
      <c r="C202" s="41"/>
      <c r="D202" s="3"/>
      <c r="E202" s="3">
        <v>1</v>
      </c>
      <c r="F202" s="3">
        <v>1</v>
      </c>
      <c r="G202" s="3">
        <v>1</v>
      </c>
      <c r="H202" s="3">
        <v>2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2</v>
      </c>
      <c r="Q202" s="3">
        <v>0</v>
      </c>
      <c r="R202" s="3">
        <v>0</v>
      </c>
      <c r="S202" s="3">
        <v>0</v>
      </c>
      <c r="T202" s="3">
        <v>0</v>
      </c>
      <c r="U202" s="7">
        <v>0</v>
      </c>
      <c r="V202" s="3">
        <v>0</v>
      </c>
      <c r="W202" s="3">
        <v>1</v>
      </c>
      <c r="X202" s="3">
        <v>2</v>
      </c>
      <c r="Y202" s="3">
        <v>1</v>
      </c>
      <c r="Z202" s="3">
        <v>2</v>
      </c>
      <c r="AA202" s="3">
        <v>0</v>
      </c>
      <c r="AB202" s="3"/>
      <c r="AC202" s="36">
        <f t="shared" si="44"/>
        <v>13</v>
      </c>
    </row>
    <row r="203" spans="2:29" x14ac:dyDescent="0.25">
      <c r="B203" s="41" t="s">
        <v>6</v>
      </c>
      <c r="C203" s="41"/>
      <c r="D203" s="3"/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2</v>
      </c>
      <c r="O203" s="3">
        <v>1</v>
      </c>
      <c r="P203" s="3">
        <v>0</v>
      </c>
      <c r="Q203" s="3">
        <v>1</v>
      </c>
      <c r="R203" s="3">
        <v>1</v>
      </c>
      <c r="S203" s="3">
        <v>2</v>
      </c>
      <c r="T203" s="3">
        <v>0</v>
      </c>
      <c r="U203" s="7">
        <v>1</v>
      </c>
      <c r="V203" s="3">
        <v>1</v>
      </c>
      <c r="W203" s="3">
        <v>0</v>
      </c>
      <c r="X203" s="3">
        <v>3</v>
      </c>
      <c r="Y203" s="3">
        <v>0</v>
      </c>
      <c r="Z203" s="3">
        <v>1</v>
      </c>
      <c r="AA203" s="3">
        <v>0</v>
      </c>
      <c r="AB203" s="3"/>
      <c r="AC203" s="36">
        <f t="shared" si="44"/>
        <v>13</v>
      </c>
    </row>
    <row r="204" spans="2:29" x14ac:dyDescent="0.25">
      <c r="B204" s="41" t="s">
        <v>8</v>
      </c>
      <c r="C204" s="41"/>
      <c r="D204" s="3"/>
      <c r="E204" s="3">
        <v>1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1</v>
      </c>
      <c r="O204" s="3">
        <v>1</v>
      </c>
      <c r="P204" s="3">
        <v>0</v>
      </c>
      <c r="Q204" s="3">
        <v>2</v>
      </c>
      <c r="R204" s="3">
        <v>1</v>
      </c>
      <c r="S204" s="3">
        <v>0</v>
      </c>
      <c r="T204" s="3">
        <v>1</v>
      </c>
      <c r="U204" s="3">
        <v>1</v>
      </c>
      <c r="V204" s="3">
        <v>0</v>
      </c>
      <c r="W204" s="3">
        <v>0</v>
      </c>
      <c r="X204" s="3">
        <v>1</v>
      </c>
      <c r="Y204" s="3">
        <v>1</v>
      </c>
      <c r="Z204" s="3">
        <v>1</v>
      </c>
      <c r="AA204" s="3">
        <v>2</v>
      </c>
      <c r="AB204" s="3"/>
      <c r="AC204" s="36">
        <f t="shared" si="44"/>
        <v>13</v>
      </c>
    </row>
    <row r="205" spans="2:29" x14ac:dyDescent="0.25">
      <c r="B205" s="41" t="s">
        <v>9</v>
      </c>
      <c r="C205" s="41"/>
      <c r="D205" s="3"/>
      <c r="E205" s="3">
        <v>1</v>
      </c>
      <c r="F205" s="3">
        <v>0</v>
      </c>
      <c r="G205" s="3">
        <v>3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2</v>
      </c>
      <c r="O205" s="3">
        <v>0</v>
      </c>
      <c r="P205" s="3">
        <v>0</v>
      </c>
      <c r="Q205" s="3">
        <v>1</v>
      </c>
      <c r="R205" s="3">
        <v>1</v>
      </c>
      <c r="S205" s="3">
        <v>3</v>
      </c>
      <c r="T205" s="3">
        <v>1</v>
      </c>
      <c r="U205" s="3">
        <v>1</v>
      </c>
      <c r="V205" s="3">
        <v>0</v>
      </c>
      <c r="W205" s="3">
        <v>0</v>
      </c>
      <c r="X205" s="3">
        <v>0</v>
      </c>
      <c r="Y205" s="3">
        <v>0</v>
      </c>
      <c r="Z205" s="3">
        <v>2</v>
      </c>
      <c r="AA205" s="3">
        <v>1</v>
      </c>
      <c r="AB205" s="3"/>
      <c r="AC205" s="36">
        <f t="shared" si="44"/>
        <v>16</v>
      </c>
    </row>
    <row r="206" spans="2:29" x14ac:dyDescent="0.25">
      <c r="B206" s="41" t="s">
        <v>18</v>
      </c>
      <c r="C206" s="41"/>
      <c r="D206" s="3"/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1</v>
      </c>
      <c r="R206" s="3">
        <v>0</v>
      </c>
      <c r="S206" s="3">
        <v>0</v>
      </c>
      <c r="T206" s="3">
        <v>0</v>
      </c>
      <c r="U206" s="3">
        <v>1</v>
      </c>
      <c r="V206" s="3">
        <v>0</v>
      </c>
      <c r="W206" s="3">
        <v>0</v>
      </c>
      <c r="X206" s="3">
        <v>1</v>
      </c>
      <c r="Y206" s="3">
        <v>0</v>
      </c>
      <c r="Z206" s="3">
        <v>0</v>
      </c>
      <c r="AA206" s="3">
        <v>0</v>
      </c>
      <c r="AB206" s="3"/>
      <c r="AC206" s="36">
        <f t="shared" si="44"/>
        <v>3</v>
      </c>
    </row>
    <row r="207" spans="2:29" x14ac:dyDescent="0.25">
      <c r="B207" s="41" t="s">
        <v>19</v>
      </c>
      <c r="C207" s="41"/>
      <c r="D207" s="3"/>
      <c r="E207" s="3">
        <v>1</v>
      </c>
      <c r="F207" s="3">
        <v>1</v>
      </c>
      <c r="G207" s="3">
        <v>1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1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1</v>
      </c>
      <c r="V207" s="3">
        <v>2</v>
      </c>
      <c r="W207" s="3">
        <v>1</v>
      </c>
      <c r="X207" s="3">
        <v>1</v>
      </c>
      <c r="Y207" s="3">
        <v>0</v>
      </c>
      <c r="Z207" s="3">
        <v>0</v>
      </c>
      <c r="AA207" s="3">
        <v>0</v>
      </c>
      <c r="AB207" s="3"/>
      <c r="AC207" s="36">
        <f t="shared" si="44"/>
        <v>9</v>
      </c>
    </row>
    <row r="208" spans="2:29" x14ac:dyDescent="0.25">
      <c r="B208" s="41" t="s">
        <v>20</v>
      </c>
      <c r="C208" s="41"/>
      <c r="D208" s="3"/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1</v>
      </c>
      <c r="O208" s="3">
        <v>1</v>
      </c>
      <c r="P208" s="3">
        <v>0</v>
      </c>
      <c r="Q208" s="3">
        <v>0</v>
      </c>
      <c r="R208" s="3">
        <v>0</v>
      </c>
      <c r="S208" s="3">
        <v>2</v>
      </c>
      <c r="T208" s="3">
        <v>0</v>
      </c>
      <c r="U208" s="3">
        <v>1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/>
      <c r="AC208" s="36">
        <f t="shared" si="44"/>
        <v>5</v>
      </c>
    </row>
    <row r="209" spans="2:29" x14ac:dyDescent="0.25">
      <c r="B209" s="41" t="s">
        <v>12</v>
      </c>
      <c r="C209" s="41"/>
      <c r="D209" s="3"/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1</v>
      </c>
      <c r="S209" s="3">
        <v>1</v>
      </c>
      <c r="T209" s="3">
        <v>0</v>
      </c>
      <c r="U209" s="3">
        <v>0</v>
      </c>
      <c r="V209" s="3">
        <v>0</v>
      </c>
      <c r="W209" s="3">
        <v>1</v>
      </c>
      <c r="X209" s="3">
        <v>0</v>
      </c>
      <c r="Y209" s="3">
        <v>0</v>
      </c>
      <c r="Z209" s="3">
        <v>0</v>
      </c>
      <c r="AA209" s="3">
        <v>2</v>
      </c>
      <c r="AB209" s="3"/>
      <c r="AC209" s="36">
        <f t="shared" si="44"/>
        <v>5</v>
      </c>
    </row>
    <row r="210" spans="2:29" x14ac:dyDescent="0.25">
      <c r="B210" s="41" t="s">
        <v>21</v>
      </c>
      <c r="C210" s="41"/>
      <c r="D210" s="3"/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1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/>
      <c r="AC210" s="36">
        <f t="shared" si="44"/>
        <v>1</v>
      </c>
    </row>
    <row r="211" spans="2:29" x14ac:dyDescent="0.25">
      <c r="B211" s="41" t="s">
        <v>10</v>
      </c>
      <c r="C211" s="41"/>
      <c r="D211" s="3"/>
      <c r="E211" s="3">
        <v>2</v>
      </c>
      <c r="F211" s="3">
        <v>1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1</v>
      </c>
      <c r="O211" s="3">
        <v>0</v>
      </c>
      <c r="P211" s="3">
        <v>0</v>
      </c>
      <c r="Q211" s="3">
        <v>0</v>
      </c>
      <c r="R211" s="3">
        <v>0</v>
      </c>
      <c r="S211" s="3">
        <v>1</v>
      </c>
      <c r="T211" s="3">
        <v>0</v>
      </c>
      <c r="U211" s="3">
        <v>1</v>
      </c>
      <c r="V211" s="3">
        <v>0</v>
      </c>
      <c r="W211" s="3">
        <v>0</v>
      </c>
      <c r="X211" s="3">
        <v>0</v>
      </c>
      <c r="Y211" s="3">
        <v>1</v>
      </c>
      <c r="Z211" s="3">
        <v>1</v>
      </c>
      <c r="AA211" s="3">
        <v>2</v>
      </c>
      <c r="AB211" s="3"/>
      <c r="AC211" s="36">
        <f t="shared" si="44"/>
        <v>10</v>
      </c>
    </row>
    <row r="212" spans="2:29" x14ac:dyDescent="0.25">
      <c r="B212" s="41" t="s">
        <v>11</v>
      </c>
      <c r="C212" s="41"/>
      <c r="D212" s="3"/>
      <c r="E212" s="3">
        <v>0</v>
      </c>
      <c r="F212" s="3">
        <v>1</v>
      </c>
      <c r="G212" s="3">
        <v>1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1</v>
      </c>
      <c r="O212" s="3">
        <v>0</v>
      </c>
      <c r="P212" s="3">
        <v>0</v>
      </c>
      <c r="Q212" s="3">
        <v>0</v>
      </c>
      <c r="R212" s="3">
        <v>0</v>
      </c>
      <c r="S212" s="3">
        <v>2</v>
      </c>
      <c r="T212" s="3">
        <v>0</v>
      </c>
      <c r="U212" s="3">
        <v>1</v>
      </c>
      <c r="V212" s="3">
        <v>0</v>
      </c>
      <c r="W212" s="3">
        <v>0</v>
      </c>
      <c r="X212" s="3">
        <v>0</v>
      </c>
      <c r="Y212" s="3">
        <v>1</v>
      </c>
      <c r="Z212" s="3">
        <v>0</v>
      </c>
      <c r="AA212" s="3">
        <v>0</v>
      </c>
      <c r="AB212" s="3"/>
      <c r="AC212" s="36">
        <f t="shared" si="44"/>
        <v>7</v>
      </c>
    </row>
    <row r="213" spans="2:29" x14ac:dyDescent="0.25">
      <c r="B213" s="41" t="s">
        <v>13</v>
      </c>
      <c r="C213" s="41"/>
      <c r="D213" s="3"/>
      <c r="E213" s="3">
        <v>0</v>
      </c>
      <c r="F213" s="3">
        <v>0</v>
      </c>
      <c r="G213" s="3">
        <v>0</v>
      </c>
      <c r="H213" s="3">
        <v>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1</v>
      </c>
      <c r="O213" s="3">
        <v>2</v>
      </c>
      <c r="P213" s="3">
        <v>1</v>
      </c>
      <c r="Q213" s="3">
        <v>1</v>
      </c>
      <c r="R213" s="3">
        <v>0</v>
      </c>
      <c r="S213" s="3">
        <v>0</v>
      </c>
      <c r="T213" s="3">
        <v>2</v>
      </c>
      <c r="U213" s="3">
        <v>0</v>
      </c>
      <c r="V213" s="3">
        <v>0</v>
      </c>
      <c r="W213" s="3">
        <v>12</v>
      </c>
      <c r="X213" s="3">
        <v>0</v>
      </c>
      <c r="Y213" s="3">
        <v>0</v>
      </c>
      <c r="Z213" s="3">
        <v>0</v>
      </c>
      <c r="AA213" s="3">
        <v>0</v>
      </c>
      <c r="AB213" s="3"/>
      <c r="AC213" s="36">
        <f t="shared" si="44"/>
        <v>20</v>
      </c>
    </row>
    <row r="214" spans="2:29" x14ac:dyDescent="0.25">
      <c r="B214" s="41" t="s">
        <v>28</v>
      </c>
      <c r="C214" s="41"/>
      <c r="D214" s="3"/>
      <c r="E214" s="3">
        <v>0</v>
      </c>
      <c r="F214" s="3">
        <v>0</v>
      </c>
      <c r="G214" s="3">
        <v>1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1</v>
      </c>
      <c r="O214" s="3">
        <v>0</v>
      </c>
      <c r="P214" s="3">
        <v>0</v>
      </c>
      <c r="Q214" s="3">
        <v>1</v>
      </c>
      <c r="R214" s="3">
        <v>1</v>
      </c>
      <c r="S214" s="3">
        <v>0</v>
      </c>
      <c r="T214" s="3">
        <v>0</v>
      </c>
      <c r="U214" s="3">
        <v>0</v>
      </c>
      <c r="V214" s="3">
        <v>0</v>
      </c>
      <c r="W214" s="3">
        <v>2</v>
      </c>
      <c r="X214" s="3">
        <v>0</v>
      </c>
      <c r="Y214" s="3">
        <v>1</v>
      </c>
      <c r="Z214" s="3">
        <v>1</v>
      </c>
      <c r="AA214" s="3">
        <v>0</v>
      </c>
      <c r="AB214" s="3"/>
      <c r="AC214" s="36">
        <f t="shared" si="44"/>
        <v>9</v>
      </c>
    </row>
    <row r="215" spans="2:29" x14ac:dyDescent="0.25">
      <c r="B215" s="41" t="s">
        <v>29</v>
      </c>
      <c r="C215" s="41"/>
      <c r="D215" s="3"/>
      <c r="E215" s="3">
        <v>0</v>
      </c>
      <c r="F215" s="3">
        <v>0</v>
      </c>
      <c r="G215" s="3">
        <v>1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1</v>
      </c>
      <c r="S215" s="3">
        <v>0</v>
      </c>
      <c r="T215" s="3">
        <v>0</v>
      </c>
      <c r="U215" s="3">
        <v>2</v>
      </c>
      <c r="V215" s="3">
        <v>0</v>
      </c>
      <c r="W215" s="3">
        <v>1</v>
      </c>
      <c r="X215" s="3">
        <v>0</v>
      </c>
      <c r="Y215" s="3">
        <v>1</v>
      </c>
      <c r="Z215" s="3">
        <v>0</v>
      </c>
      <c r="AA215" s="3">
        <v>0</v>
      </c>
      <c r="AB215" s="3"/>
      <c r="AC215" s="36">
        <f t="shared" si="44"/>
        <v>6</v>
      </c>
    </row>
    <row r="216" spans="2:29" x14ac:dyDescent="0.25">
      <c r="B216" s="41" t="s">
        <v>14</v>
      </c>
      <c r="C216" s="41"/>
      <c r="D216" s="3"/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1</v>
      </c>
      <c r="S216" s="3">
        <v>4</v>
      </c>
      <c r="T216" s="3">
        <v>0</v>
      </c>
      <c r="U216" s="3">
        <v>0</v>
      </c>
      <c r="V216" s="3">
        <v>1</v>
      </c>
      <c r="W216" s="3">
        <v>3</v>
      </c>
      <c r="X216" s="3">
        <v>1</v>
      </c>
      <c r="Y216" s="3">
        <v>0</v>
      </c>
      <c r="Z216" s="3">
        <v>0</v>
      </c>
      <c r="AA216" s="3">
        <v>2</v>
      </c>
      <c r="AB216" s="3"/>
      <c r="AC216" s="36">
        <f t="shared" si="44"/>
        <v>12</v>
      </c>
    </row>
    <row r="217" spans="2:29" x14ac:dyDescent="0.25">
      <c r="B217" s="41" t="s">
        <v>15</v>
      </c>
      <c r="C217" s="41"/>
      <c r="D217" s="3"/>
      <c r="E217" s="3">
        <v>3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2</v>
      </c>
      <c r="O217" s="3">
        <v>0</v>
      </c>
      <c r="P217" s="3">
        <v>0</v>
      </c>
      <c r="Q217" s="3">
        <v>0</v>
      </c>
      <c r="R217" s="3">
        <v>0</v>
      </c>
      <c r="S217" s="3">
        <v>1</v>
      </c>
      <c r="T217" s="3">
        <v>0</v>
      </c>
      <c r="U217" s="3">
        <v>1</v>
      </c>
      <c r="V217" s="3">
        <v>0</v>
      </c>
      <c r="W217" s="3">
        <v>3</v>
      </c>
      <c r="X217" s="3">
        <v>1</v>
      </c>
      <c r="Y217" s="3">
        <v>1</v>
      </c>
      <c r="Z217" s="3">
        <v>1</v>
      </c>
      <c r="AA217" s="3">
        <v>0</v>
      </c>
      <c r="AB217" s="3"/>
      <c r="AC217" s="36">
        <f t="shared" si="44"/>
        <v>13</v>
      </c>
    </row>
    <row r="218" spans="2:29" x14ac:dyDescent="0.25">
      <c r="B218" s="41" t="s">
        <v>16</v>
      </c>
      <c r="C218" s="41"/>
      <c r="D218" s="3"/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3</v>
      </c>
      <c r="O218" s="3">
        <v>0</v>
      </c>
      <c r="P218" s="3">
        <v>0</v>
      </c>
      <c r="Q218" s="3">
        <v>0</v>
      </c>
      <c r="R218" s="3">
        <v>0</v>
      </c>
      <c r="S218" s="3">
        <v>1</v>
      </c>
      <c r="T218" s="3">
        <v>0</v>
      </c>
      <c r="U218" s="3">
        <v>0</v>
      </c>
      <c r="V218" s="3">
        <v>0</v>
      </c>
      <c r="W218" s="3">
        <v>5</v>
      </c>
      <c r="X218" s="3">
        <v>2</v>
      </c>
      <c r="Y218" s="3">
        <v>0</v>
      </c>
      <c r="Z218" s="3">
        <v>2</v>
      </c>
      <c r="AA218" s="3">
        <v>15</v>
      </c>
      <c r="AB218" s="3"/>
      <c r="AC218" s="36">
        <f t="shared" si="44"/>
        <v>28</v>
      </c>
    </row>
    <row r="219" spans="2:29" x14ac:dyDescent="0.25">
      <c r="B219" s="41" t="s">
        <v>17</v>
      </c>
      <c r="C219" s="41"/>
      <c r="D219" s="3"/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2</v>
      </c>
      <c r="V219" s="3">
        <v>1</v>
      </c>
      <c r="W219" s="3">
        <v>2</v>
      </c>
      <c r="X219" s="3">
        <v>2</v>
      </c>
      <c r="Y219" s="3">
        <v>1</v>
      </c>
      <c r="Z219" s="3">
        <v>17</v>
      </c>
      <c r="AA219" s="3">
        <v>17</v>
      </c>
      <c r="AB219" s="3"/>
      <c r="AC219" s="36">
        <f t="shared" si="44"/>
        <v>42</v>
      </c>
    </row>
    <row r="220" spans="2:29" x14ac:dyDescent="0.25">
      <c r="B220" s="9" t="s">
        <v>27</v>
      </c>
      <c r="C220" s="2"/>
      <c r="D220" s="2"/>
      <c r="E220" s="2">
        <f>E200+E201+E202+E203+E204+E205+E206+E207+E208+E209+E210+E211+E212+E213+E214+E215+E216+E217+E218+E219</f>
        <v>9</v>
      </c>
      <c r="F220" s="2">
        <f t="shared" ref="F220:Z220" si="45">F200+F201+F202+F203+F204+F205+F206+F207+F208+F209+F210+F211+F212+F213+F214+F215+F216+F217+F218+F219</f>
        <v>4</v>
      </c>
      <c r="G220" s="2">
        <f t="shared" si="45"/>
        <v>10</v>
      </c>
      <c r="H220" s="2">
        <f t="shared" si="45"/>
        <v>5</v>
      </c>
      <c r="I220" s="2">
        <f t="shared" si="45"/>
        <v>0</v>
      </c>
      <c r="J220" s="4">
        <f t="shared" si="45"/>
        <v>0</v>
      </c>
      <c r="K220" s="4">
        <f t="shared" si="45"/>
        <v>0</v>
      </c>
      <c r="L220" s="4">
        <f t="shared" si="45"/>
        <v>0</v>
      </c>
      <c r="M220" s="4">
        <f t="shared" si="45"/>
        <v>0</v>
      </c>
      <c r="N220" s="4">
        <f t="shared" si="45"/>
        <v>19</v>
      </c>
      <c r="O220" s="2">
        <f t="shared" si="45"/>
        <v>7</v>
      </c>
      <c r="P220" s="2">
        <f t="shared" si="45"/>
        <v>3</v>
      </c>
      <c r="Q220" s="2">
        <f t="shared" si="45"/>
        <v>7</v>
      </c>
      <c r="R220" s="2">
        <f t="shared" si="45"/>
        <v>8</v>
      </c>
      <c r="S220" s="2">
        <f t="shared" si="45"/>
        <v>19</v>
      </c>
      <c r="T220" s="2">
        <f t="shared" si="45"/>
        <v>5</v>
      </c>
      <c r="U220" s="2">
        <f t="shared" si="45"/>
        <v>14</v>
      </c>
      <c r="V220" s="2">
        <f t="shared" si="45"/>
        <v>7</v>
      </c>
      <c r="W220" s="2">
        <f t="shared" si="45"/>
        <v>31</v>
      </c>
      <c r="X220" s="2">
        <f t="shared" si="45"/>
        <v>15</v>
      </c>
      <c r="Y220" s="2">
        <f t="shared" si="45"/>
        <v>8</v>
      </c>
      <c r="Z220" s="2">
        <f t="shared" si="45"/>
        <v>29</v>
      </c>
      <c r="AA220" s="2">
        <f>AA200+AA201+AA202+AA203+AA204+AA205+AA206+AA207+AA208+AA209+AA210+AA211+AA212+AA213+AA214+AA215+AA216+AA217+AA218+AA219</f>
        <v>43</v>
      </c>
      <c r="AB220" s="3"/>
      <c r="AC220" s="36">
        <f>AC200+AC201+AC202+AC203+AC204+AC205+AC206+AC207+AC208+AC209+AC210+AC211+AC212+AC213+AC214+AC215+AC216+AC217+AC218+AC219</f>
        <v>243</v>
      </c>
    </row>
    <row r="222" spans="2:29" x14ac:dyDescent="0.25">
      <c r="B222" s="64" t="s">
        <v>24</v>
      </c>
      <c r="C222" s="64"/>
      <c r="D222" s="43" t="s">
        <v>47</v>
      </c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 spans="2:29" x14ac:dyDescent="0.25">
      <c r="B223" s="64" t="s">
        <v>23</v>
      </c>
      <c r="C223" s="64"/>
      <c r="D223" s="2" t="s">
        <v>0</v>
      </c>
      <c r="E223" s="4" t="s">
        <v>1</v>
      </c>
      <c r="F223" s="4" t="s">
        <v>1</v>
      </c>
      <c r="G223" s="4" t="s">
        <v>2</v>
      </c>
      <c r="H223" s="4" t="s">
        <v>3</v>
      </c>
      <c r="I223" s="2" t="s">
        <v>0</v>
      </c>
      <c r="J223" s="4" t="s">
        <v>1</v>
      </c>
      <c r="K223" s="4" t="s">
        <v>1</v>
      </c>
      <c r="L223" s="4" t="s">
        <v>2</v>
      </c>
      <c r="M223" s="4" t="s">
        <v>3</v>
      </c>
      <c r="N223" s="2" t="s">
        <v>0</v>
      </c>
      <c r="O223" s="4" t="s">
        <v>1</v>
      </c>
      <c r="P223" s="4" t="s">
        <v>1</v>
      </c>
      <c r="Q223" s="4" t="s">
        <v>2</v>
      </c>
      <c r="R223" s="4" t="s">
        <v>3</v>
      </c>
      <c r="S223" s="2" t="s">
        <v>0</v>
      </c>
      <c r="T223" s="4" t="s">
        <v>1</v>
      </c>
      <c r="U223" s="4" t="s">
        <v>1</v>
      </c>
      <c r="V223" s="4" t="s">
        <v>2</v>
      </c>
      <c r="W223" s="4" t="s">
        <v>3</v>
      </c>
      <c r="X223" s="2" t="s">
        <v>0</v>
      </c>
      <c r="Y223" s="4" t="s">
        <v>1</v>
      </c>
      <c r="Z223" s="4" t="s">
        <v>1</v>
      </c>
      <c r="AA223" s="4" t="s">
        <v>2</v>
      </c>
      <c r="AB223" s="4" t="s">
        <v>3</v>
      </c>
      <c r="AC223" s="2" t="s">
        <v>27</v>
      </c>
    </row>
    <row r="224" spans="2:29" x14ac:dyDescent="0.25">
      <c r="B224" s="64" t="s">
        <v>22</v>
      </c>
      <c r="C224" s="64"/>
      <c r="D224" s="42"/>
      <c r="E224" s="42"/>
      <c r="F224" s="42"/>
      <c r="G224" s="42"/>
      <c r="H224" s="42">
        <v>1</v>
      </c>
      <c r="I224" s="46">
        <v>4</v>
      </c>
      <c r="J224" s="46">
        <v>5</v>
      </c>
      <c r="K224" s="46">
        <v>6</v>
      </c>
      <c r="L224" s="46">
        <v>7</v>
      </c>
      <c r="M224" s="46">
        <v>8</v>
      </c>
      <c r="N224" s="42">
        <v>11</v>
      </c>
      <c r="O224" s="42">
        <v>12</v>
      </c>
      <c r="P224" s="42">
        <v>13</v>
      </c>
      <c r="Q224" s="42">
        <v>14</v>
      </c>
      <c r="R224" s="42">
        <v>15</v>
      </c>
      <c r="S224" s="42">
        <v>18</v>
      </c>
      <c r="T224" s="42">
        <v>19</v>
      </c>
      <c r="U224" s="42">
        <v>20</v>
      </c>
      <c r="V224" s="42">
        <v>21</v>
      </c>
      <c r="W224" s="42">
        <v>22</v>
      </c>
      <c r="X224" s="42">
        <v>25</v>
      </c>
      <c r="Y224" s="42">
        <v>26</v>
      </c>
      <c r="Z224" s="42">
        <v>27</v>
      </c>
      <c r="AA224" s="42">
        <v>28</v>
      </c>
      <c r="AB224" s="42">
        <v>29</v>
      </c>
      <c r="AC224" s="62"/>
    </row>
    <row r="225" spans="2:29" x14ac:dyDescent="0.25">
      <c r="B225" s="65" t="s">
        <v>25</v>
      </c>
      <c r="C225" s="45"/>
      <c r="D225" s="42"/>
      <c r="E225" s="42"/>
      <c r="F225" s="42"/>
      <c r="G225" s="42"/>
      <c r="H225" s="42"/>
      <c r="I225" s="46"/>
      <c r="J225" s="46"/>
      <c r="K225" s="46"/>
      <c r="L225" s="46"/>
      <c r="M225" s="46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63"/>
    </row>
    <row r="226" spans="2:29" x14ac:dyDescent="0.25">
      <c r="B226" s="45" t="s">
        <v>4</v>
      </c>
      <c r="C226" s="45"/>
      <c r="D226" s="3"/>
      <c r="E226" s="3"/>
      <c r="F226" s="3"/>
      <c r="G226" s="3"/>
      <c r="H226" s="3">
        <v>2</v>
      </c>
      <c r="I226" s="3">
        <v>1</v>
      </c>
      <c r="J226" s="3">
        <v>0</v>
      </c>
      <c r="K226" s="7">
        <v>0</v>
      </c>
      <c r="L226" s="3">
        <v>1</v>
      </c>
      <c r="M226" s="3">
        <v>0</v>
      </c>
      <c r="N226" s="3">
        <v>0</v>
      </c>
      <c r="O226" s="3">
        <v>1</v>
      </c>
      <c r="P226" s="3">
        <v>0</v>
      </c>
      <c r="Q226" s="3">
        <v>1</v>
      </c>
      <c r="R226" s="3">
        <v>0</v>
      </c>
      <c r="S226" s="3">
        <v>3</v>
      </c>
      <c r="T226" s="3">
        <v>1</v>
      </c>
      <c r="U226" s="3">
        <v>0</v>
      </c>
      <c r="V226" s="3">
        <v>1</v>
      </c>
      <c r="W226" s="3">
        <v>3</v>
      </c>
      <c r="X226" s="3">
        <v>0</v>
      </c>
      <c r="Y226" s="3">
        <v>0</v>
      </c>
      <c r="Z226" s="3">
        <v>3</v>
      </c>
      <c r="AA226" s="3">
        <v>1</v>
      </c>
      <c r="AB226" s="3">
        <v>2</v>
      </c>
      <c r="AC226" s="36">
        <f>D226+E226+F226+G226+H226+I226+J226+K226+L226+M226+N226+O226+P226+Q226+R226+S226+T226+V226+U226+W226+X226+Y226+Z226+AA226+AB226</f>
        <v>20</v>
      </c>
    </row>
    <row r="227" spans="2:29" x14ac:dyDescent="0.25">
      <c r="B227" s="41" t="s">
        <v>7</v>
      </c>
      <c r="C227" s="41"/>
      <c r="D227" s="3"/>
      <c r="E227" s="3"/>
      <c r="F227" s="3"/>
      <c r="G227" s="3"/>
      <c r="H227" s="3">
        <v>1</v>
      </c>
      <c r="I227" s="3">
        <v>0</v>
      </c>
      <c r="J227" s="3">
        <v>1</v>
      </c>
      <c r="K227" s="7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1</v>
      </c>
      <c r="S227" s="3">
        <v>2</v>
      </c>
      <c r="T227" s="3">
        <v>0</v>
      </c>
      <c r="U227" s="3">
        <v>0</v>
      </c>
      <c r="V227" s="3">
        <v>1</v>
      </c>
      <c r="W227" s="3">
        <v>0</v>
      </c>
      <c r="X227" s="3">
        <v>0</v>
      </c>
      <c r="Y227" s="3">
        <v>1</v>
      </c>
      <c r="Z227" s="3">
        <v>1</v>
      </c>
      <c r="AA227" s="3">
        <v>1</v>
      </c>
      <c r="AB227" s="3">
        <v>2</v>
      </c>
      <c r="AC227" s="36">
        <f t="shared" ref="AC227:AC245" si="46">D227+E227+F227+G227+H227+I227+J227+K227+L227+M227+N227+O227+P227+Q227+R227+S227+T227+V227+U227+W227+X227+Y227+Z227+AA227+AB227</f>
        <v>11</v>
      </c>
    </row>
    <row r="228" spans="2:29" x14ac:dyDescent="0.25">
      <c r="B228" s="41" t="s">
        <v>5</v>
      </c>
      <c r="C228" s="41"/>
      <c r="D228" s="3"/>
      <c r="E228" s="3"/>
      <c r="F228" s="3"/>
      <c r="G228" s="3"/>
      <c r="H228" s="3">
        <v>0</v>
      </c>
      <c r="I228" s="3">
        <v>1</v>
      </c>
      <c r="J228" s="3">
        <v>1</v>
      </c>
      <c r="K228" s="7">
        <v>1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1</v>
      </c>
      <c r="V228" s="3">
        <v>0</v>
      </c>
      <c r="W228" s="3">
        <v>0</v>
      </c>
      <c r="X228" s="3">
        <v>1</v>
      </c>
      <c r="Y228" s="3">
        <v>1</v>
      </c>
      <c r="Z228" s="3">
        <v>0</v>
      </c>
      <c r="AA228" s="3">
        <v>1</v>
      </c>
      <c r="AB228" s="3">
        <v>1</v>
      </c>
      <c r="AC228" s="36">
        <f t="shared" si="46"/>
        <v>8</v>
      </c>
    </row>
    <row r="229" spans="2:29" x14ac:dyDescent="0.25">
      <c r="B229" s="41" t="s">
        <v>6</v>
      </c>
      <c r="C229" s="41"/>
      <c r="D229" s="3"/>
      <c r="E229" s="3"/>
      <c r="F229" s="3"/>
      <c r="G229" s="3"/>
      <c r="H229" s="3">
        <v>1</v>
      </c>
      <c r="I229" s="3">
        <v>2</v>
      </c>
      <c r="J229" s="3">
        <v>0</v>
      </c>
      <c r="K229" s="3">
        <v>0</v>
      </c>
      <c r="L229" s="3">
        <v>1</v>
      </c>
      <c r="M229" s="3">
        <v>0</v>
      </c>
      <c r="N229" s="3">
        <v>1</v>
      </c>
      <c r="O229" s="3">
        <v>0</v>
      </c>
      <c r="P229" s="3">
        <v>2</v>
      </c>
      <c r="Q229" s="3">
        <v>1</v>
      </c>
      <c r="R229" s="3">
        <v>1</v>
      </c>
      <c r="S229" s="3">
        <v>2</v>
      </c>
      <c r="T229" s="3">
        <v>0</v>
      </c>
      <c r="U229" s="3">
        <v>0</v>
      </c>
      <c r="V229" s="3">
        <v>2</v>
      </c>
      <c r="W229" s="3">
        <v>1</v>
      </c>
      <c r="X229" s="3">
        <v>2</v>
      </c>
      <c r="Y229" s="3">
        <v>1</v>
      </c>
      <c r="Z229" s="3">
        <v>1</v>
      </c>
      <c r="AA229" s="3">
        <v>3</v>
      </c>
      <c r="AB229" s="3">
        <v>2</v>
      </c>
      <c r="AC229" s="36">
        <f t="shared" si="46"/>
        <v>23</v>
      </c>
    </row>
    <row r="230" spans="2:29" x14ac:dyDescent="0.25">
      <c r="B230" s="41" t="s">
        <v>8</v>
      </c>
      <c r="C230" s="41"/>
      <c r="D230" s="3"/>
      <c r="E230" s="3"/>
      <c r="F230" s="3"/>
      <c r="G230" s="3"/>
      <c r="H230" s="3">
        <v>1</v>
      </c>
      <c r="I230" s="3">
        <v>0</v>
      </c>
      <c r="J230" s="3">
        <v>0</v>
      </c>
      <c r="K230" s="3">
        <v>2</v>
      </c>
      <c r="L230" s="3">
        <v>1</v>
      </c>
      <c r="M230" s="3">
        <v>0</v>
      </c>
      <c r="N230" s="3">
        <v>1</v>
      </c>
      <c r="O230" s="3">
        <v>0</v>
      </c>
      <c r="P230" s="3">
        <v>1</v>
      </c>
      <c r="Q230" s="3">
        <v>0</v>
      </c>
      <c r="R230" s="3">
        <v>0</v>
      </c>
      <c r="S230" s="3">
        <v>0</v>
      </c>
      <c r="T230" s="3">
        <v>0</v>
      </c>
      <c r="U230" s="3">
        <v>1</v>
      </c>
      <c r="V230" s="3">
        <v>0</v>
      </c>
      <c r="W230" s="3">
        <v>0</v>
      </c>
      <c r="X230" s="3">
        <v>0</v>
      </c>
      <c r="Y230" s="3">
        <v>0</v>
      </c>
      <c r="Z230" s="3">
        <v>1</v>
      </c>
      <c r="AA230" s="3">
        <v>5</v>
      </c>
      <c r="AB230" s="3">
        <v>4</v>
      </c>
      <c r="AC230" s="36">
        <f t="shared" si="46"/>
        <v>17</v>
      </c>
    </row>
    <row r="231" spans="2:29" x14ac:dyDescent="0.25">
      <c r="B231" s="41" t="s">
        <v>9</v>
      </c>
      <c r="C231" s="41"/>
      <c r="D231" s="3"/>
      <c r="E231" s="3"/>
      <c r="F231" s="3"/>
      <c r="G231" s="3"/>
      <c r="H231" s="3">
        <v>1</v>
      </c>
      <c r="I231" s="3">
        <v>4</v>
      </c>
      <c r="J231" s="3">
        <v>1</v>
      </c>
      <c r="K231" s="3">
        <v>1</v>
      </c>
      <c r="L231" s="3">
        <v>0</v>
      </c>
      <c r="M231" s="3">
        <v>0</v>
      </c>
      <c r="N231" s="3">
        <v>1</v>
      </c>
      <c r="O231" s="3">
        <v>0</v>
      </c>
      <c r="P231" s="3">
        <v>1</v>
      </c>
      <c r="Q231" s="3">
        <v>0</v>
      </c>
      <c r="R231" s="3">
        <v>0</v>
      </c>
      <c r="S231" s="3">
        <v>2</v>
      </c>
      <c r="T231" s="3">
        <v>1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1</v>
      </c>
      <c r="AB231" s="3">
        <v>1</v>
      </c>
      <c r="AC231" s="36">
        <f t="shared" si="46"/>
        <v>14</v>
      </c>
    </row>
    <row r="232" spans="2:29" x14ac:dyDescent="0.25">
      <c r="B232" s="41" t="s">
        <v>18</v>
      </c>
      <c r="C232" s="41"/>
      <c r="D232" s="3"/>
      <c r="E232" s="3"/>
      <c r="F232" s="3"/>
      <c r="G232" s="3"/>
      <c r="H232" s="3">
        <v>0</v>
      </c>
      <c r="I232" s="3">
        <v>0</v>
      </c>
      <c r="J232" s="3">
        <v>0</v>
      </c>
      <c r="K232" s="3">
        <v>0</v>
      </c>
      <c r="L232" s="3">
        <v>1</v>
      </c>
      <c r="M232" s="3">
        <v>1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1</v>
      </c>
      <c r="T232" s="3">
        <v>1</v>
      </c>
      <c r="U232" s="3">
        <v>1</v>
      </c>
      <c r="V232" s="3">
        <v>1</v>
      </c>
      <c r="W232" s="3">
        <v>1</v>
      </c>
      <c r="X232" s="3">
        <v>0</v>
      </c>
      <c r="Y232" s="3">
        <v>0</v>
      </c>
      <c r="Z232" s="3">
        <v>0</v>
      </c>
      <c r="AA232" s="3">
        <v>1</v>
      </c>
      <c r="AB232" s="3">
        <v>2</v>
      </c>
      <c r="AC232" s="36">
        <f t="shared" si="46"/>
        <v>10</v>
      </c>
    </row>
    <row r="233" spans="2:29" x14ac:dyDescent="0.25">
      <c r="B233" s="41" t="s">
        <v>19</v>
      </c>
      <c r="C233" s="41"/>
      <c r="D233" s="3"/>
      <c r="E233" s="3"/>
      <c r="F233" s="3"/>
      <c r="G233" s="3"/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1</v>
      </c>
      <c r="Q233" s="3">
        <v>0</v>
      </c>
      <c r="R233" s="3">
        <v>0</v>
      </c>
      <c r="S233" s="3">
        <v>2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1</v>
      </c>
      <c r="AC233" s="36">
        <f t="shared" si="46"/>
        <v>5</v>
      </c>
    </row>
    <row r="234" spans="2:29" x14ac:dyDescent="0.25">
      <c r="B234" s="41" t="s">
        <v>20</v>
      </c>
      <c r="C234" s="41"/>
      <c r="D234" s="3"/>
      <c r="E234" s="3"/>
      <c r="F234" s="3"/>
      <c r="G234" s="3"/>
      <c r="H234" s="3">
        <v>1</v>
      </c>
      <c r="I234" s="3">
        <v>1</v>
      </c>
      <c r="J234" s="3">
        <v>0</v>
      </c>
      <c r="K234" s="3">
        <v>0</v>
      </c>
      <c r="L234" s="3">
        <v>0</v>
      </c>
      <c r="M234" s="3">
        <v>1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1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1</v>
      </c>
      <c r="AB234" s="3">
        <v>3</v>
      </c>
      <c r="AC234" s="36">
        <f t="shared" si="46"/>
        <v>8</v>
      </c>
    </row>
    <row r="235" spans="2:29" x14ac:dyDescent="0.25">
      <c r="B235" s="41" t="s">
        <v>12</v>
      </c>
      <c r="C235" s="41"/>
      <c r="D235" s="3"/>
      <c r="E235" s="3"/>
      <c r="F235" s="3"/>
      <c r="G235" s="3"/>
      <c r="H235" s="3">
        <v>2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1</v>
      </c>
      <c r="O235" s="3">
        <v>0</v>
      </c>
      <c r="P235" s="3">
        <v>0</v>
      </c>
      <c r="Q235" s="3">
        <v>1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2</v>
      </c>
      <c r="AC235" s="36">
        <f t="shared" si="46"/>
        <v>6</v>
      </c>
    </row>
    <row r="236" spans="2:29" x14ac:dyDescent="0.25">
      <c r="B236" s="41" t="s">
        <v>21</v>
      </c>
      <c r="C236" s="41"/>
      <c r="D236" s="3"/>
      <c r="E236" s="3"/>
      <c r="F236" s="3"/>
      <c r="G236" s="3"/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1</v>
      </c>
      <c r="AA236" s="3">
        <v>0</v>
      </c>
      <c r="AB236" s="3">
        <v>0</v>
      </c>
      <c r="AC236" s="36">
        <f t="shared" si="46"/>
        <v>1</v>
      </c>
    </row>
    <row r="237" spans="2:29" x14ac:dyDescent="0.25">
      <c r="B237" s="41" t="s">
        <v>10</v>
      </c>
      <c r="C237" s="41"/>
      <c r="D237" s="3"/>
      <c r="E237" s="3"/>
      <c r="F237" s="3"/>
      <c r="G237" s="3"/>
      <c r="H237" s="3">
        <v>2</v>
      </c>
      <c r="I237" s="3">
        <v>1</v>
      </c>
      <c r="J237" s="3">
        <v>0</v>
      </c>
      <c r="K237" s="3">
        <v>0</v>
      </c>
      <c r="L237" s="3">
        <v>0</v>
      </c>
      <c r="M237" s="3">
        <v>1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1</v>
      </c>
      <c r="T237" s="3">
        <v>2</v>
      </c>
      <c r="U237" s="3">
        <v>1</v>
      </c>
      <c r="V237" s="3">
        <v>0</v>
      </c>
      <c r="W237" s="3">
        <v>0</v>
      </c>
      <c r="X237" s="3">
        <v>0</v>
      </c>
      <c r="Y237" s="3">
        <v>0</v>
      </c>
      <c r="Z237" s="3">
        <v>2</v>
      </c>
      <c r="AA237" s="3">
        <v>2</v>
      </c>
      <c r="AB237" s="3">
        <v>1</v>
      </c>
      <c r="AC237" s="36">
        <f t="shared" si="46"/>
        <v>13</v>
      </c>
    </row>
    <row r="238" spans="2:29" x14ac:dyDescent="0.25">
      <c r="B238" s="41" t="s">
        <v>11</v>
      </c>
      <c r="C238" s="41"/>
      <c r="D238" s="3"/>
      <c r="E238" s="3"/>
      <c r="F238" s="3"/>
      <c r="G238" s="3"/>
      <c r="H238" s="3">
        <v>1</v>
      </c>
      <c r="I238" s="3">
        <v>0</v>
      </c>
      <c r="J238" s="3">
        <v>0</v>
      </c>
      <c r="K238" s="3">
        <v>1</v>
      </c>
      <c r="L238" s="3">
        <v>1</v>
      </c>
      <c r="M238" s="3">
        <v>1</v>
      </c>
      <c r="N238" s="3">
        <v>0</v>
      </c>
      <c r="O238" s="3">
        <v>1</v>
      </c>
      <c r="P238" s="3">
        <v>0</v>
      </c>
      <c r="Q238" s="3">
        <v>0</v>
      </c>
      <c r="R238" s="3">
        <v>0</v>
      </c>
      <c r="S238" s="3">
        <v>1</v>
      </c>
      <c r="T238" s="3">
        <v>1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1</v>
      </c>
      <c r="AC238" s="36">
        <f t="shared" si="46"/>
        <v>8</v>
      </c>
    </row>
    <row r="239" spans="2:29" x14ac:dyDescent="0.25">
      <c r="B239" s="41" t="s">
        <v>13</v>
      </c>
      <c r="C239" s="41"/>
      <c r="D239" s="3"/>
      <c r="E239" s="3"/>
      <c r="F239" s="3"/>
      <c r="G239" s="3"/>
      <c r="H239" s="3">
        <v>2</v>
      </c>
      <c r="I239" s="3">
        <v>0</v>
      </c>
      <c r="J239" s="3">
        <v>0</v>
      </c>
      <c r="K239" s="3">
        <v>0</v>
      </c>
      <c r="L239" s="3">
        <v>0</v>
      </c>
      <c r="M239" s="3">
        <v>1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1</v>
      </c>
      <c r="AB239" s="3">
        <v>1</v>
      </c>
      <c r="AC239" s="36">
        <f t="shared" si="46"/>
        <v>5</v>
      </c>
    </row>
    <row r="240" spans="2:29" x14ac:dyDescent="0.25">
      <c r="B240" s="41" t="s">
        <v>28</v>
      </c>
      <c r="C240" s="41"/>
      <c r="D240" s="3"/>
      <c r="E240" s="3"/>
      <c r="F240" s="3"/>
      <c r="G240" s="3"/>
      <c r="H240" s="3">
        <v>1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1</v>
      </c>
      <c r="P240" s="3">
        <v>0</v>
      </c>
      <c r="Q240" s="3">
        <v>1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6">
        <f t="shared" si="46"/>
        <v>3</v>
      </c>
    </row>
    <row r="241" spans="2:29" x14ac:dyDescent="0.25">
      <c r="B241" s="41" t="s">
        <v>29</v>
      </c>
      <c r="C241" s="41"/>
      <c r="D241" s="3"/>
      <c r="E241" s="3"/>
      <c r="F241" s="3"/>
      <c r="G241" s="3"/>
      <c r="H241" s="3">
        <v>1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1</v>
      </c>
      <c r="O241" s="3">
        <v>1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1</v>
      </c>
      <c r="AA241" s="3">
        <v>1</v>
      </c>
      <c r="AB241" s="3">
        <v>2</v>
      </c>
      <c r="AC241" s="36">
        <f t="shared" si="46"/>
        <v>7</v>
      </c>
    </row>
    <row r="242" spans="2:29" x14ac:dyDescent="0.25">
      <c r="B242" s="41" t="s">
        <v>14</v>
      </c>
      <c r="C242" s="41"/>
      <c r="D242" s="3"/>
      <c r="E242" s="3"/>
      <c r="F242" s="3"/>
      <c r="G242" s="3"/>
      <c r="H242" s="3">
        <v>1</v>
      </c>
      <c r="I242" s="3">
        <v>1</v>
      </c>
      <c r="J242" s="3">
        <v>0</v>
      </c>
      <c r="K242" s="3">
        <v>0</v>
      </c>
      <c r="L242" s="3">
        <v>1</v>
      </c>
      <c r="M242" s="3">
        <v>0</v>
      </c>
      <c r="N242" s="3">
        <v>1</v>
      </c>
      <c r="O242" s="3">
        <v>2</v>
      </c>
      <c r="P242" s="3">
        <v>0</v>
      </c>
      <c r="Q242" s="3">
        <v>1</v>
      </c>
      <c r="R242" s="3">
        <v>1</v>
      </c>
      <c r="S242" s="3">
        <v>0</v>
      </c>
      <c r="T242" s="3">
        <v>1</v>
      </c>
      <c r="U242" s="3">
        <v>0</v>
      </c>
      <c r="V242" s="3">
        <v>1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2</v>
      </c>
      <c r="AC242" s="36">
        <f>D242+E242+F242+G242+H242+I242+J242+K242+L242+M242+N242+O242+P242+Q242+R242+S242+T242+V242+U242+W242+X242+Y242+Z242+AA242+AB242</f>
        <v>12</v>
      </c>
    </row>
    <row r="243" spans="2:29" x14ac:dyDescent="0.25">
      <c r="B243" s="41" t="s">
        <v>15</v>
      </c>
      <c r="C243" s="41"/>
      <c r="D243" s="3"/>
      <c r="E243" s="3"/>
      <c r="F243" s="3"/>
      <c r="G243" s="3"/>
      <c r="H243" s="3">
        <v>2</v>
      </c>
      <c r="I243" s="3">
        <v>0</v>
      </c>
      <c r="J243" s="3">
        <v>0</v>
      </c>
      <c r="K243" s="3">
        <v>1</v>
      </c>
      <c r="L243" s="3">
        <v>1</v>
      </c>
      <c r="M243" s="3">
        <v>1</v>
      </c>
      <c r="N243" s="3">
        <v>2</v>
      </c>
      <c r="O243" s="3">
        <v>1</v>
      </c>
      <c r="P243" s="3">
        <v>1</v>
      </c>
      <c r="Q243" s="3">
        <v>1</v>
      </c>
      <c r="R243" s="3">
        <v>0</v>
      </c>
      <c r="S243" s="3">
        <v>0</v>
      </c>
      <c r="T243" s="3">
        <v>0</v>
      </c>
      <c r="U243" s="3">
        <v>1</v>
      </c>
      <c r="V243" s="3">
        <v>0</v>
      </c>
      <c r="W243" s="3">
        <v>0</v>
      </c>
      <c r="X243" s="3">
        <v>0</v>
      </c>
      <c r="Y243" s="3">
        <v>0</v>
      </c>
      <c r="Z243" s="3">
        <v>2</v>
      </c>
      <c r="AA243" s="3">
        <v>0</v>
      </c>
      <c r="AB243" s="3">
        <v>2</v>
      </c>
      <c r="AC243" s="36">
        <f t="shared" si="46"/>
        <v>15</v>
      </c>
    </row>
    <row r="244" spans="2:29" x14ac:dyDescent="0.25">
      <c r="B244" s="41" t="s">
        <v>16</v>
      </c>
      <c r="C244" s="41"/>
      <c r="D244" s="3"/>
      <c r="E244" s="3"/>
      <c r="F244" s="3"/>
      <c r="G244" s="3"/>
      <c r="H244" s="3">
        <v>16</v>
      </c>
      <c r="I244" s="3">
        <v>7</v>
      </c>
      <c r="J244" s="3">
        <v>1</v>
      </c>
      <c r="K244" s="3">
        <v>0</v>
      </c>
      <c r="L244" s="3">
        <v>0</v>
      </c>
      <c r="M244" s="3">
        <v>0</v>
      </c>
      <c r="N244" s="3">
        <v>2</v>
      </c>
      <c r="O244" s="3">
        <v>1</v>
      </c>
      <c r="P244" s="3">
        <v>0</v>
      </c>
      <c r="Q244" s="3">
        <v>0</v>
      </c>
      <c r="R244" s="3">
        <v>0</v>
      </c>
      <c r="S244" s="3">
        <v>2</v>
      </c>
      <c r="T244" s="3">
        <v>0</v>
      </c>
      <c r="U244" s="3">
        <v>1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1</v>
      </c>
      <c r="AB244" s="3">
        <v>0</v>
      </c>
      <c r="AC244" s="36">
        <f t="shared" si="46"/>
        <v>31</v>
      </c>
    </row>
    <row r="245" spans="2:29" x14ac:dyDescent="0.25">
      <c r="B245" s="41" t="s">
        <v>17</v>
      </c>
      <c r="C245" s="41"/>
      <c r="D245" s="3"/>
      <c r="E245" s="3"/>
      <c r="F245" s="3"/>
      <c r="G245" s="3"/>
      <c r="H245" s="3">
        <v>17</v>
      </c>
      <c r="I245" s="3">
        <v>2</v>
      </c>
      <c r="J245" s="3">
        <v>1</v>
      </c>
      <c r="K245" s="3">
        <v>1</v>
      </c>
      <c r="L245" s="3">
        <v>1</v>
      </c>
      <c r="M245" s="3">
        <v>0</v>
      </c>
      <c r="N245" s="3">
        <v>1</v>
      </c>
      <c r="O245" s="3">
        <v>0</v>
      </c>
      <c r="P245" s="3">
        <v>1</v>
      </c>
      <c r="Q245" s="3">
        <v>5</v>
      </c>
      <c r="R245" s="3">
        <v>0</v>
      </c>
      <c r="S245" s="3">
        <v>3</v>
      </c>
      <c r="T245" s="3">
        <v>1</v>
      </c>
      <c r="U245" s="3">
        <v>1</v>
      </c>
      <c r="V245" s="3">
        <v>1</v>
      </c>
      <c r="W245" s="3">
        <v>3</v>
      </c>
      <c r="X245" s="3">
        <v>1</v>
      </c>
      <c r="Y245" s="3">
        <v>1</v>
      </c>
      <c r="Z245" s="3">
        <v>2</v>
      </c>
      <c r="AA245" s="3">
        <v>2</v>
      </c>
      <c r="AB245" s="3">
        <v>3</v>
      </c>
      <c r="AC245" s="36">
        <f t="shared" si="46"/>
        <v>47</v>
      </c>
    </row>
    <row r="246" spans="2:29" x14ac:dyDescent="0.25">
      <c r="B246" s="9" t="s">
        <v>27</v>
      </c>
      <c r="C246" s="2"/>
      <c r="D246" s="2"/>
      <c r="E246" s="2"/>
      <c r="F246" s="2"/>
      <c r="G246" s="2"/>
      <c r="H246" s="2">
        <f t="shared" ref="H246:AB246" si="47">H226+H227+H228+H229+H230+H231+H232+H233+H234+H235+H236+H237+H238+H239+H240+H241+H242+H243+H244+H245</f>
        <v>53</v>
      </c>
      <c r="I246" s="2">
        <f t="shared" si="47"/>
        <v>20</v>
      </c>
      <c r="J246" s="4">
        <f t="shared" si="47"/>
        <v>5</v>
      </c>
      <c r="K246" s="4">
        <f t="shared" si="47"/>
        <v>7</v>
      </c>
      <c r="L246" s="4">
        <f t="shared" si="47"/>
        <v>8</v>
      </c>
      <c r="M246" s="4">
        <f t="shared" si="47"/>
        <v>6</v>
      </c>
      <c r="N246" s="4">
        <f t="shared" si="47"/>
        <v>11</v>
      </c>
      <c r="O246" s="2">
        <f t="shared" si="47"/>
        <v>8</v>
      </c>
      <c r="P246" s="2">
        <f t="shared" si="47"/>
        <v>7</v>
      </c>
      <c r="Q246" s="2">
        <f t="shared" si="47"/>
        <v>11</v>
      </c>
      <c r="R246" s="2">
        <f t="shared" si="47"/>
        <v>3</v>
      </c>
      <c r="S246" s="2">
        <f t="shared" si="47"/>
        <v>20</v>
      </c>
      <c r="T246" s="2">
        <f t="shared" si="47"/>
        <v>8</v>
      </c>
      <c r="U246" s="2">
        <f t="shared" si="47"/>
        <v>7</v>
      </c>
      <c r="V246" s="2">
        <f t="shared" si="47"/>
        <v>7</v>
      </c>
      <c r="W246" s="2">
        <f t="shared" si="47"/>
        <v>8</v>
      </c>
      <c r="X246" s="2">
        <f t="shared" si="47"/>
        <v>4</v>
      </c>
      <c r="Y246" s="2">
        <f t="shared" si="47"/>
        <v>4</v>
      </c>
      <c r="Z246" s="2">
        <f t="shared" si="47"/>
        <v>14</v>
      </c>
      <c r="AA246" s="2">
        <f t="shared" si="47"/>
        <v>21</v>
      </c>
      <c r="AB246" s="2">
        <f t="shared" si="47"/>
        <v>32</v>
      </c>
      <c r="AC246" s="36">
        <f t="shared" ref="AC246" si="48">AC226+AC227+AC228+AC229+AC230+AC231+AC232+AC233+AC234+AC235+AC236+AC237+AC238+AC239+AC240+AC241+AC242+AC243+AC244+AC245</f>
        <v>264</v>
      </c>
    </row>
  </sheetData>
  <mergeCells count="514">
    <mergeCell ref="B242:C242"/>
    <mergeCell ref="B243:C243"/>
    <mergeCell ref="B244:C244"/>
    <mergeCell ref="B245:C245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AC224:AC225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T224:T225"/>
    <mergeCell ref="U224:U225"/>
    <mergeCell ref="V224:V225"/>
    <mergeCell ref="W224:W225"/>
    <mergeCell ref="X224:X225"/>
    <mergeCell ref="Y224:Y225"/>
    <mergeCell ref="Z224:Z225"/>
    <mergeCell ref="AA224:AA225"/>
    <mergeCell ref="AB224:AB225"/>
    <mergeCell ref="B216:C216"/>
    <mergeCell ref="B217:C217"/>
    <mergeCell ref="B218:C218"/>
    <mergeCell ref="B219:C219"/>
    <mergeCell ref="B222:C222"/>
    <mergeCell ref="D222:AC222"/>
    <mergeCell ref="B223:C223"/>
    <mergeCell ref="B224:C224"/>
    <mergeCell ref="D224:D225"/>
    <mergeCell ref="E224:E225"/>
    <mergeCell ref="F224:F225"/>
    <mergeCell ref="G224:G225"/>
    <mergeCell ref="H224:H225"/>
    <mergeCell ref="I224:I225"/>
    <mergeCell ref="J224:J225"/>
    <mergeCell ref="K224:K225"/>
    <mergeCell ref="L224:L225"/>
    <mergeCell ref="M224:M225"/>
    <mergeCell ref="N224:N225"/>
    <mergeCell ref="O224:O225"/>
    <mergeCell ref="P224:P225"/>
    <mergeCell ref="Q224:Q225"/>
    <mergeCell ref="R224:R225"/>
    <mergeCell ref="S224:S225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AC198:AC199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T198:T199"/>
    <mergeCell ref="U198:U199"/>
    <mergeCell ref="V198:V199"/>
    <mergeCell ref="W198:W199"/>
    <mergeCell ref="X198:X199"/>
    <mergeCell ref="Y198:Y199"/>
    <mergeCell ref="Z198:Z199"/>
    <mergeCell ref="AA198:AA199"/>
    <mergeCell ref="AB198:AB199"/>
    <mergeCell ref="B190:C190"/>
    <mergeCell ref="B191:C191"/>
    <mergeCell ref="B192:C192"/>
    <mergeCell ref="B193:C193"/>
    <mergeCell ref="B196:C196"/>
    <mergeCell ref="D196:AC196"/>
    <mergeCell ref="B197:C197"/>
    <mergeCell ref="B198:C198"/>
    <mergeCell ref="D198:D199"/>
    <mergeCell ref="E198:E199"/>
    <mergeCell ref="F198:F199"/>
    <mergeCell ref="G198:G199"/>
    <mergeCell ref="H198:H199"/>
    <mergeCell ref="I198:I199"/>
    <mergeCell ref="J198:J199"/>
    <mergeCell ref="K198:K199"/>
    <mergeCell ref="L198:L199"/>
    <mergeCell ref="M198:M199"/>
    <mergeCell ref="N198:N199"/>
    <mergeCell ref="O198:O199"/>
    <mergeCell ref="P198:P199"/>
    <mergeCell ref="Q198:Q199"/>
    <mergeCell ref="R198:R199"/>
    <mergeCell ref="S198:S199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AC172:AC173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T172:T173"/>
    <mergeCell ref="U172:U173"/>
    <mergeCell ref="V172:V173"/>
    <mergeCell ref="W172:W173"/>
    <mergeCell ref="X172:X173"/>
    <mergeCell ref="Y172:Y173"/>
    <mergeCell ref="Z172:Z173"/>
    <mergeCell ref="AA172:AA173"/>
    <mergeCell ref="AB172:AB173"/>
    <mergeCell ref="K172:K173"/>
    <mergeCell ref="L172:L173"/>
    <mergeCell ref="M172:M173"/>
    <mergeCell ref="N172:N173"/>
    <mergeCell ref="O172:O173"/>
    <mergeCell ref="P172:P173"/>
    <mergeCell ref="Q172:Q173"/>
    <mergeCell ref="R172:R173"/>
    <mergeCell ref="S172:S173"/>
    <mergeCell ref="B171:C171"/>
    <mergeCell ref="B172:C172"/>
    <mergeCell ref="D172:D173"/>
    <mergeCell ref="E172:E173"/>
    <mergeCell ref="F172:F173"/>
    <mergeCell ref="G172:G173"/>
    <mergeCell ref="H172:H173"/>
    <mergeCell ref="I172:I173"/>
    <mergeCell ref="J172:J173"/>
    <mergeCell ref="AE135:AF135"/>
    <mergeCell ref="AE136:AF136"/>
    <mergeCell ref="AE137:AF137"/>
    <mergeCell ref="BD116:BD117"/>
    <mergeCell ref="BE116:BE117"/>
    <mergeCell ref="BF116:BF117"/>
    <mergeCell ref="BG116:BG117"/>
    <mergeCell ref="B170:C170"/>
    <mergeCell ref="D170:AC170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46:C146"/>
    <mergeCell ref="B147:C147"/>
    <mergeCell ref="B148:C148"/>
    <mergeCell ref="B149:C149"/>
    <mergeCell ref="B150:C150"/>
    <mergeCell ref="B151:C151"/>
    <mergeCell ref="BH116:BH117"/>
    <mergeCell ref="BI116:BI117"/>
    <mergeCell ref="AE117:AF117"/>
    <mergeCell ref="AE118:AF118"/>
    <mergeCell ref="AE119:AF119"/>
    <mergeCell ref="AR116:AR117"/>
    <mergeCell ref="AX116:AX117"/>
    <mergeCell ref="AL116:AL117"/>
    <mergeCell ref="AN118:AN137"/>
    <mergeCell ref="AE120:AF120"/>
    <mergeCell ref="AE121:AF121"/>
    <mergeCell ref="AE122:AF122"/>
    <mergeCell ref="AE123:AF123"/>
    <mergeCell ref="AE124:AF124"/>
    <mergeCell ref="AE125:AF125"/>
    <mergeCell ref="AE126:AF126"/>
    <mergeCell ref="AE127:AF127"/>
    <mergeCell ref="AE128:AF128"/>
    <mergeCell ref="AE129:AF129"/>
    <mergeCell ref="AE130:AF130"/>
    <mergeCell ref="AE131:AF131"/>
    <mergeCell ref="AE132:AF132"/>
    <mergeCell ref="AE133:AF133"/>
    <mergeCell ref="AE134:AF134"/>
    <mergeCell ref="AE114:AF114"/>
    <mergeCell ref="AG114:BI114"/>
    <mergeCell ref="AE115:AF115"/>
    <mergeCell ref="AE116:AF116"/>
    <mergeCell ref="AG116:AG117"/>
    <mergeCell ref="AH116:AH117"/>
    <mergeCell ref="AI116:AI117"/>
    <mergeCell ref="AJ116:AJ117"/>
    <mergeCell ref="AK116:AK117"/>
    <mergeCell ref="AM116:AM117"/>
    <mergeCell ref="AN116:AN117"/>
    <mergeCell ref="AO116:AO117"/>
    <mergeCell ref="AP116:AP117"/>
    <mergeCell ref="AQ116:AQ117"/>
    <mergeCell ref="AS116:AS117"/>
    <mergeCell ref="AT116:AT117"/>
    <mergeCell ref="AU116:AU117"/>
    <mergeCell ref="AV116:AV117"/>
    <mergeCell ref="AW116:AW117"/>
    <mergeCell ref="AY116:AY117"/>
    <mergeCell ref="AZ116:AZ117"/>
    <mergeCell ref="BA116:BA117"/>
    <mergeCell ref="BB116:BB117"/>
    <mergeCell ref="BC116:BC117"/>
    <mergeCell ref="B152:C152"/>
    <mergeCell ref="B153:C153"/>
    <mergeCell ref="B154:C154"/>
    <mergeCell ref="X142:X143"/>
    <mergeCell ref="Y142:Y143"/>
    <mergeCell ref="Z142:Z143"/>
    <mergeCell ref="AA142:AA143"/>
    <mergeCell ref="AB142:AB143"/>
    <mergeCell ref="AC142:AC143"/>
    <mergeCell ref="B143:C143"/>
    <mergeCell ref="B144:C144"/>
    <mergeCell ref="B145:C145"/>
    <mergeCell ref="B140:C140"/>
    <mergeCell ref="D140:AC140"/>
    <mergeCell ref="B141:C141"/>
    <mergeCell ref="B142:C142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M142:M143"/>
    <mergeCell ref="N142:N143"/>
    <mergeCell ref="O142:O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X116:X117"/>
    <mergeCell ref="Y116:Y117"/>
    <mergeCell ref="Z116:Z117"/>
    <mergeCell ref="AA116:AA117"/>
    <mergeCell ref="AB116:AB117"/>
    <mergeCell ref="AC116:AC117"/>
    <mergeCell ref="B117:C117"/>
    <mergeCell ref="B118:C118"/>
    <mergeCell ref="B119:C119"/>
    <mergeCell ref="B114:C114"/>
    <mergeCell ref="D114:AC114"/>
    <mergeCell ref="B115:C115"/>
    <mergeCell ref="B116:C116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B109:C10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W88:W89"/>
    <mergeCell ref="X88:X89"/>
    <mergeCell ref="Y88:Y89"/>
    <mergeCell ref="Z88:Z89"/>
    <mergeCell ref="AA88:AA89"/>
    <mergeCell ref="AB88:AB89"/>
    <mergeCell ref="AC88:AC89"/>
    <mergeCell ref="B89:C89"/>
    <mergeCell ref="B90:C90"/>
    <mergeCell ref="B83:C83"/>
    <mergeCell ref="B86:C86"/>
    <mergeCell ref="D86:AC86"/>
    <mergeCell ref="B87:C87"/>
    <mergeCell ref="B88:C88"/>
    <mergeCell ref="D88:D89"/>
    <mergeCell ref="E88:E89"/>
    <mergeCell ref="F88:F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W62:W63"/>
    <mergeCell ref="X62:X63"/>
    <mergeCell ref="Y62:Y63"/>
    <mergeCell ref="Z62:Z63"/>
    <mergeCell ref="AA62:AA63"/>
    <mergeCell ref="AB62:AB63"/>
    <mergeCell ref="AC62:AC63"/>
    <mergeCell ref="B63:C63"/>
    <mergeCell ref="B64:C64"/>
    <mergeCell ref="AC34:AC35"/>
    <mergeCell ref="B60:C60"/>
    <mergeCell ref="D60:AC60"/>
    <mergeCell ref="B61:C61"/>
    <mergeCell ref="B62:C62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D4:AA4"/>
    <mergeCell ref="B7:C7"/>
    <mergeCell ref="B8:C8"/>
    <mergeCell ref="B9:C9"/>
    <mergeCell ref="B10:C10"/>
    <mergeCell ref="B11:C11"/>
    <mergeCell ref="B12:C12"/>
    <mergeCell ref="B13:C13"/>
    <mergeCell ref="B14:C14"/>
    <mergeCell ref="B5:C5"/>
    <mergeCell ref="B6:C6"/>
    <mergeCell ref="D6:D7"/>
    <mergeCell ref="E6:E7"/>
    <mergeCell ref="AA6:AA7"/>
    <mergeCell ref="B4:C4"/>
    <mergeCell ref="H6:H7"/>
    <mergeCell ref="I6:I7"/>
    <mergeCell ref="J6:J7"/>
    <mergeCell ref="K6:K7"/>
    <mergeCell ref="B27:C27"/>
    <mergeCell ref="B26:C26"/>
    <mergeCell ref="D32:AC32"/>
    <mergeCell ref="B21:C21"/>
    <mergeCell ref="B22:C22"/>
    <mergeCell ref="B23:C23"/>
    <mergeCell ref="B24:C24"/>
    <mergeCell ref="B25:C25"/>
    <mergeCell ref="B15:C15"/>
    <mergeCell ref="B16:C16"/>
    <mergeCell ref="B17:C17"/>
    <mergeCell ref="B18:C18"/>
    <mergeCell ref="B19:C19"/>
    <mergeCell ref="B20:C20"/>
    <mergeCell ref="B33:C33"/>
    <mergeCell ref="B34:C34"/>
    <mergeCell ref="D34:D35"/>
    <mergeCell ref="E34:E35"/>
    <mergeCell ref="F34:F35"/>
    <mergeCell ref="G34:G35"/>
    <mergeCell ref="X6:X7"/>
    <mergeCell ref="Y6:Y7"/>
    <mergeCell ref="Z6:Z7"/>
    <mergeCell ref="B32:C32"/>
    <mergeCell ref="R6:R7"/>
    <mergeCell ref="S6:S7"/>
    <mergeCell ref="T6:T7"/>
    <mergeCell ref="U6:U7"/>
    <mergeCell ref="V6:V7"/>
    <mergeCell ref="W6:W7"/>
    <mergeCell ref="L6:L7"/>
    <mergeCell ref="M6:M7"/>
    <mergeCell ref="N6:N7"/>
    <mergeCell ref="O6:O7"/>
    <mergeCell ref="P6:P7"/>
    <mergeCell ref="Q6:Q7"/>
    <mergeCell ref="F6:F7"/>
    <mergeCell ref="G6:G7"/>
    <mergeCell ref="B37:C37"/>
    <mergeCell ref="B38:C38"/>
    <mergeCell ref="T34:T35"/>
    <mergeCell ref="U34:U35"/>
    <mergeCell ref="V34:V35"/>
    <mergeCell ref="W34:W35"/>
    <mergeCell ref="X34:X35"/>
    <mergeCell ref="Y34:Y35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B2:AB2"/>
    <mergeCell ref="B30:AB30"/>
    <mergeCell ref="B51:C51"/>
    <mergeCell ref="B52:C52"/>
    <mergeCell ref="B53:C53"/>
    <mergeCell ref="B54:C54"/>
    <mergeCell ref="B55:C55"/>
    <mergeCell ref="AB34:AB35"/>
    <mergeCell ref="B45:C45"/>
    <mergeCell ref="B46:C46"/>
    <mergeCell ref="B47:C47"/>
    <mergeCell ref="B48:C48"/>
    <mergeCell ref="B49:C49"/>
    <mergeCell ref="B50:C50"/>
    <mergeCell ref="B39:C39"/>
    <mergeCell ref="B40:C40"/>
    <mergeCell ref="B41:C41"/>
    <mergeCell ref="B42:C42"/>
    <mergeCell ref="B43:C43"/>
    <mergeCell ref="B44:C44"/>
    <mergeCell ref="Z34:Z35"/>
    <mergeCell ref="AA34:AA35"/>
    <mergeCell ref="B35:C35"/>
    <mergeCell ref="B36:C36"/>
  </mergeCells>
  <pageMargins left="0.7" right="0.7" top="0.75" bottom="0.75" header="0.3" footer="0.3"/>
  <pageSetup paperSize="1000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I81"/>
  <sheetViews>
    <sheetView topLeftCell="A82" workbookViewId="0">
      <selection activeCell="AE56" sqref="AE56:BI80"/>
    </sheetView>
  </sheetViews>
  <sheetFormatPr baseColWidth="10" defaultRowHeight="15" x14ac:dyDescent="0.25"/>
  <cols>
    <col min="4" max="4" width="2.5703125" customWidth="1"/>
    <col min="5" max="5" width="2.85546875" customWidth="1"/>
    <col min="6" max="6" width="3.140625" customWidth="1"/>
    <col min="7" max="7" width="2.5703125" customWidth="1"/>
    <col min="8" max="8" width="2.7109375" customWidth="1"/>
    <col min="9" max="9" width="3.140625" customWidth="1"/>
    <col min="10" max="10" width="3" customWidth="1"/>
    <col min="11" max="11" width="2.85546875" customWidth="1"/>
    <col min="12" max="14" width="3" customWidth="1"/>
    <col min="15" max="15" width="2.85546875" customWidth="1"/>
    <col min="16" max="16" width="3" customWidth="1"/>
    <col min="17" max="17" width="3.28515625" customWidth="1"/>
    <col min="18" max="18" width="2.85546875" customWidth="1"/>
    <col min="19" max="19" width="3.28515625" customWidth="1"/>
    <col min="20" max="20" width="3.42578125" customWidth="1"/>
    <col min="21" max="21" width="3" customWidth="1"/>
    <col min="22" max="22" width="2.7109375" customWidth="1"/>
    <col min="23" max="23" width="3" customWidth="1"/>
    <col min="24" max="24" width="2.85546875" customWidth="1"/>
    <col min="25" max="25" width="3.5703125" customWidth="1"/>
    <col min="26" max="26" width="2.85546875" customWidth="1"/>
    <col min="27" max="28" width="2.7109375" customWidth="1"/>
    <col min="29" max="29" width="6.42578125" customWidth="1"/>
    <col min="33" max="33" width="3" customWidth="1"/>
    <col min="34" max="34" width="2.7109375" customWidth="1"/>
    <col min="35" max="35" width="3.7109375" customWidth="1"/>
    <col min="36" max="36" width="2.85546875" customWidth="1"/>
    <col min="37" max="38" width="3" customWidth="1"/>
    <col min="39" max="39" width="3.28515625" customWidth="1"/>
    <col min="40" max="40" width="2.5703125" customWidth="1"/>
    <col min="41" max="41" width="3.28515625" customWidth="1"/>
    <col min="42" max="42" width="2.7109375" customWidth="1"/>
    <col min="43" max="45" width="2.85546875" customWidth="1"/>
    <col min="46" max="46" width="3" customWidth="1"/>
    <col min="47" max="47" width="2.7109375" customWidth="1"/>
    <col min="48" max="48" width="3.28515625" customWidth="1"/>
    <col min="49" max="49" width="2.85546875" customWidth="1"/>
    <col min="50" max="50" width="3.140625" customWidth="1"/>
    <col min="51" max="53" width="3" customWidth="1"/>
    <col min="54" max="54" width="3.140625" customWidth="1"/>
    <col min="55" max="55" width="3.28515625" customWidth="1"/>
    <col min="56" max="56" width="3" customWidth="1"/>
    <col min="57" max="57" width="3.42578125" customWidth="1"/>
    <col min="58" max="58" width="3.140625" customWidth="1"/>
    <col min="59" max="59" width="3.28515625" customWidth="1"/>
    <col min="60" max="60" width="3.140625" customWidth="1"/>
    <col min="61" max="61" width="6.7109375" customWidth="1"/>
  </cols>
  <sheetData>
    <row r="2" spans="2:29" x14ac:dyDescent="0.25">
      <c r="B2" s="64" t="s">
        <v>24</v>
      </c>
      <c r="C2" s="64"/>
      <c r="D2" s="43" t="s">
        <v>33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2:29" x14ac:dyDescent="0.25">
      <c r="B3" s="64" t="s">
        <v>23</v>
      </c>
      <c r="C3" s="64"/>
      <c r="D3" s="2" t="s">
        <v>0</v>
      </c>
      <c r="E3" s="4" t="s">
        <v>1</v>
      </c>
      <c r="F3" s="4" t="s">
        <v>1</v>
      </c>
      <c r="G3" s="4" t="s">
        <v>2</v>
      </c>
      <c r="H3" s="4" t="s">
        <v>3</v>
      </c>
      <c r="I3" s="2" t="s">
        <v>0</v>
      </c>
      <c r="J3" s="4" t="s">
        <v>1</v>
      </c>
      <c r="K3" s="4" t="s">
        <v>1</v>
      </c>
      <c r="L3" s="4" t="s">
        <v>2</v>
      </c>
      <c r="M3" s="4" t="s">
        <v>3</v>
      </c>
      <c r="N3" s="2" t="s">
        <v>0</v>
      </c>
      <c r="O3" s="4" t="s">
        <v>1</v>
      </c>
      <c r="P3" s="4" t="s">
        <v>1</v>
      </c>
      <c r="Q3" s="4" t="s">
        <v>2</v>
      </c>
      <c r="R3" s="4" t="s">
        <v>3</v>
      </c>
      <c r="S3" s="2" t="s">
        <v>0</v>
      </c>
      <c r="T3" s="4" t="s">
        <v>1</v>
      </c>
      <c r="U3" s="4" t="s">
        <v>1</v>
      </c>
      <c r="V3" s="4" t="s">
        <v>2</v>
      </c>
      <c r="W3" s="4" t="s">
        <v>3</v>
      </c>
      <c r="X3" s="2" t="s">
        <v>0</v>
      </c>
      <c r="Y3" s="4" t="s">
        <v>1</v>
      </c>
      <c r="Z3" s="4" t="s">
        <v>1</v>
      </c>
      <c r="AA3" s="4" t="s">
        <v>2</v>
      </c>
      <c r="AB3" s="4" t="s">
        <v>3</v>
      </c>
      <c r="AC3" s="2" t="s">
        <v>27</v>
      </c>
    </row>
    <row r="4" spans="2:29" x14ac:dyDescent="0.25">
      <c r="B4" s="64" t="s">
        <v>22</v>
      </c>
      <c r="C4" s="64"/>
      <c r="D4" s="42"/>
      <c r="E4" s="42"/>
      <c r="F4" s="42">
        <v>1</v>
      </c>
      <c r="G4" s="42">
        <v>2</v>
      </c>
      <c r="H4" s="42">
        <v>3</v>
      </c>
      <c r="I4" s="46">
        <v>6</v>
      </c>
      <c r="J4" s="46">
        <v>7</v>
      </c>
      <c r="K4" s="46">
        <v>8</v>
      </c>
      <c r="L4" s="46">
        <v>9</v>
      </c>
      <c r="M4" s="46">
        <v>10</v>
      </c>
      <c r="N4" s="42">
        <v>13</v>
      </c>
      <c r="O4" s="42">
        <v>14</v>
      </c>
      <c r="P4" s="42">
        <v>15</v>
      </c>
      <c r="Q4" s="42">
        <v>16</v>
      </c>
      <c r="R4" s="42">
        <v>17</v>
      </c>
      <c r="S4" s="42">
        <v>20</v>
      </c>
      <c r="T4" s="42">
        <v>21</v>
      </c>
      <c r="U4" s="42">
        <v>22</v>
      </c>
      <c r="V4" s="42">
        <v>23</v>
      </c>
      <c r="W4" s="42">
        <v>24</v>
      </c>
      <c r="X4" s="42">
        <v>27</v>
      </c>
      <c r="Y4" s="42">
        <v>28</v>
      </c>
      <c r="Z4" s="42">
        <v>29</v>
      </c>
      <c r="AA4" s="42">
        <v>30</v>
      </c>
      <c r="AB4" s="42">
        <v>31</v>
      </c>
      <c r="AC4" s="62"/>
    </row>
    <row r="5" spans="2:29" ht="15" customHeight="1" x14ac:dyDescent="0.25">
      <c r="B5" s="65" t="s">
        <v>25</v>
      </c>
      <c r="C5" s="45"/>
      <c r="D5" s="42"/>
      <c r="E5" s="42"/>
      <c r="F5" s="42"/>
      <c r="G5" s="42"/>
      <c r="H5" s="42"/>
      <c r="I5" s="46"/>
      <c r="J5" s="46"/>
      <c r="K5" s="46"/>
      <c r="L5" s="46"/>
      <c r="M5" s="46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63"/>
    </row>
    <row r="6" spans="2:29" x14ac:dyDescent="0.25">
      <c r="B6" s="45" t="s">
        <v>4</v>
      </c>
      <c r="C6" s="45"/>
      <c r="D6" s="3"/>
      <c r="E6" s="3"/>
      <c r="F6" s="74" t="s">
        <v>44</v>
      </c>
      <c r="G6" s="74" t="s">
        <v>44</v>
      </c>
      <c r="H6" s="74" t="s">
        <v>44</v>
      </c>
      <c r="I6" s="74" t="s">
        <v>44</v>
      </c>
      <c r="J6" s="74" t="s">
        <v>44</v>
      </c>
      <c r="K6" s="74" t="s">
        <v>44</v>
      </c>
      <c r="L6" s="3">
        <v>1</v>
      </c>
      <c r="M6" s="3">
        <v>2</v>
      </c>
      <c r="N6" s="3">
        <v>2</v>
      </c>
      <c r="O6" s="3">
        <v>1</v>
      </c>
      <c r="P6" s="3">
        <v>1</v>
      </c>
      <c r="Q6" s="3">
        <v>1</v>
      </c>
      <c r="R6" s="3">
        <v>1</v>
      </c>
      <c r="S6" s="3">
        <v>0</v>
      </c>
      <c r="T6" s="3">
        <v>1</v>
      </c>
      <c r="U6" s="3">
        <v>1</v>
      </c>
      <c r="V6" s="3">
        <v>3</v>
      </c>
      <c r="W6" s="3">
        <v>0</v>
      </c>
      <c r="X6" s="3">
        <v>1</v>
      </c>
      <c r="Y6" s="3">
        <v>1</v>
      </c>
      <c r="Z6" s="3">
        <v>1</v>
      </c>
      <c r="AA6" s="3">
        <v>0</v>
      </c>
      <c r="AB6" s="3">
        <v>1</v>
      </c>
      <c r="AC6" s="32">
        <f>L6+M6+N6+O6+P6+Q6+R6+S6+T6+V6+U6+W6+X6+Y6+Z6+AA6+AB6</f>
        <v>18</v>
      </c>
    </row>
    <row r="7" spans="2:29" x14ac:dyDescent="0.25">
      <c r="B7" s="41" t="s">
        <v>7</v>
      </c>
      <c r="C7" s="41"/>
      <c r="D7" s="3"/>
      <c r="E7" s="3"/>
      <c r="F7" s="75"/>
      <c r="G7" s="75"/>
      <c r="H7" s="75"/>
      <c r="I7" s="75"/>
      <c r="J7" s="75"/>
      <c r="K7" s="75"/>
      <c r="L7" s="3">
        <v>0</v>
      </c>
      <c r="M7" s="3">
        <v>1</v>
      </c>
      <c r="N7" s="3">
        <v>0</v>
      </c>
      <c r="O7" s="3">
        <v>1</v>
      </c>
      <c r="P7" s="3">
        <v>3</v>
      </c>
      <c r="Q7" s="3">
        <v>4</v>
      </c>
      <c r="R7" s="3">
        <v>5</v>
      </c>
      <c r="S7" s="3">
        <v>1</v>
      </c>
      <c r="T7" s="3">
        <v>2</v>
      </c>
      <c r="U7" s="3">
        <v>3</v>
      </c>
      <c r="V7" s="3">
        <v>1</v>
      </c>
      <c r="W7" s="3">
        <v>0</v>
      </c>
      <c r="X7" s="3">
        <v>1</v>
      </c>
      <c r="Y7" s="3">
        <v>0</v>
      </c>
      <c r="Z7" s="3">
        <v>1</v>
      </c>
      <c r="AA7" s="3">
        <v>0</v>
      </c>
      <c r="AB7" s="3">
        <v>0</v>
      </c>
      <c r="AC7" s="32">
        <f t="shared" ref="AC7:AC25" si="0">D7+E7+F7+G7+H7+I7+J7+K7+L7+M7+N7+O7+P7+Q7+R7+S7+T7+V7+U7+W7+X7+Y7+Z7+AA7+AB7</f>
        <v>23</v>
      </c>
    </row>
    <row r="8" spans="2:29" x14ac:dyDescent="0.25">
      <c r="B8" s="41" t="s">
        <v>5</v>
      </c>
      <c r="C8" s="41"/>
      <c r="D8" s="3"/>
      <c r="E8" s="3"/>
      <c r="F8" s="75"/>
      <c r="G8" s="75"/>
      <c r="H8" s="75"/>
      <c r="I8" s="75"/>
      <c r="J8" s="75"/>
      <c r="K8" s="75"/>
      <c r="L8" s="3">
        <v>1</v>
      </c>
      <c r="M8" s="3">
        <v>0</v>
      </c>
      <c r="N8" s="3">
        <v>2</v>
      </c>
      <c r="O8" s="3">
        <v>2</v>
      </c>
      <c r="P8" s="3">
        <v>2</v>
      </c>
      <c r="Q8" s="3">
        <v>0</v>
      </c>
      <c r="R8" s="3">
        <v>3</v>
      </c>
      <c r="S8" s="3">
        <v>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2">
        <f t="shared" si="0"/>
        <v>11</v>
      </c>
    </row>
    <row r="9" spans="2:29" x14ac:dyDescent="0.25">
      <c r="B9" s="41" t="s">
        <v>6</v>
      </c>
      <c r="C9" s="41"/>
      <c r="D9" s="3"/>
      <c r="E9" s="3"/>
      <c r="F9" s="75"/>
      <c r="G9" s="75"/>
      <c r="H9" s="75"/>
      <c r="I9" s="75"/>
      <c r="J9" s="75"/>
      <c r="K9" s="75"/>
      <c r="L9" s="3">
        <v>0</v>
      </c>
      <c r="M9" s="3">
        <v>1</v>
      </c>
      <c r="N9" s="3">
        <v>3</v>
      </c>
      <c r="O9" s="3">
        <v>3</v>
      </c>
      <c r="P9" s="3">
        <v>2</v>
      </c>
      <c r="Q9" s="3">
        <v>2</v>
      </c>
      <c r="R9" s="3">
        <v>2</v>
      </c>
      <c r="S9" s="3">
        <v>0</v>
      </c>
      <c r="T9" s="3">
        <v>1</v>
      </c>
      <c r="U9" s="3">
        <v>1</v>
      </c>
      <c r="V9" s="3">
        <v>2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1</v>
      </c>
      <c r="AC9" s="32">
        <f t="shared" si="0"/>
        <v>18</v>
      </c>
    </row>
    <row r="10" spans="2:29" x14ac:dyDescent="0.25">
      <c r="B10" s="41" t="s">
        <v>8</v>
      </c>
      <c r="C10" s="41"/>
      <c r="D10" s="3"/>
      <c r="E10" s="3"/>
      <c r="F10" s="75"/>
      <c r="G10" s="75"/>
      <c r="H10" s="75"/>
      <c r="I10" s="75"/>
      <c r="J10" s="75"/>
      <c r="K10" s="75"/>
      <c r="L10" s="3">
        <v>1</v>
      </c>
      <c r="M10" s="3">
        <v>3</v>
      </c>
      <c r="N10" s="3">
        <v>3</v>
      </c>
      <c r="O10" s="3">
        <v>2</v>
      </c>
      <c r="P10" s="3">
        <v>1</v>
      </c>
      <c r="Q10" s="3">
        <v>1</v>
      </c>
      <c r="R10" s="3">
        <v>2</v>
      </c>
      <c r="S10" s="3">
        <v>0</v>
      </c>
      <c r="T10" s="3">
        <v>2</v>
      </c>
      <c r="U10" s="3">
        <v>1</v>
      </c>
      <c r="V10" s="3">
        <v>0</v>
      </c>
      <c r="W10" s="3">
        <v>0</v>
      </c>
      <c r="X10" s="3">
        <v>1</v>
      </c>
      <c r="Y10" s="3">
        <v>1</v>
      </c>
      <c r="Z10" s="3">
        <v>2</v>
      </c>
      <c r="AA10" s="3">
        <v>0</v>
      </c>
      <c r="AB10" s="3">
        <v>1</v>
      </c>
      <c r="AC10" s="32">
        <f t="shared" si="0"/>
        <v>21</v>
      </c>
    </row>
    <row r="11" spans="2:29" x14ac:dyDescent="0.25">
      <c r="B11" s="41" t="s">
        <v>9</v>
      </c>
      <c r="C11" s="41"/>
      <c r="D11" s="3"/>
      <c r="E11" s="3"/>
      <c r="F11" s="75"/>
      <c r="G11" s="75"/>
      <c r="H11" s="75"/>
      <c r="I11" s="75"/>
      <c r="J11" s="75"/>
      <c r="K11" s="75"/>
      <c r="L11" s="3">
        <v>1</v>
      </c>
      <c r="M11" s="3">
        <v>2</v>
      </c>
      <c r="N11" s="3">
        <v>2</v>
      </c>
      <c r="O11" s="3">
        <v>4</v>
      </c>
      <c r="P11" s="3">
        <v>1</v>
      </c>
      <c r="Q11" s="3">
        <v>1</v>
      </c>
      <c r="R11" s="3">
        <v>1</v>
      </c>
      <c r="S11" s="3">
        <v>2</v>
      </c>
      <c r="T11" s="3">
        <v>2</v>
      </c>
      <c r="U11" s="3">
        <v>1</v>
      </c>
      <c r="V11" s="3">
        <v>0</v>
      </c>
      <c r="W11" s="3">
        <v>0</v>
      </c>
      <c r="X11" s="3">
        <v>0</v>
      </c>
      <c r="Y11" s="3">
        <v>0</v>
      </c>
      <c r="Z11" s="3">
        <v>2</v>
      </c>
      <c r="AA11" s="3">
        <v>0</v>
      </c>
      <c r="AB11" s="3">
        <v>2</v>
      </c>
      <c r="AC11" s="32">
        <f t="shared" si="0"/>
        <v>21</v>
      </c>
    </row>
    <row r="12" spans="2:29" x14ac:dyDescent="0.25">
      <c r="B12" s="41" t="s">
        <v>18</v>
      </c>
      <c r="C12" s="41"/>
      <c r="D12" s="3"/>
      <c r="E12" s="3"/>
      <c r="F12" s="75"/>
      <c r="G12" s="75"/>
      <c r="H12" s="75"/>
      <c r="I12" s="75"/>
      <c r="J12" s="75"/>
      <c r="K12" s="75"/>
      <c r="L12" s="3">
        <v>0</v>
      </c>
      <c r="M12" s="3">
        <v>0</v>
      </c>
      <c r="N12" s="3">
        <v>1</v>
      </c>
      <c r="O12" s="3">
        <v>1</v>
      </c>
      <c r="P12" s="3">
        <v>1</v>
      </c>
      <c r="Q12" s="3">
        <v>1</v>
      </c>
      <c r="R12" s="3">
        <v>0</v>
      </c>
      <c r="S12" s="3">
        <v>0</v>
      </c>
      <c r="T12" s="3">
        <v>1</v>
      </c>
      <c r="U12" s="3">
        <v>0</v>
      </c>
      <c r="V12" s="3">
        <v>0</v>
      </c>
      <c r="W12" s="3">
        <v>0</v>
      </c>
      <c r="X12" s="3">
        <v>1</v>
      </c>
      <c r="Y12" s="3">
        <v>2</v>
      </c>
      <c r="Z12" s="3">
        <v>1</v>
      </c>
      <c r="AA12" s="3">
        <v>0</v>
      </c>
      <c r="AB12" s="3">
        <v>2</v>
      </c>
      <c r="AC12" s="32">
        <f t="shared" si="0"/>
        <v>11</v>
      </c>
    </row>
    <row r="13" spans="2:29" x14ac:dyDescent="0.25">
      <c r="B13" s="41" t="s">
        <v>19</v>
      </c>
      <c r="C13" s="41"/>
      <c r="D13" s="3"/>
      <c r="E13" s="3"/>
      <c r="F13" s="75"/>
      <c r="G13" s="75"/>
      <c r="H13" s="75"/>
      <c r="I13" s="75"/>
      <c r="J13" s="75"/>
      <c r="K13" s="75"/>
      <c r="L13" s="3">
        <v>1</v>
      </c>
      <c r="M13" s="3">
        <v>0</v>
      </c>
      <c r="N13" s="3">
        <v>2</v>
      </c>
      <c r="O13" s="3">
        <v>2</v>
      </c>
      <c r="P13" s="3">
        <v>0</v>
      </c>
      <c r="Q13" s="3">
        <v>1</v>
      </c>
      <c r="R13" s="3">
        <v>0</v>
      </c>
      <c r="S13" s="3">
        <v>1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1</v>
      </c>
      <c r="AC13" s="32">
        <f t="shared" si="0"/>
        <v>8</v>
      </c>
    </row>
    <row r="14" spans="2:29" x14ac:dyDescent="0.25">
      <c r="B14" s="41" t="s">
        <v>20</v>
      </c>
      <c r="C14" s="41"/>
      <c r="D14" s="3"/>
      <c r="E14" s="3"/>
      <c r="F14" s="75"/>
      <c r="G14" s="75"/>
      <c r="H14" s="75"/>
      <c r="I14" s="75"/>
      <c r="J14" s="75"/>
      <c r="K14" s="75"/>
      <c r="L14" s="3">
        <v>0</v>
      </c>
      <c r="M14" s="3">
        <v>5</v>
      </c>
      <c r="N14" s="3">
        <v>1</v>
      </c>
      <c r="O14" s="3">
        <v>3</v>
      </c>
      <c r="P14" s="3">
        <v>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2</v>
      </c>
      <c r="W14" s="3">
        <v>0</v>
      </c>
      <c r="X14" s="3">
        <v>2</v>
      </c>
      <c r="Y14" s="3">
        <v>4</v>
      </c>
      <c r="Z14" s="3">
        <v>3</v>
      </c>
      <c r="AA14" s="3">
        <v>0</v>
      </c>
      <c r="AB14" s="3">
        <v>1</v>
      </c>
      <c r="AC14" s="32">
        <f t="shared" si="0"/>
        <v>22</v>
      </c>
    </row>
    <row r="15" spans="2:29" x14ac:dyDescent="0.25">
      <c r="B15" s="41" t="s">
        <v>12</v>
      </c>
      <c r="C15" s="41"/>
      <c r="D15" s="3"/>
      <c r="E15" s="3"/>
      <c r="F15" s="75"/>
      <c r="G15" s="75"/>
      <c r="H15" s="75"/>
      <c r="I15" s="75"/>
      <c r="J15" s="75"/>
      <c r="K15" s="75"/>
      <c r="L15" s="3">
        <v>1</v>
      </c>
      <c r="M15" s="3">
        <v>0</v>
      </c>
      <c r="N15" s="3">
        <v>1</v>
      </c>
      <c r="O15" s="3">
        <v>0</v>
      </c>
      <c r="P15" s="3">
        <v>0</v>
      </c>
      <c r="Q15" s="3">
        <v>0</v>
      </c>
      <c r="R15" s="3">
        <v>0</v>
      </c>
      <c r="S15" s="3">
        <v>1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1</v>
      </c>
      <c r="AA15" s="3">
        <v>0</v>
      </c>
      <c r="AB15" s="3">
        <v>0</v>
      </c>
      <c r="AC15" s="32">
        <f t="shared" si="0"/>
        <v>4</v>
      </c>
    </row>
    <row r="16" spans="2:29" x14ac:dyDescent="0.25">
      <c r="B16" s="41" t="s">
        <v>21</v>
      </c>
      <c r="C16" s="41"/>
      <c r="D16" s="3"/>
      <c r="E16" s="3"/>
      <c r="F16" s="75"/>
      <c r="G16" s="75"/>
      <c r="H16" s="75"/>
      <c r="I16" s="75"/>
      <c r="J16" s="75"/>
      <c r="K16" s="75"/>
      <c r="L16" s="3">
        <v>1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1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1</v>
      </c>
      <c r="Y16" s="3">
        <v>0</v>
      </c>
      <c r="Z16" s="3">
        <v>0</v>
      </c>
      <c r="AA16" s="3">
        <v>0</v>
      </c>
      <c r="AB16" s="3">
        <v>1</v>
      </c>
      <c r="AC16" s="32">
        <f t="shared" si="0"/>
        <v>4</v>
      </c>
    </row>
    <row r="17" spans="2:29" x14ac:dyDescent="0.25">
      <c r="B17" s="41" t="s">
        <v>10</v>
      </c>
      <c r="C17" s="41"/>
      <c r="D17" s="3"/>
      <c r="E17" s="3"/>
      <c r="F17" s="75"/>
      <c r="G17" s="75"/>
      <c r="H17" s="75"/>
      <c r="I17" s="75"/>
      <c r="J17" s="75"/>
      <c r="K17" s="75"/>
      <c r="L17" s="3">
        <v>1</v>
      </c>
      <c r="M17" s="3">
        <v>2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2</v>
      </c>
      <c r="W17" s="3">
        <v>0</v>
      </c>
      <c r="X17" s="3">
        <v>0</v>
      </c>
      <c r="Y17" s="3">
        <v>0</v>
      </c>
      <c r="Z17" s="3">
        <v>1</v>
      </c>
      <c r="AA17" s="3">
        <v>0</v>
      </c>
      <c r="AB17" s="3">
        <v>1</v>
      </c>
      <c r="AC17" s="32">
        <f t="shared" si="0"/>
        <v>7</v>
      </c>
    </row>
    <row r="18" spans="2:29" x14ac:dyDescent="0.25">
      <c r="B18" s="41" t="s">
        <v>11</v>
      </c>
      <c r="C18" s="41"/>
      <c r="D18" s="3"/>
      <c r="E18" s="3"/>
      <c r="F18" s="75"/>
      <c r="G18" s="75"/>
      <c r="H18" s="75"/>
      <c r="I18" s="75"/>
      <c r="J18" s="75"/>
      <c r="K18" s="75"/>
      <c r="L18" s="3">
        <v>1</v>
      </c>
      <c r="M18" s="3">
        <v>1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1</v>
      </c>
      <c r="T18" s="3">
        <v>2</v>
      </c>
      <c r="U18" s="3">
        <v>0</v>
      </c>
      <c r="V18" s="3">
        <v>0</v>
      </c>
      <c r="W18" s="3">
        <v>0</v>
      </c>
      <c r="X18" s="3">
        <v>0</v>
      </c>
      <c r="Y18" s="3">
        <v>1</v>
      </c>
      <c r="Z18" s="3">
        <v>1</v>
      </c>
      <c r="AA18" s="3">
        <v>0</v>
      </c>
      <c r="AB18" s="3">
        <v>0</v>
      </c>
      <c r="AC18" s="32">
        <f t="shared" si="0"/>
        <v>7</v>
      </c>
    </row>
    <row r="19" spans="2:29" x14ac:dyDescent="0.25">
      <c r="B19" s="41" t="s">
        <v>13</v>
      </c>
      <c r="C19" s="41"/>
      <c r="D19" s="3"/>
      <c r="E19" s="3"/>
      <c r="F19" s="75"/>
      <c r="G19" s="75"/>
      <c r="H19" s="75"/>
      <c r="I19" s="75"/>
      <c r="J19" s="75"/>
      <c r="K19" s="75"/>
      <c r="L19" s="3">
        <v>0</v>
      </c>
      <c r="M19" s="3">
        <v>0</v>
      </c>
      <c r="N19" s="3">
        <v>0</v>
      </c>
      <c r="O19" s="3">
        <v>1</v>
      </c>
      <c r="P19" s="3">
        <v>1</v>
      </c>
      <c r="Q19" s="3">
        <v>0</v>
      </c>
      <c r="R19" s="3">
        <v>1</v>
      </c>
      <c r="S19" s="3">
        <v>0</v>
      </c>
      <c r="T19" s="3">
        <v>0</v>
      </c>
      <c r="U19" s="3">
        <v>2</v>
      </c>
      <c r="V19" s="3">
        <v>2</v>
      </c>
      <c r="W19" s="3">
        <v>0</v>
      </c>
      <c r="X19" s="3">
        <v>1</v>
      </c>
      <c r="Y19" s="3">
        <v>1</v>
      </c>
      <c r="Z19" s="3">
        <v>0</v>
      </c>
      <c r="AA19" s="3">
        <v>0</v>
      </c>
      <c r="AB19" s="3">
        <v>0</v>
      </c>
      <c r="AC19" s="32">
        <f t="shared" si="0"/>
        <v>9</v>
      </c>
    </row>
    <row r="20" spans="2:29" x14ac:dyDescent="0.25">
      <c r="B20" s="41" t="s">
        <v>28</v>
      </c>
      <c r="C20" s="41"/>
      <c r="D20" s="3"/>
      <c r="E20" s="3"/>
      <c r="F20" s="75"/>
      <c r="G20" s="75"/>
      <c r="H20" s="75"/>
      <c r="I20" s="75"/>
      <c r="J20" s="75"/>
      <c r="K20" s="75"/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</v>
      </c>
      <c r="AA20" s="3">
        <v>0</v>
      </c>
      <c r="AB20" s="3">
        <v>0</v>
      </c>
      <c r="AC20" s="32">
        <f t="shared" si="0"/>
        <v>2</v>
      </c>
    </row>
    <row r="21" spans="2:29" x14ac:dyDescent="0.25">
      <c r="B21" s="41" t="s">
        <v>29</v>
      </c>
      <c r="C21" s="41"/>
      <c r="D21" s="3"/>
      <c r="E21" s="3"/>
      <c r="F21" s="75"/>
      <c r="G21" s="75"/>
      <c r="H21" s="75"/>
      <c r="I21" s="75"/>
      <c r="J21" s="75"/>
      <c r="K21" s="75"/>
      <c r="L21" s="3">
        <v>1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2</v>
      </c>
      <c r="S21" s="3">
        <v>0</v>
      </c>
      <c r="T21" s="3">
        <v>0</v>
      </c>
      <c r="U21" s="3">
        <v>1</v>
      </c>
      <c r="V21" s="3">
        <v>1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1</v>
      </c>
      <c r="AC21" s="32">
        <f t="shared" si="0"/>
        <v>6</v>
      </c>
    </row>
    <row r="22" spans="2:29" x14ac:dyDescent="0.25">
      <c r="B22" s="41" t="s">
        <v>14</v>
      </c>
      <c r="C22" s="41"/>
      <c r="D22" s="3"/>
      <c r="E22" s="3"/>
      <c r="F22" s="75"/>
      <c r="G22" s="75"/>
      <c r="H22" s="75"/>
      <c r="I22" s="75"/>
      <c r="J22" s="75"/>
      <c r="K22" s="75"/>
      <c r="L22" s="3">
        <v>1</v>
      </c>
      <c r="M22" s="3">
        <v>1</v>
      </c>
      <c r="N22" s="3">
        <v>2</v>
      </c>
      <c r="O22" s="3">
        <v>1</v>
      </c>
      <c r="P22" s="3">
        <v>2</v>
      </c>
      <c r="Q22" s="3">
        <v>0</v>
      </c>
      <c r="R22" s="3">
        <v>0</v>
      </c>
      <c r="S22" s="3">
        <v>0</v>
      </c>
      <c r="T22" s="3">
        <v>1</v>
      </c>
      <c r="U22" s="3">
        <v>1</v>
      </c>
      <c r="V22" s="3">
        <v>0</v>
      </c>
      <c r="W22" s="3">
        <v>0</v>
      </c>
      <c r="X22" s="3">
        <v>1</v>
      </c>
      <c r="Y22" s="3">
        <v>0</v>
      </c>
      <c r="Z22" s="3">
        <v>0</v>
      </c>
      <c r="AA22" s="3">
        <v>0</v>
      </c>
      <c r="AB22" s="3">
        <v>0</v>
      </c>
      <c r="AC22" s="32">
        <f>D22+E22+F22+G22+H22+I22+J22+K22+L22+M22+N22+O22+P22+Q22+R22+S22+T22+V22+U22+W22+X22+Y22+Z22+AA22+AB22</f>
        <v>10</v>
      </c>
    </row>
    <row r="23" spans="2:29" x14ac:dyDescent="0.25">
      <c r="B23" s="41" t="s">
        <v>15</v>
      </c>
      <c r="C23" s="41"/>
      <c r="D23" s="3"/>
      <c r="E23" s="3"/>
      <c r="F23" s="75"/>
      <c r="G23" s="75"/>
      <c r="H23" s="75"/>
      <c r="I23" s="75"/>
      <c r="J23" s="75"/>
      <c r="K23" s="75"/>
      <c r="L23" s="3">
        <v>2</v>
      </c>
      <c r="M23" s="3">
        <v>1</v>
      </c>
      <c r="N23" s="3">
        <v>3</v>
      </c>
      <c r="O23" s="3">
        <v>2</v>
      </c>
      <c r="P23" s="3">
        <v>2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0</v>
      </c>
      <c r="X23" s="3">
        <v>4</v>
      </c>
      <c r="Y23" s="3">
        <v>2</v>
      </c>
      <c r="Z23" s="3">
        <v>4</v>
      </c>
      <c r="AA23" s="3">
        <v>0</v>
      </c>
      <c r="AB23" s="3">
        <v>3</v>
      </c>
      <c r="AC23" s="32">
        <f t="shared" si="0"/>
        <v>29</v>
      </c>
    </row>
    <row r="24" spans="2:29" x14ac:dyDescent="0.25">
      <c r="B24" s="41" t="s">
        <v>16</v>
      </c>
      <c r="C24" s="41"/>
      <c r="D24" s="3"/>
      <c r="E24" s="3"/>
      <c r="F24" s="75"/>
      <c r="G24" s="75"/>
      <c r="H24" s="75"/>
      <c r="I24" s="75"/>
      <c r="J24" s="75"/>
      <c r="K24" s="75"/>
      <c r="L24" s="3">
        <v>0</v>
      </c>
      <c r="M24" s="3">
        <v>0</v>
      </c>
      <c r="N24" s="3">
        <v>1</v>
      </c>
      <c r="O24" s="3">
        <v>1</v>
      </c>
      <c r="P24" s="3">
        <v>0</v>
      </c>
      <c r="Q24" s="3">
        <v>3</v>
      </c>
      <c r="R24" s="3">
        <v>0</v>
      </c>
      <c r="S24" s="3">
        <v>0</v>
      </c>
      <c r="T24" s="3">
        <v>1</v>
      </c>
      <c r="U24" s="3">
        <v>0</v>
      </c>
      <c r="V24" s="3">
        <v>2</v>
      </c>
      <c r="W24" s="3">
        <v>0</v>
      </c>
      <c r="X24" s="3">
        <v>0</v>
      </c>
      <c r="Y24" s="3">
        <v>2</v>
      </c>
      <c r="Z24" s="3">
        <v>1</v>
      </c>
      <c r="AA24" s="3">
        <v>0</v>
      </c>
      <c r="AB24" s="3">
        <v>0</v>
      </c>
      <c r="AC24" s="32">
        <f t="shared" si="0"/>
        <v>11</v>
      </c>
    </row>
    <row r="25" spans="2:29" x14ac:dyDescent="0.25">
      <c r="B25" s="41" t="s">
        <v>17</v>
      </c>
      <c r="C25" s="41"/>
      <c r="D25" s="3"/>
      <c r="E25" s="3"/>
      <c r="F25" s="76"/>
      <c r="G25" s="76"/>
      <c r="H25" s="76"/>
      <c r="I25" s="76"/>
      <c r="J25" s="76"/>
      <c r="K25" s="76"/>
      <c r="L25" s="3">
        <v>0</v>
      </c>
      <c r="M25" s="3">
        <v>0</v>
      </c>
      <c r="N25" s="3">
        <v>1</v>
      </c>
      <c r="O25" s="3">
        <v>2</v>
      </c>
      <c r="P25" s="3">
        <v>3</v>
      </c>
      <c r="Q25" s="3">
        <v>1</v>
      </c>
      <c r="R25" s="3">
        <v>0</v>
      </c>
      <c r="S25" s="3">
        <v>0</v>
      </c>
      <c r="T25" s="3">
        <v>1</v>
      </c>
      <c r="U25" s="3">
        <v>1</v>
      </c>
      <c r="V25" s="3">
        <v>1</v>
      </c>
      <c r="W25" s="3">
        <v>0</v>
      </c>
      <c r="X25" s="3">
        <v>2</v>
      </c>
      <c r="Y25" s="3">
        <v>0</v>
      </c>
      <c r="Z25" s="3">
        <v>0</v>
      </c>
      <c r="AA25" s="3">
        <v>0</v>
      </c>
      <c r="AB25" s="3">
        <v>0</v>
      </c>
      <c r="AC25" s="32">
        <f t="shared" si="0"/>
        <v>12</v>
      </c>
    </row>
    <row r="26" spans="2:29" x14ac:dyDescent="0.25">
      <c r="B26" s="9" t="s">
        <v>27</v>
      </c>
      <c r="C26" s="2"/>
      <c r="D26" s="2"/>
      <c r="E26" s="2"/>
      <c r="F26" s="2"/>
      <c r="G26" s="2"/>
      <c r="H26" s="2"/>
      <c r="I26" s="2"/>
      <c r="J26" s="4"/>
      <c r="K26" s="4"/>
      <c r="L26" s="4">
        <f t="shared" ref="L26:AB26" si="1">L6+L7+L8+L9+L10+L11+L12+L13+L14+L15+L16+L17+L18+L19+L20+L21+L22+L23+L24+L25</f>
        <v>13</v>
      </c>
      <c r="M26" s="4">
        <f t="shared" si="1"/>
        <v>19</v>
      </c>
      <c r="N26" s="4">
        <f t="shared" si="1"/>
        <v>24</v>
      </c>
      <c r="O26" s="2">
        <f t="shared" si="1"/>
        <v>26</v>
      </c>
      <c r="P26" s="2">
        <f t="shared" si="1"/>
        <v>20</v>
      </c>
      <c r="Q26" s="2">
        <f t="shared" si="1"/>
        <v>16</v>
      </c>
      <c r="R26" s="2">
        <f t="shared" si="1"/>
        <v>20</v>
      </c>
      <c r="S26" s="2">
        <f t="shared" si="1"/>
        <v>8</v>
      </c>
      <c r="T26" s="2">
        <f t="shared" si="1"/>
        <v>15</v>
      </c>
      <c r="U26" s="2">
        <f t="shared" si="1"/>
        <v>13</v>
      </c>
      <c r="V26" s="2">
        <f t="shared" si="1"/>
        <v>17</v>
      </c>
      <c r="W26" s="2">
        <f t="shared" si="1"/>
        <v>0</v>
      </c>
      <c r="X26" s="2">
        <f t="shared" si="1"/>
        <v>15</v>
      </c>
      <c r="Y26" s="2">
        <f t="shared" si="1"/>
        <v>14</v>
      </c>
      <c r="Z26" s="2">
        <f t="shared" si="1"/>
        <v>19</v>
      </c>
      <c r="AA26" s="2">
        <f t="shared" si="1"/>
        <v>0</v>
      </c>
      <c r="AB26" s="2">
        <f t="shared" si="1"/>
        <v>15</v>
      </c>
      <c r="AC26" s="32">
        <f>AC6+AC7+AC8+AC9+AC10+AC11+AC12+AC13+AC14+AC15+AC16+AC17+AC18+AC19+AC20+AC21+AC22+AC23+AC24+AC25</f>
        <v>254</v>
      </c>
    </row>
    <row r="29" spans="2:29" x14ac:dyDescent="0.25">
      <c r="B29" s="64" t="s">
        <v>24</v>
      </c>
      <c r="C29" s="64"/>
      <c r="D29" s="43" t="s">
        <v>36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 spans="2:29" x14ac:dyDescent="0.25">
      <c r="B30" s="64" t="s">
        <v>23</v>
      </c>
      <c r="C30" s="64"/>
      <c r="D30" s="2" t="s">
        <v>0</v>
      </c>
      <c r="E30" s="4" t="s">
        <v>1</v>
      </c>
      <c r="F30" s="4" t="s">
        <v>1</v>
      </c>
      <c r="G30" s="4" t="s">
        <v>2</v>
      </c>
      <c r="H30" s="4" t="s">
        <v>3</v>
      </c>
      <c r="I30" s="2" t="s">
        <v>0</v>
      </c>
      <c r="J30" s="4" t="s">
        <v>1</v>
      </c>
      <c r="K30" s="4" t="s">
        <v>1</v>
      </c>
      <c r="L30" s="4" t="s">
        <v>2</v>
      </c>
      <c r="M30" s="4" t="s">
        <v>3</v>
      </c>
      <c r="N30" s="2" t="s">
        <v>0</v>
      </c>
      <c r="O30" s="4" t="s">
        <v>1</v>
      </c>
      <c r="P30" s="4" t="s">
        <v>1</v>
      </c>
      <c r="Q30" s="4" t="s">
        <v>2</v>
      </c>
      <c r="R30" s="4" t="s">
        <v>3</v>
      </c>
      <c r="S30" s="2" t="s">
        <v>0</v>
      </c>
      <c r="T30" s="4" t="s">
        <v>1</v>
      </c>
      <c r="U30" s="4" t="s">
        <v>1</v>
      </c>
      <c r="V30" s="4" t="s">
        <v>2</v>
      </c>
      <c r="W30" s="4" t="s">
        <v>3</v>
      </c>
      <c r="X30" s="2" t="s">
        <v>0</v>
      </c>
      <c r="Y30" s="4" t="s">
        <v>1</v>
      </c>
      <c r="Z30" s="4" t="s">
        <v>1</v>
      </c>
      <c r="AA30" s="4" t="s">
        <v>2</v>
      </c>
      <c r="AB30" s="4" t="s">
        <v>3</v>
      </c>
      <c r="AC30" s="2" t="s">
        <v>27</v>
      </c>
    </row>
    <row r="31" spans="2:29" x14ac:dyDescent="0.25">
      <c r="B31" s="64" t="s">
        <v>22</v>
      </c>
      <c r="C31" s="64"/>
      <c r="D31" s="42">
        <v>3</v>
      </c>
      <c r="E31" s="42">
        <v>4</v>
      </c>
      <c r="F31" s="42">
        <v>5</v>
      </c>
      <c r="G31" s="42">
        <v>6</v>
      </c>
      <c r="H31" s="42">
        <v>7</v>
      </c>
      <c r="I31" s="46">
        <v>10</v>
      </c>
      <c r="J31" s="46">
        <v>11</v>
      </c>
      <c r="K31" s="46">
        <v>12</v>
      </c>
      <c r="L31" s="46">
        <v>13</v>
      </c>
      <c r="M31" s="46">
        <v>14</v>
      </c>
      <c r="N31" s="42">
        <v>17</v>
      </c>
      <c r="O31" s="42">
        <v>18</v>
      </c>
      <c r="P31" s="42">
        <v>19</v>
      </c>
      <c r="Q31" s="42">
        <v>20</v>
      </c>
      <c r="R31" s="42">
        <v>21</v>
      </c>
      <c r="S31" s="42">
        <v>24</v>
      </c>
      <c r="T31" s="42">
        <v>25</v>
      </c>
      <c r="U31" s="42">
        <v>26</v>
      </c>
      <c r="V31" s="42">
        <v>27</v>
      </c>
      <c r="W31" s="42">
        <v>28</v>
      </c>
      <c r="X31" s="42"/>
      <c r="Y31" s="42"/>
      <c r="Z31" s="42"/>
      <c r="AA31" s="42"/>
      <c r="AB31" s="42"/>
      <c r="AC31" s="62"/>
    </row>
    <row r="32" spans="2:29" x14ac:dyDescent="0.25">
      <c r="B32" s="65" t="s">
        <v>25</v>
      </c>
      <c r="C32" s="45"/>
      <c r="D32" s="42"/>
      <c r="E32" s="42"/>
      <c r="F32" s="42"/>
      <c r="G32" s="42"/>
      <c r="H32" s="42"/>
      <c r="I32" s="46"/>
      <c r="J32" s="46"/>
      <c r="K32" s="46"/>
      <c r="L32" s="46"/>
      <c r="M32" s="46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63"/>
    </row>
    <row r="33" spans="2:29" x14ac:dyDescent="0.25">
      <c r="B33" s="45" t="s">
        <v>4</v>
      </c>
      <c r="C33" s="45"/>
      <c r="D33" s="3">
        <v>1</v>
      </c>
      <c r="E33" s="3">
        <v>1</v>
      </c>
      <c r="F33" s="3">
        <v>2</v>
      </c>
      <c r="G33" s="3">
        <v>0</v>
      </c>
      <c r="H33" s="3">
        <v>0</v>
      </c>
      <c r="I33" s="3">
        <v>2</v>
      </c>
      <c r="J33" s="3">
        <v>0</v>
      </c>
      <c r="K33" s="3">
        <v>1</v>
      </c>
      <c r="L33" s="3">
        <v>0</v>
      </c>
      <c r="M33" s="3">
        <v>0</v>
      </c>
      <c r="N33" s="3">
        <v>1</v>
      </c>
      <c r="O33" s="3">
        <v>0</v>
      </c>
      <c r="P33" s="3">
        <v>0</v>
      </c>
      <c r="Q33" s="3">
        <v>0</v>
      </c>
      <c r="R33" s="74" t="s">
        <v>43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/>
      <c r="Y33" s="3"/>
      <c r="Z33" s="3"/>
      <c r="AA33" s="3"/>
      <c r="AB33" s="3"/>
      <c r="AC33" s="32">
        <f>D33+E33+F33+G33+H33+I33+J33+K33+L33+M33+N33+O33+P33+Q33+S33+T33+V33+U33+W33+X33+Y33+Z33+AA33+AB33</f>
        <v>8</v>
      </c>
    </row>
    <row r="34" spans="2:29" x14ac:dyDescent="0.25">
      <c r="B34" s="41" t="s">
        <v>7</v>
      </c>
      <c r="C34" s="41"/>
      <c r="D34" s="3">
        <v>1</v>
      </c>
      <c r="E34" s="3">
        <v>0</v>
      </c>
      <c r="F34" s="3">
        <v>0</v>
      </c>
      <c r="G34" s="3">
        <v>1</v>
      </c>
      <c r="H34" s="3">
        <v>0</v>
      </c>
      <c r="I34" s="3">
        <v>3</v>
      </c>
      <c r="J34" s="3">
        <v>2</v>
      </c>
      <c r="K34" s="3">
        <v>3</v>
      </c>
      <c r="L34" s="3">
        <v>0</v>
      </c>
      <c r="M34" s="3">
        <v>1</v>
      </c>
      <c r="N34" s="3">
        <v>0</v>
      </c>
      <c r="O34" s="3">
        <v>1</v>
      </c>
      <c r="P34" s="3">
        <v>0</v>
      </c>
      <c r="Q34" s="3">
        <v>1</v>
      </c>
      <c r="R34" s="75"/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/>
      <c r="Y34" s="3"/>
      <c r="Z34" s="3"/>
      <c r="AA34" s="3"/>
      <c r="AB34" s="3"/>
      <c r="AC34" s="32">
        <f t="shared" ref="AC34:AC52" si="2">D34+E34+F34+G34+H34+I34+J34+K34+L34+M34+N34+O34+P34+Q34+R34+S34+T34+V34+U34+W34+X34+Y34+Z34+AA34+AB34</f>
        <v>13</v>
      </c>
    </row>
    <row r="35" spans="2:29" x14ac:dyDescent="0.25">
      <c r="B35" s="41" t="s">
        <v>5</v>
      </c>
      <c r="C35" s="41"/>
      <c r="D35" s="3">
        <v>0</v>
      </c>
      <c r="E35" s="3">
        <v>1</v>
      </c>
      <c r="F35" s="3">
        <v>0</v>
      </c>
      <c r="G35" s="3">
        <v>0</v>
      </c>
      <c r="H35" s="3">
        <v>0</v>
      </c>
      <c r="I35" s="3">
        <v>1</v>
      </c>
      <c r="J35" s="3">
        <v>0</v>
      </c>
      <c r="K35" s="3">
        <v>1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75"/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/>
      <c r="Y35" s="3"/>
      <c r="Z35" s="3"/>
      <c r="AA35" s="3"/>
      <c r="AB35" s="3"/>
      <c r="AC35" s="32">
        <f t="shared" si="2"/>
        <v>3</v>
      </c>
    </row>
    <row r="36" spans="2:29" x14ac:dyDescent="0.25">
      <c r="B36" s="41" t="s">
        <v>6</v>
      </c>
      <c r="C36" s="41"/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2</v>
      </c>
      <c r="J36" s="3">
        <v>0</v>
      </c>
      <c r="K36" s="3">
        <v>0</v>
      </c>
      <c r="L36" s="3">
        <v>0</v>
      </c>
      <c r="M36" s="3">
        <v>0</v>
      </c>
      <c r="N36" s="3">
        <v>2</v>
      </c>
      <c r="O36" s="3">
        <v>2</v>
      </c>
      <c r="P36" s="3">
        <v>1</v>
      </c>
      <c r="Q36" s="3">
        <v>2</v>
      </c>
      <c r="R36" s="75"/>
      <c r="S36" s="3">
        <v>1</v>
      </c>
      <c r="T36" s="3">
        <v>0</v>
      </c>
      <c r="U36" s="3">
        <v>0</v>
      </c>
      <c r="V36" s="3">
        <v>0</v>
      </c>
      <c r="W36" s="3">
        <v>0</v>
      </c>
      <c r="X36" s="3"/>
      <c r="Y36" s="3"/>
      <c r="Z36" s="3"/>
      <c r="AA36" s="3"/>
      <c r="AB36" s="3"/>
      <c r="AC36" s="32">
        <f t="shared" si="2"/>
        <v>10</v>
      </c>
    </row>
    <row r="37" spans="2:29" x14ac:dyDescent="0.25">
      <c r="B37" s="41" t="s">
        <v>8</v>
      </c>
      <c r="C37" s="41"/>
      <c r="D37" s="3">
        <v>1</v>
      </c>
      <c r="E37" s="3">
        <v>0</v>
      </c>
      <c r="F37" s="3">
        <v>1</v>
      </c>
      <c r="G37" s="3">
        <v>1</v>
      </c>
      <c r="H37" s="3">
        <v>1</v>
      </c>
      <c r="I37" s="3">
        <v>2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2</v>
      </c>
      <c r="P37" s="3">
        <v>0</v>
      </c>
      <c r="Q37" s="3">
        <v>0</v>
      </c>
      <c r="R37" s="75"/>
      <c r="S37" s="3">
        <v>0</v>
      </c>
      <c r="T37" s="3">
        <v>1</v>
      </c>
      <c r="U37" s="3">
        <v>0</v>
      </c>
      <c r="V37" s="3">
        <v>0</v>
      </c>
      <c r="W37" s="3">
        <v>0</v>
      </c>
      <c r="X37" s="3"/>
      <c r="Y37" s="3"/>
      <c r="Z37" s="3"/>
      <c r="AA37" s="3"/>
      <c r="AB37" s="3"/>
      <c r="AC37" s="32">
        <f t="shared" si="2"/>
        <v>10</v>
      </c>
    </row>
    <row r="38" spans="2:29" x14ac:dyDescent="0.25">
      <c r="B38" s="41" t="s">
        <v>9</v>
      </c>
      <c r="C38" s="41"/>
      <c r="D38" s="3">
        <v>1</v>
      </c>
      <c r="E38" s="3">
        <v>0</v>
      </c>
      <c r="F38" s="3">
        <v>0</v>
      </c>
      <c r="G38" s="3">
        <v>1</v>
      </c>
      <c r="H38" s="3">
        <v>0</v>
      </c>
      <c r="I38" s="3">
        <v>2</v>
      </c>
      <c r="J38" s="3">
        <v>1</v>
      </c>
      <c r="K38" s="3">
        <v>0</v>
      </c>
      <c r="L38" s="3">
        <v>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75"/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/>
      <c r="Y38" s="3"/>
      <c r="Z38" s="3"/>
      <c r="AA38" s="3"/>
      <c r="AB38" s="3"/>
      <c r="AC38" s="32">
        <f t="shared" si="2"/>
        <v>6</v>
      </c>
    </row>
    <row r="39" spans="2:29" x14ac:dyDescent="0.25">
      <c r="B39" s="41" t="s">
        <v>18</v>
      </c>
      <c r="C39" s="41"/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1</v>
      </c>
      <c r="J39" s="3">
        <v>0</v>
      </c>
      <c r="K39" s="3">
        <v>1</v>
      </c>
      <c r="L39" s="3">
        <v>0</v>
      </c>
      <c r="M39" s="3">
        <v>0</v>
      </c>
      <c r="N39" s="3">
        <v>0</v>
      </c>
      <c r="O39" s="3">
        <v>4</v>
      </c>
      <c r="P39" s="3">
        <v>0</v>
      </c>
      <c r="Q39" s="3">
        <v>0</v>
      </c>
      <c r="R39" s="75"/>
      <c r="S39" s="3">
        <v>0</v>
      </c>
      <c r="T39" s="3">
        <v>0</v>
      </c>
      <c r="U39" s="3">
        <v>1</v>
      </c>
      <c r="V39" s="3">
        <v>0</v>
      </c>
      <c r="W39" s="3">
        <v>0</v>
      </c>
      <c r="X39" s="3"/>
      <c r="Y39" s="3"/>
      <c r="Z39" s="3"/>
      <c r="AA39" s="3"/>
      <c r="AB39" s="3"/>
      <c r="AC39" s="32">
        <f t="shared" si="2"/>
        <v>10</v>
      </c>
    </row>
    <row r="40" spans="2:29" x14ac:dyDescent="0.25">
      <c r="B40" s="41" t="s">
        <v>19</v>
      </c>
      <c r="C40" s="41"/>
      <c r="D40" s="3">
        <v>0</v>
      </c>
      <c r="E40" s="3">
        <v>1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1</v>
      </c>
      <c r="L40" s="3">
        <v>0</v>
      </c>
      <c r="M40" s="3">
        <v>1</v>
      </c>
      <c r="N40" s="3">
        <v>0</v>
      </c>
      <c r="O40" s="3">
        <v>0</v>
      </c>
      <c r="P40" s="3">
        <v>0</v>
      </c>
      <c r="Q40" s="3">
        <v>1</v>
      </c>
      <c r="R40" s="75"/>
      <c r="S40" s="3">
        <v>0</v>
      </c>
      <c r="T40" s="3">
        <v>0</v>
      </c>
      <c r="U40" s="3">
        <v>1</v>
      </c>
      <c r="V40" s="3">
        <v>1</v>
      </c>
      <c r="W40" s="3">
        <v>1</v>
      </c>
      <c r="X40" s="3"/>
      <c r="Y40" s="3"/>
      <c r="Z40" s="3"/>
      <c r="AA40" s="3"/>
      <c r="AB40" s="3"/>
      <c r="AC40" s="32">
        <f t="shared" si="2"/>
        <v>7</v>
      </c>
    </row>
    <row r="41" spans="2:29" x14ac:dyDescent="0.25">
      <c r="B41" s="41" t="s">
        <v>20</v>
      </c>
      <c r="C41" s="41"/>
      <c r="D41" s="3">
        <v>2</v>
      </c>
      <c r="E41" s="3">
        <v>1</v>
      </c>
      <c r="F41" s="3">
        <v>1</v>
      </c>
      <c r="G41" s="3">
        <v>0</v>
      </c>
      <c r="H41" s="3">
        <v>2</v>
      </c>
      <c r="I41" s="3">
        <v>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2</v>
      </c>
      <c r="P41" s="3">
        <v>0</v>
      </c>
      <c r="Q41" s="3">
        <v>0</v>
      </c>
      <c r="R41" s="75"/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/>
      <c r="Y41" s="3"/>
      <c r="Z41" s="3"/>
      <c r="AA41" s="3"/>
      <c r="AB41" s="3"/>
      <c r="AC41" s="32">
        <f t="shared" si="2"/>
        <v>14</v>
      </c>
    </row>
    <row r="42" spans="2:29" x14ac:dyDescent="0.25">
      <c r="B42" s="41" t="s">
        <v>12</v>
      </c>
      <c r="C42" s="41"/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1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75"/>
      <c r="S42" s="3">
        <v>1</v>
      </c>
      <c r="T42" s="3">
        <v>0</v>
      </c>
      <c r="U42" s="3">
        <v>0</v>
      </c>
      <c r="V42" s="3">
        <v>0</v>
      </c>
      <c r="W42" s="3">
        <v>0</v>
      </c>
      <c r="X42" s="3"/>
      <c r="Y42" s="3"/>
      <c r="Z42" s="3"/>
      <c r="AA42" s="3"/>
      <c r="AB42" s="3"/>
      <c r="AC42" s="32">
        <f t="shared" si="2"/>
        <v>4</v>
      </c>
    </row>
    <row r="43" spans="2:29" x14ac:dyDescent="0.25">
      <c r="B43" s="41" t="s">
        <v>21</v>
      </c>
      <c r="C43" s="41"/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</v>
      </c>
      <c r="P43" s="3">
        <v>0</v>
      </c>
      <c r="Q43" s="3">
        <v>1</v>
      </c>
      <c r="R43" s="75"/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/>
      <c r="Y43" s="3"/>
      <c r="Z43" s="3"/>
      <c r="AA43" s="3"/>
      <c r="AB43" s="3"/>
      <c r="AC43" s="32">
        <f t="shared" si="2"/>
        <v>2</v>
      </c>
    </row>
    <row r="44" spans="2:29" x14ac:dyDescent="0.25">
      <c r="B44" s="41" t="s">
        <v>10</v>
      </c>
      <c r="C44" s="41"/>
      <c r="D44" s="3">
        <v>1</v>
      </c>
      <c r="E44" s="3">
        <v>0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1</v>
      </c>
      <c r="L44" s="3">
        <v>0</v>
      </c>
      <c r="M44" s="3">
        <v>0</v>
      </c>
      <c r="N44" s="3">
        <v>2</v>
      </c>
      <c r="O44" s="3">
        <v>1</v>
      </c>
      <c r="P44" s="3">
        <v>0</v>
      </c>
      <c r="Q44" s="3">
        <v>1</v>
      </c>
      <c r="R44" s="75"/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/>
      <c r="Y44" s="3"/>
      <c r="Z44" s="3"/>
      <c r="AA44" s="3"/>
      <c r="AB44" s="3"/>
      <c r="AC44" s="32">
        <f t="shared" si="2"/>
        <v>8</v>
      </c>
    </row>
    <row r="45" spans="2:29" x14ac:dyDescent="0.25">
      <c r="B45" s="41" t="s">
        <v>11</v>
      </c>
      <c r="C45" s="41"/>
      <c r="D45" s="3">
        <v>0</v>
      </c>
      <c r="E45" s="3">
        <v>0</v>
      </c>
      <c r="F45" s="3">
        <v>0</v>
      </c>
      <c r="G45" s="3">
        <v>2</v>
      </c>
      <c r="H45" s="3">
        <v>0</v>
      </c>
      <c r="I45" s="3">
        <v>2</v>
      </c>
      <c r="J45" s="3">
        <v>2</v>
      </c>
      <c r="K45" s="3">
        <v>1</v>
      </c>
      <c r="L45" s="3">
        <v>1</v>
      </c>
      <c r="M45" s="3">
        <v>1</v>
      </c>
      <c r="N45" s="3">
        <v>1</v>
      </c>
      <c r="O45" s="3">
        <v>2</v>
      </c>
      <c r="P45" s="3">
        <v>3</v>
      </c>
      <c r="Q45" s="3">
        <v>1</v>
      </c>
      <c r="R45" s="75"/>
      <c r="S45" s="3">
        <v>0</v>
      </c>
      <c r="T45" s="3">
        <v>1</v>
      </c>
      <c r="U45" s="3">
        <v>1</v>
      </c>
      <c r="V45" s="3">
        <v>1</v>
      </c>
      <c r="W45" s="3">
        <v>1</v>
      </c>
      <c r="X45" s="3"/>
      <c r="Y45" s="3"/>
      <c r="Z45" s="3"/>
      <c r="AA45" s="3"/>
      <c r="AB45" s="3"/>
      <c r="AC45" s="32">
        <f t="shared" si="2"/>
        <v>20</v>
      </c>
    </row>
    <row r="46" spans="2:29" x14ac:dyDescent="0.25">
      <c r="B46" s="41" t="s">
        <v>13</v>
      </c>
      <c r="C46" s="41"/>
      <c r="D46" s="3">
        <v>1</v>
      </c>
      <c r="E46" s="3">
        <v>1</v>
      </c>
      <c r="F46" s="3">
        <v>0</v>
      </c>
      <c r="G46" s="3">
        <v>1</v>
      </c>
      <c r="H46" s="3">
        <v>0</v>
      </c>
      <c r="I46" s="3">
        <v>0</v>
      </c>
      <c r="J46" s="3">
        <v>0</v>
      </c>
      <c r="K46" s="3">
        <v>0</v>
      </c>
      <c r="L46" s="3">
        <v>1</v>
      </c>
      <c r="M46" s="3">
        <v>0</v>
      </c>
      <c r="N46" s="3">
        <v>1</v>
      </c>
      <c r="O46" s="3">
        <v>1</v>
      </c>
      <c r="P46" s="3">
        <v>0</v>
      </c>
      <c r="Q46" s="3">
        <v>0</v>
      </c>
      <c r="R46" s="75"/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/>
      <c r="Y46" s="3"/>
      <c r="Z46" s="3"/>
      <c r="AA46" s="3"/>
      <c r="AB46" s="3"/>
      <c r="AC46" s="32">
        <f t="shared" si="2"/>
        <v>6</v>
      </c>
    </row>
    <row r="47" spans="2:29" x14ac:dyDescent="0.25">
      <c r="B47" s="41" t="s">
        <v>28</v>
      </c>
      <c r="C47" s="41"/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2</v>
      </c>
      <c r="P47" s="3">
        <v>0</v>
      </c>
      <c r="Q47" s="3">
        <v>0</v>
      </c>
      <c r="R47" s="75"/>
      <c r="S47" s="3">
        <v>0</v>
      </c>
      <c r="T47" s="3">
        <v>0</v>
      </c>
      <c r="U47" s="3">
        <v>0</v>
      </c>
      <c r="V47" s="3">
        <v>1</v>
      </c>
      <c r="W47" s="3">
        <v>1</v>
      </c>
      <c r="X47" s="3"/>
      <c r="Y47" s="3"/>
      <c r="Z47" s="3"/>
      <c r="AA47" s="3"/>
      <c r="AB47" s="3"/>
      <c r="AC47" s="32">
        <f t="shared" si="2"/>
        <v>4</v>
      </c>
    </row>
    <row r="48" spans="2:29" x14ac:dyDescent="0.25">
      <c r="B48" s="41" t="s">
        <v>29</v>
      </c>
      <c r="C48" s="41"/>
      <c r="D48" s="3">
        <v>0</v>
      </c>
      <c r="E48" s="3">
        <v>0</v>
      </c>
      <c r="F48" s="3">
        <v>0</v>
      </c>
      <c r="G48" s="3">
        <v>1</v>
      </c>
      <c r="H48" s="3">
        <v>0</v>
      </c>
      <c r="I48" s="3">
        <v>2</v>
      </c>
      <c r="J48" s="3">
        <v>1</v>
      </c>
      <c r="K48" s="3">
        <v>2</v>
      </c>
      <c r="L48" s="3">
        <v>0</v>
      </c>
      <c r="M48" s="3">
        <v>0</v>
      </c>
      <c r="N48" s="3">
        <v>0</v>
      </c>
      <c r="O48" s="3">
        <v>1</v>
      </c>
      <c r="P48" s="3">
        <v>0</v>
      </c>
      <c r="Q48" s="3">
        <v>0</v>
      </c>
      <c r="R48" s="75"/>
      <c r="S48" s="3">
        <v>0</v>
      </c>
      <c r="T48" s="3">
        <v>1</v>
      </c>
      <c r="U48" s="3">
        <v>0</v>
      </c>
      <c r="V48" s="3">
        <v>0</v>
      </c>
      <c r="W48" s="3">
        <v>0</v>
      </c>
      <c r="X48" s="3"/>
      <c r="Y48" s="3"/>
      <c r="Z48" s="3"/>
      <c r="AA48" s="3"/>
      <c r="AB48" s="3"/>
      <c r="AC48" s="32">
        <f t="shared" si="2"/>
        <v>8</v>
      </c>
    </row>
    <row r="49" spans="2:61" x14ac:dyDescent="0.25">
      <c r="B49" s="41" t="s">
        <v>14</v>
      </c>
      <c r="C49" s="41"/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3</v>
      </c>
      <c r="P49" s="3">
        <v>0</v>
      </c>
      <c r="Q49" s="3">
        <v>1</v>
      </c>
      <c r="R49" s="75"/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/>
      <c r="Y49" s="3"/>
      <c r="Z49" s="3"/>
      <c r="AA49" s="3"/>
      <c r="AB49" s="3"/>
      <c r="AC49" s="32">
        <f t="shared" si="2"/>
        <v>9</v>
      </c>
    </row>
    <row r="50" spans="2:61" x14ac:dyDescent="0.25">
      <c r="B50" s="41" t="s">
        <v>15</v>
      </c>
      <c r="C50" s="41"/>
      <c r="D50" s="3">
        <v>2</v>
      </c>
      <c r="E50" s="3">
        <v>1</v>
      </c>
      <c r="F50" s="3">
        <v>1</v>
      </c>
      <c r="G50" s="3">
        <v>0</v>
      </c>
      <c r="H50" s="3">
        <v>1</v>
      </c>
      <c r="I50" s="3">
        <v>0</v>
      </c>
      <c r="J50" s="3">
        <v>1</v>
      </c>
      <c r="K50" s="3">
        <v>0</v>
      </c>
      <c r="L50" s="3">
        <v>1</v>
      </c>
      <c r="M50" s="3">
        <v>0</v>
      </c>
      <c r="N50" s="3">
        <v>0</v>
      </c>
      <c r="O50" s="3">
        <v>2</v>
      </c>
      <c r="P50" s="3">
        <v>0</v>
      </c>
      <c r="Q50" s="3">
        <v>1</v>
      </c>
      <c r="R50" s="75"/>
      <c r="S50" s="3">
        <v>1</v>
      </c>
      <c r="T50" s="3">
        <v>0</v>
      </c>
      <c r="U50" s="3">
        <v>0</v>
      </c>
      <c r="V50" s="3">
        <v>1</v>
      </c>
      <c r="W50" s="3">
        <v>1</v>
      </c>
      <c r="X50" s="3"/>
      <c r="Y50" s="3"/>
      <c r="Z50" s="3"/>
      <c r="AA50" s="3"/>
      <c r="AB50" s="3"/>
      <c r="AC50" s="32">
        <f t="shared" si="2"/>
        <v>13</v>
      </c>
    </row>
    <row r="51" spans="2:61" x14ac:dyDescent="0.25">
      <c r="B51" s="41" t="s">
        <v>16</v>
      </c>
      <c r="C51" s="41"/>
      <c r="D51" s="3">
        <v>1</v>
      </c>
      <c r="E51" s="3">
        <v>0</v>
      </c>
      <c r="F51" s="3">
        <v>1</v>
      </c>
      <c r="G51" s="3">
        <v>0</v>
      </c>
      <c r="H51" s="3">
        <v>1</v>
      </c>
      <c r="I51" s="3">
        <v>1</v>
      </c>
      <c r="J51" s="3">
        <v>0</v>
      </c>
      <c r="K51" s="3">
        <v>0</v>
      </c>
      <c r="L51" s="3">
        <v>0</v>
      </c>
      <c r="M51" s="3">
        <v>0</v>
      </c>
      <c r="N51" s="3">
        <v>1</v>
      </c>
      <c r="O51" s="3">
        <v>2</v>
      </c>
      <c r="P51" s="3">
        <v>1</v>
      </c>
      <c r="Q51" s="3">
        <v>0</v>
      </c>
      <c r="R51" s="75"/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/>
      <c r="Y51" s="3"/>
      <c r="Z51" s="3"/>
      <c r="AA51" s="3"/>
      <c r="AB51" s="3"/>
      <c r="AC51" s="32">
        <f t="shared" si="2"/>
        <v>8</v>
      </c>
    </row>
    <row r="52" spans="2:61" x14ac:dyDescent="0.25">
      <c r="B52" s="41" t="s">
        <v>17</v>
      </c>
      <c r="C52" s="41"/>
      <c r="D52" s="3">
        <v>0</v>
      </c>
      <c r="E52" s="3">
        <v>1</v>
      </c>
      <c r="F52" s="3">
        <v>1</v>
      </c>
      <c r="G52" s="3">
        <v>0</v>
      </c>
      <c r="H52" s="3">
        <v>0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3</v>
      </c>
      <c r="O52" s="3">
        <v>4</v>
      </c>
      <c r="P52" s="3">
        <v>2</v>
      </c>
      <c r="Q52" s="3">
        <v>4</v>
      </c>
      <c r="R52" s="76"/>
      <c r="S52" s="3">
        <v>0</v>
      </c>
      <c r="T52" s="3">
        <v>0</v>
      </c>
      <c r="U52" s="3">
        <v>1</v>
      </c>
      <c r="V52" s="3">
        <v>0</v>
      </c>
      <c r="W52" s="3">
        <v>0</v>
      </c>
      <c r="X52" s="3"/>
      <c r="Y52" s="3"/>
      <c r="Z52" s="3"/>
      <c r="AA52" s="3"/>
      <c r="AB52" s="3"/>
      <c r="AC52" s="32">
        <f t="shared" si="2"/>
        <v>21</v>
      </c>
    </row>
    <row r="53" spans="2:61" x14ac:dyDescent="0.25">
      <c r="B53" s="9" t="s">
        <v>27</v>
      </c>
      <c r="C53" s="2"/>
      <c r="D53" s="2">
        <f t="shared" ref="D53:AA53" si="3">D33+D34+D35+D36+D37+D38+D39+D40+D41+D42+D43+D44+D45+D46+D47+D48+D49+D50+D51+D52</f>
        <v>13</v>
      </c>
      <c r="E53" s="2">
        <f t="shared" si="3"/>
        <v>8</v>
      </c>
      <c r="F53" s="2">
        <f t="shared" si="3"/>
        <v>7</v>
      </c>
      <c r="G53" s="2">
        <f t="shared" si="3"/>
        <v>10</v>
      </c>
      <c r="H53" s="2">
        <f t="shared" si="3"/>
        <v>6</v>
      </c>
      <c r="I53" s="2">
        <f t="shared" si="3"/>
        <v>23</v>
      </c>
      <c r="J53" s="4">
        <f t="shared" si="3"/>
        <v>12</v>
      </c>
      <c r="K53" s="4">
        <f t="shared" si="3"/>
        <v>12</v>
      </c>
      <c r="L53" s="4">
        <f t="shared" si="3"/>
        <v>5</v>
      </c>
      <c r="M53" s="4">
        <f t="shared" si="3"/>
        <v>4</v>
      </c>
      <c r="N53" s="4">
        <f t="shared" si="3"/>
        <v>11</v>
      </c>
      <c r="O53" s="2">
        <f t="shared" si="3"/>
        <v>30</v>
      </c>
      <c r="P53" s="2">
        <f t="shared" si="3"/>
        <v>7</v>
      </c>
      <c r="Q53" s="2">
        <f t="shared" si="3"/>
        <v>13</v>
      </c>
      <c r="R53" s="2">
        <v>0</v>
      </c>
      <c r="S53" s="2">
        <f t="shared" si="3"/>
        <v>4</v>
      </c>
      <c r="T53" s="2">
        <f t="shared" si="3"/>
        <v>4</v>
      </c>
      <c r="U53" s="2">
        <f t="shared" si="3"/>
        <v>5</v>
      </c>
      <c r="V53" s="2">
        <f t="shared" si="3"/>
        <v>5</v>
      </c>
      <c r="W53" s="2">
        <f t="shared" si="3"/>
        <v>5</v>
      </c>
      <c r="X53" s="2">
        <f t="shared" si="3"/>
        <v>0</v>
      </c>
      <c r="Y53" s="2">
        <f t="shared" si="3"/>
        <v>0</v>
      </c>
      <c r="Z53" s="2">
        <f t="shared" si="3"/>
        <v>0</v>
      </c>
      <c r="AA53" s="2">
        <f t="shared" si="3"/>
        <v>0</v>
      </c>
      <c r="AB53" s="2"/>
      <c r="AC53" s="32">
        <f t="shared" ref="AC53" si="4">AC33+AC34+AC35+AC36+AC37+AC38+AC39+AC40+AC41+AC42+AC43+AC44+AC45+AC46+AC47+AC48+AC49+AC50+AC51+AC52</f>
        <v>184</v>
      </c>
    </row>
    <row r="56" spans="2:61" x14ac:dyDescent="0.25">
      <c r="B56" s="64" t="s">
        <v>24</v>
      </c>
      <c r="C56" s="64"/>
      <c r="D56" s="43" t="s">
        <v>37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E56" s="64" t="s">
        <v>24</v>
      </c>
      <c r="AF56" s="64"/>
      <c r="AG56" s="43" t="s">
        <v>38</v>
      </c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</row>
    <row r="57" spans="2:61" x14ac:dyDescent="0.25">
      <c r="B57" s="64" t="s">
        <v>23</v>
      </c>
      <c r="C57" s="64"/>
      <c r="D57" s="2" t="s">
        <v>0</v>
      </c>
      <c r="E57" s="4" t="s">
        <v>1</v>
      </c>
      <c r="F57" s="4" t="s">
        <v>1</v>
      </c>
      <c r="G57" s="4" t="s">
        <v>2</v>
      </c>
      <c r="H57" s="4" t="s">
        <v>3</v>
      </c>
      <c r="I57" s="2" t="s">
        <v>0</v>
      </c>
      <c r="J57" s="4" t="s">
        <v>1</v>
      </c>
      <c r="K57" s="4" t="s">
        <v>1</v>
      </c>
      <c r="L57" s="4" t="s">
        <v>2</v>
      </c>
      <c r="M57" s="4" t="s">
        <v>3</v>
      </c>
      <c r="N57" s="2" t="s">
        <v>0</v>
      </c>
      <c r="O57" s="4" t="s">
        <v>1</v>
      </c>
      <c r="P57" s="4" t="s">
        <v>1</v>
      </c>
      <c r="Q57" s="4" t="s">
        <v>2</v>
      </c>
      <c r="R57" s="4" t="s">
        <v>3</v>
      </c>
      <c r="S57" s="2" t="s">
        <v>0</v>
      </c>
      <c r="T57" s="4" t="s">
        <v>1</v>
      </c>
      <c r="U57" s="4" t="s">
        <v>1</v>
      </c>
      <c r="V57" s="4" t="s">
        <v>2</v>
      </c>
      <c r="W57" s="4" t="s">
        <v>3</v>
      </c>
      <c r="X57" s="2" t="s">
        <v>0</v>
      </c>
      <c r="Y57" s="4" t="s">
        <v>1</v>
      </c>
      <c r="Z57" s="4" t="s">
        <v>1</v>
      </c>
      <c r="AA57" s="4" t="s">
        <v>2</v>
      </c>
      <c r="AB57" s="4" t="s">
        <v>3</v>
      </c>
      <c r="AC57" s="2" t="s">
        <v>27</v>
      </c>
      <c r="AE57" s="64" t="s">
        <v>23</v>
      </c>
      <c r="AF57" s="64"/>
      <c r="AG57" s="2" t="s">
        <v>0</v>
      </c>
      <c r="AH57" s="4" t="s">
        <v>1</v>
      </c>
      <c r="AI57" s="4" t="s">
        <v>1</v>
      </c>
      <c r="AJ57" s="4" t="s">
        <v>2</v>
      </c>
      <c r="AK57" s="4" t="s">
        <v>3</v>
      </c>
      <c r="AL57" s="30" t="s">
        <v>40</v>
      </c>
      <c r="AM57" s="2" t="s">
        <v>0</v>
      </c>
      <c r="AN57" s="4" t="s">
        <v>1</v>
      </c>
      <c r="AO57" s="4" t="s">
        <v>1</v>
      </c>
      <c r="AP57" s="4" t="s">
        <v>2</v>
      </c>
      <c r="AQ57" s="4" t="s">
        <v>3</v>
      </c>
      <c r="AR57" s="25" t="s">
        <v>39</v>
      </c>
      <c r="AS57" s="2" t="s">
        <v>0</v>
      </c>
      <c r="AT57" s="4" t="s">
        <v>1</v>
      </c>
      <c r="AU57" s="4" t="s">
        <v>1</v>
      </c>
      <c r="AV57" s="4" t="s">
        <v>2</v>
      </c>
      <c r="AW57" s="4" t="s">
        <v>3</v>
      </c>
      <c r="AX57" s="25" t="s">
        <v>40</v>
      </c>
      <c r="AY57" s="2" t="s">
        <v>0</v>
      </c>
      <c r="AZ57" s="4" t="s">
        <v>1</v>
      </c>
      <c r="BA57" s="4" t="s">
        <v>1</v>
      </c>
      <c r="BB57" s="4" t="s">
        <v>2</v>
      </c>
      <c r="BC57" s="4" t="s">
        <v>3</v>
      </c>
      <c r="BD57" s="2" t="s">
        <v>0</v>
      </c>
      <c r="BE57" s="4" t="s">
        <v>1</v>
      </c>
      <c r="BF57" s="4" t="s">
        <v>1</v>
      </c>
      <c r="BG57" s="4" t="s">
        <v>2</v>
      </c>
      <c r="BH57" s="4" t="s">
        <v>3</v>
      </c>
      <c r="BI57" s="2" t="s">
        <v>27</v>
      </c>
    </row>
    <row r="58" spans="2:61" x14ac:dyDescent="0.25">
      <c r="B58" s="64" t="s">
        <v>22</v>
      </c>
      <c r="C58" s="64"/>
      <c r="D58" s="42">
        <v>1</v>
      </c>
      <c r="E58" s="42">
        <v>2</v>
      </c>
      <c r="F58" s="42">
        <v>3</v>
      </c>
      <c r="G58" s="42">
        <v>4</v>
      </c>
      <c r="H58" s="42">
        <v>5</v>
      </c>
      <c r="I58" s="46">
        <v>8</v>
      </c>
      <c r="J58" s="46">
        <v>9</v>
      </c>
      <c r="K58" s="46">
        <v>10</v>
      </c>
      <c r="L58" s="46">
        <v>11</v>
      </c>
      <c r="M58" s="46">
        <v>12</v>
      </c>
      <c r="N58" s="42">
        <v>15</v>
      </c>
      <c r="O58" s="42">
        <v>16</v>
      </c>
      <c r="P58" s="42">
        <v>17</v>
      </c>
      <c r="Q58" s="42">
        <v>18</v>
      </c>
      <c r="R58" s="42">
        <v>19</v>
      </c>
      <c r="S58" s="42">
        <v>22</v>
      </c>
      <c r="T58" s="42">
        <v>23</v>
      </c>
      <c r="U58" s="42">
        <v>24</v>
      </c>
      <c r="V58" s="42">
        <v>25</v>
      </c>
      <c r="W58" s="42">
        <v>26</v>
      </c>
      <c r="X58" s="42">
        <v>29</v>
      </c>
      <c r="Y58" s="42">
        <v>30</v>
      </c>
      <c r="Z58" s="42">
        <v>31</v>
      </c>
      <c r="AA58" s="42"/>
      <c r="AB58" s="42"/>
      <c r="AC58" s="62"/>
      <c r="AE58" s="64" t="s">
        <v>22</v>
      </c>
      <c r="AF58" s="64"/>
      <c r="AG58" s="66"/>
      <c r="AH58" s="66"/>
      <c r="AI58" s="66"/>
      <c r="AJ58" s="67">
        <v>1</v>
      </c>
      <c r="AK58" s="67">
        <v>2</v>
      </c>
      <c r="AL58" s="69">
        <v>3</v>
      </c>
      <c r="AM58" s="67">
        <v>5</v>
      </c>
      <c r="AN58" s="77">
        <v>6</v>
      </c>
      <c r="AO58" s="67">
        <v>7</v>
      </c>
      <c r="AP58" s="67">
        <v>8</v>
      </c>
      <c r="AQ58" s="67">
        <v>9</v>
      </c>
      <c r="AR58" s="69">
        <v>10</v>
      </c>
      <c r="AS58" s="67">
        <v>12</v>
      </c>
      <c r="AT58" s="67">
        <v>13</v>
      </c>
      <c r="AU58" s="67">
        <v>14</v>
      </c>
      <c r="AV58" s="67">
        <v>15</v>
      </c>
      <c r="AW58" s="67">
        <v>16</v>
      </c>
      <c r="AX58" s="69">
        <v>17</v>
      </c>
      <c r="AY58" s="67">
        <v>19</v>
      </c>
      <c r="AZ58" s="67">
        <v>20</v>
      </c>
      <c r="BA58" s="67">
        <v>21</v>
      </c>
      <c r="BB58" s="67">
        <v>22</v>
      </c>
      <c r="BC58" s="67">
        <v>23</v>
      </c>
      <c r="BD58" s="67">
        <v>26</v>
      </c>
      <c r="BE58" s="67">
        <v>27</v>
      </c>
      <c r="BF58" s="67">
        <v>28</v>
      </c>
      <c r="BG58" s="67">
        <v>29</v>
      </c>
      <c r="BH58" s="67">
        <v>30</v>
      </c>
      <c r="BI58" s="62"/>
    </row>
    <row r="59" spans="2:61" x14ac:dyDescent="0.25">
      <c r="B59" s="65" t="s">
        <v>25</v>
      </c>
      <c r="C59" s="45"/>
      <c r="D59" s="42"/>
      <c r="E59" s="42"/>
      <c r="F59" s="42"/>
      <c r="G59" s="42"/>
      <c r="H59" s="42"/>
      <c r="I59" s="46"/>
      <c r="J59" s="46"/>
      <c r="K59" s="46"/>
      <c r="L59" s="46"/>
      <c r="M59" s="46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63"/>
      <c r="AE59" s="65" t="s">
        <v>25</v>
      </c>
      <c r="AF59" s="45"/>
      <c r="AG59" s="66"/>
      <c r="AH59" s="66"/>
      <c r="AI59" s="66"/>
      <c r="AJ59" s="68"/>
      <c r="AK59" s="68"/>
      <c r="AL59" s="70"/>
      <c r="AM59" s="68"/>
      <c r="AN59" s="78"/>
      <c r="AO59" s="68"/>
      <c r="AP59" s="68"/>
      <c r="AQ59" s="68"/>
      <c r="AR59" s="70"/>
      <c r="AS59" s="68"/>
      <c r="AT59" s="68"/>
      <c r="AU59" s="68"/>
      <c r="AV59" s="68"/>
      <c r="AW59" s="68"/>
      <c r="AX59" s="70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3"/>
    </row>
    <row r="60" spans="2:61" x14ac:dyDescent="0.25">
      <c r="B60" s="45" t="s">
        <v>4</v>
      </c>
      <c r="C60" s="45"/>
      <c r="D60" s="74" t="s">
        <v>42</v>
      </c>
      <c r="E60" s="74" t="s">
        <v>42</v>
      </c>
      <c r="F60" s="74" t="s">
        <v>42</v>
      </c>
      <c r="G60" s="74" t="s">
        <v>42</v>
      </c>
      <c r="H60" s="74" t="s">
        <v>42</v>
      </c>
      <c r="I60" s="74" t="s">
        <v>42</v>
      </c>
      <c r="J60" s="74" t="s">
        <v>42</v>
      </c>
      <c r="K60" s="74" t="s">
        <v>42</v>
      </c>
      <c r="L60" s="74" t="s">
        <v>42</v>
      </c>
      <c r="M60" s="74" t="s">
        <v>42</v>
      </c>
      <c r="N60" s="74" t="s">
        <v>42</v>
      </c>
      <c r="O60" s="74" t="s">
        <v>42</v>
      </c>
      <c r="P60" s="74" t="s">
        <v>42</v>
      </c>
      <c r="Q60" s="74" t="s">
        <v>42</v>
      </c>
      <c r="R60" s="74" t="s">
        <v>42</v>
      </c>
      <c r="S60" s="3">
        <v>1</v>
      </c>
      <c r="T60" s="3">
        <v>1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/>
      <c r="AB60" s="3"/>
      <c r="AC60" s="32">
        <f>S60+T60+V60+U60+W60+X60+Y60+Z60+AA60+AB60</f>
        <v>2</v>
      </c>
      <c r="AE60" s="45" t="s">
        <v>4</v>
      </c>
      <c r="AF60" s="45"/>
      <c r="AG60" s="3"/>
      <c r="AH60" s="3"/>
      <c r="AI60" s="3">
        <v>0</v>
      </c>
      <c r="AJ60" s="3">
        <v>0</v>
      </c>
      <c r="AK60" s="3">
        <v>0</v>
      </c>
      <c r="AL60" s="31">
        <v>0</v>
      </c>
      <c r="AM60" s="3">
        <v>1</v>
      </c>
      <c r="AN60" s="74" t="s">
        <v>41</v>
      </c>
      <c r="AO60" s="3">
        <v>0</v>
      </c>
      <c r="AP60" s="3">
        <v>1</v>
      </c>
      <c r="AQ60" s="3">
        <v>1</v>
      </c>
      <c r="AR60" s="26">
        <v>1</v>
      </c>
      <c r="AS60" s="3">
        <v>1</v>
      </c>
      <c r="AT60" s="3">
        <v>1</v>
      </c>
      <c r="AU60" s="3">
        <v>1</v>
      </c>
      <c r="AV60" s="3">
        <v>1</v>
      </c>
      <c r="AW60" s="3">
        <v>1</v>
      </c>
      <c r="AX60" s="26">
        <v>2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/>
      <c r="BE60" s="3"/>
      <c r="BF60" s="3"/>
      <c r="BG60" s="3"/>
      <c r="BH60" s="3"/>
      <c r="BI60" s="32">
        <f>AI60+AJ60+AK60+AL60+AM60+AO60+AP60+AQ60+AR60+AS60+AT60+AU60+AV60+AW60+AX60+AY60+AZ60+BA60+BB60+BC60</f>
        <v>11</v>
      </c>
    </row>
    <row r="61" spans="2:61" x14ac:dyDescent="0.25">
      <c r="B61" s="41" t="s">
        <v>7</v>
      </c>
      <c r="C61" s="41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3">
        <v>0</v>
      </c>
      <c r="T61" s="3">
        <v>0</v>
      </c>
      <c r="U61" s="3">
        <v>1</v>
      </c>
      <c r="V61" s="3">
        <v>0</v>
      </c>
      <c r="W61" s="3">
        <v>0</v>
      </c>
      <c r="X61" s="3">
        <v>0</v>
      </c>
      <c r="Y61" s="3">
        <v>1</v>
      </c>
      <c r="Z61" s="3">
        <v>0</v>
      </c>
      <c r="AA61" s="3"/>
      <c r="AB61" s="3"/>
      <c r="AC61" s="32">
        <f t="shared" ref="AC61:AC79" si="5">D61+E61+F61+G61+H61+I61+J61+K61+L61+M61+N61+O61+P61+Q61+R61+S61+T61+V61+U61+W61+X61+Y61+Z61+AA61+AB61</f>
        <v>2</v>
      </c>
      <c r="AE61" s="41" t="s">
        <v>7</v>
      </c>
      <c r="AF61" s="41"/>
      <c r="AG61" s="3"/>
      <c r="AH61" s="3"/>
      <c r="AI61" s="3">
        <v>0</v>
      </c>
      <c r="AJ61" s="3">
        <v>0</v>
      </c>
      <c r="AK61" s="3">
        <v>1</v>
      </c>
      <c r="AL61" s="31">
        <v>0</v>
      </c>
      <c r="AM61" s="3">
        <v>0</v>
      </c>
      <c r="AN61" s="75"/>
      <c r="AO61" s="3">
        <v>1</v>
      </c>
      <c r="AP61" s="3">
        <v>1</v>
      </c>
      <c r="AQ61" s="3">
        <v>1</v>
      </c>
      <c r="AR61" s="26">
        <v>0</v>
      </c>
      <c r="AS61" s="3">
        <v>0</v>
      </c>
      <c r="AT61" s="3">
        <v>1</v>
      </c>
      <c r="AU61" s="3">
        <v>0</v>
      </c>
      <c r="AV61" s="3">
        <v>0</v>
      </c>
      <c r="AW61" s="3">
        <v>0</v>
      </c>
      <c r="AX61" s="26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/>
      <c r="BE61" s="3"/>
      <c r="BF61" s="3"/>
      <c r="BG61" s="3"/>
      <c r="BH61" s="3"/>
      <c r="BI61" s="33">
        <f t="shared" ref="BI61:BI79" si="6">AI61+AJ61+AK61+AL61+AM61+AO61+AP61+AQ61+AR61+AS61+AT61+AU61+AV61+AW61+AX61+AY61+AZ61+BA61+BB61+BC61</f>
        <v>5</v>
      </c>
    </row>
    <row r="62" spans="2:61" x14ac:dyDescent="0.25">
      <c r="B62" s="41" t="s">
        <v>5</v>
      </c>
      <c r="C62" s="41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3">
        <v>2</v>
      </c>
      <c r="T62" s="3">
        <v>0</v>
      </c>
      <c r="U62" s="3">
        <v>0</v>
      </c>
      <c r="V62" s="3">
        <v>0</v>
      </c>
      <c r="W62" s="3">
        <v>0</v>
      </c>
      <c r="X62" s="3">
        <v>1</v>
      </c>
      <c r="Y62" s="3">
        <v>0</v>
      </c>
      <c r="Z62" s="3">
        <v>0</v>
      </c>
      <c r="AA62" s="3"/>
      <c r="AB62" s="3"/>
      <c r="AC62" s="32">
        <f t="shared" si="5"/>
        <v>3</v>
      </c>
      <c r="AE62" s="41" t="s">
        <v>5</v>
      </c>
      <c r="AF62" s="41"/>
      <c r="AG62" s="3"/>
      <c r="AH62" s="3"/>
      <c r="AI62" s="3">
        <v>0</v>
      </c>
      <c r="AJ62" s="3">
        <v>0</v>
      </c>
      <c r="AK62" s="3">
        <v>0</v>
      </c>
      <c r="AL62" s="31">
        <v>0</v>
      </c>
      <c r="AM62" s="3">
        <v>0</v>
      </c>
      <c r="AN62" s="75"/>
      <c r="AO62" s="3">
        <v>1</v>
      </c>
      <c r="AP62" s="3">
        <v>0</v>
      </c>
      <c r="AQ62" s="3">
        <v>0</v>
      </c>
      <c r="AR62" s="26">
        <v>0</v>
      </c>
      <c r="AS62" s="3">
        <v>1</v>
      </c>
      <c r="AT62" s="3">
        <v>1</v>
      </c>
      <c r="AU62" s="3">
        <v>1</v>
      </c>
      <c r="AV62" s="3">
        <v>1</v>
      </c>
      <c r="AW62" s="3">
        <v>1</v>
      </c>
      <c r="AX62" s="26">
        <v>2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/>
      <c r="BE62" s="3"/>
      <c r="BF62" s="3"/>
      <c r="BG62" s="3"/>
      <c r="BH62" s="3"/>
      <c r="BI62" s="33">
        <f t="shared" si="6"/>
        <v>8</v>
      </c>
    </row>
    <row r="63" spans="2:61" x14ac:dyDescent="0.25">
      <c r="B63" s="41" t="s">
        <v>6</v>
      </c>
      <c r="C63" s="41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3">
        <v>1</v>
      </c>
      <c r="T63" s="3">
        <v>2</v>
      </c>
      <c r="U63" s="3">
        <v>1</v>
      </c>
      <c r="V63" s="3">
        <v>2</v>
      </c>
      <c r="W63" s="3">
        <v>2</v>
      </c>
      <c r="X63" s="3">
        <v>3</v>
      </c>
      <c r="Y63" s="3">
        <v>1</v>
      </c>
      <c r="Z63" s="3">
        <v>0</v>
      </c>
      <c r="AA63" s="3"/>
      <c r="AB63" s="3"/>
      <c r="AC63" s="32">
        <f t="shared" si="5"/>
        <v>12</v>
      </c>
      <c r="AE63" s="41" t="s">
        <v>6</v>
      </c>
      <c r="AF63" s="41"/>
      <c r="AG63" s="3"/>
      <c r="AH63" s="3"/>
      <c r="AI63" s="3">
        <v>0</v>
      </c>
      <c r="AJ63" s="3">
        <v>0</v>
      </c>
      <c r="AK63" s="3">
        <v>0</v>
      </c>
      <c r="AL63" s="31">
        <v>2</v>
      </c>
      <c r="AM63" s="3">
        <v>0</v>
      </c>
      <c r="AN63" s="75"/>
      <c r="AO63" s="3">
        <v>1</v>
      </c>
      <c r="AP63" s="3">
        <v>0</v>
      </c>
      <c r="AQ63" s="3">
        <v>1</v>
      </c>
      <c r="AR63" s="26">
        <v>0</v>
      </c>
      <c r="AS63" s="3">
        <v>1</v>
      </c>
      <c r="AT63" s="3">
        <v>0</v>
      </c>
      <c r="AU63" s="3">
        <v>1</v>
      </c>
      <c r="AV63" s="3">
        <v>0</v>
      </c>
      <c r="AW63" s="3">
        <v>2</v>
      </c>
      <c r="AX63" s="26">
        <v>2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/>
      <c r="BE63" s="3"/>
      <c r="BF63" s="3"/>
      <c r="BG63" s="3"/>
      <c r="BH63" s="3"/>
      <c r="BI63" s="33">
        <f t="shared" si="6"/>
        <v>10</v>
      </c>
    </row>
    <row r="64" spans="2:61" x14ac:dyDescent="0.25">
      <c r="B64" s="41" t="s">
        <v>8</v>
      </c>
      <c r="C64" s="41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3">
        <v>1</v>
      </c>
      <c r="T64" s="3">
        <v>1</v>
      </c>
      <c r="U64" s="3">
        <v>0</v>
      </c>
      <c r="V64" s="3">
        <v>0</v>
      </c>
      <c r="W64" s="3">
        <v>0</v>
      </c>
      <c r="X64" s="3">
        <v>1</v>
      </c>
      <c r="Y64" s="3">
        <v>0</v>
      </c>
      <c r="Z64" s="3">
        <v>1</v>
      </c>
      <c r="AA64" s="3"/>
      <c r="AB64" s="3"/>
      <c r="AC64" s="32">
        <f t="shared" si="5"/>
        <v>4</v>
      </c>
      <c r="AE64" s="41" t="s">
        <v>8</v>
      </c>
      <c r="AF64" s="41"/>
      <c r="AG64" s="3"/>
      <c r="AH64" s="3"/>
      <c r="AI64" s="3">
        <v>0</v>
      </c>
      <c r="AJ64" s="3">
        <v>0</v>
      </c>
      <c r="AK64" s="3">
        <v>0</v>
      </c>
      <c r="AL64" s="31">
        <v>0</v>
      </c>
      <c r="AM64" s="3">
        <v>1</v>
      </c>
      <c r="AN64" s="75"/>
      <c r="AO64" s="3">
        <v>0</v>
      </c>
      <c r="AP64" s="3">
        <v>1</v>
      </c>
      <c r="AQ64" s="3">
        <v>1</v>
      </c>
      <c r="AR64" s="26">
        <v>0</v>
      </c>
      <c r="AS64" s="3">
        <v>0</v>
      </c>
      <c r="AT64" s="3">
        <v>0</v>
      </c>
      <c r="AU64" s="3">
        <v>0</v>
      </c>
      <c r="AV64" s="3">
        <v>1</v>
      </c>
      <c r="AW64" s="3">
        <v>0</v>
      </c>
      <c r="AX64" s="26">
        <v>2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/>
      <c r="BE64" s="3"/>
      <c r="BF64" s="3"/>
      <c r="BG64" s="3"/>
      <c r="BH64" s="3"/>
      <c r="BI64" s="33">
        <f t="shared" si="6"/>
        <v>6</v>
      </c>
    </row>
    <row r="65" spans="2:61" x14ac:dyDescent="0.25">
      <c r="B65" s="41" t="s">
        <v>9</v>
      </c>
      <c r="C65" s="41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3">
        <v>2</v>
      </c>
      <c r="T65" s="3">
        <v>1</v>
      </c>
      <c r="U65" s="3">
        <v>1</v>
      </c>
      <c r="V65" s="3">
        <v>1</v>
      </c>
      <c r="W65" s="3">
        <v>0</v>
      </c>
      <c r="X65" s="3">
        <v>1</v>
      </c>
      <c r="Y65" s="3">
        <v>1</v>
      </c>
      <c r="Z65" s="3">
        <v>1</v>
      </c>
      <c r="AA65" s="3"/>
      <c r="AB65" s="3"/>
      <c r="AC65" s="32">
        <f t="shared" si="5"/>
        <v>8</v>
      </c>
      <c r="AE65" s="41" t="s">
        <v>9</v>
      </c>
      <c r="AF65" s="41"/>
      <c r="AG65" s="3"/>
      <c r="AH65" s="3"/>
      <c r="AI65" s="3">
        <v>0</v>
      </c>
      <c r="AJ65" s="3">
        <v>0</v>
      </c>
      <c r="AK65" s="3">
        <v>0</v>
      </c>
      <c r="AL65" s="31">
        <v>2</v>
      </c>
      <c r="AM65" s="3">
        <v>1</v>
      </c>
      <c r="AN65" s="75"/>
      <c r="AO65" s="3">
        <v>3</v>
      </c>
      <c r="AP65" s="3">
        <v>0</v>
      </c>
      <c r="AQ65" s="3">
        <v>0</v>
      </c>
      <c r="AR65" s="26">
        <v>1</v>
      </c>
      <c r="AS65" s="3">
        <v>2</v>
      </c>
      <c r="AT65" s="3">
        <v>0</v>
      </c>
      <c r="AU65" s="3">
        <v>1</v>
      </c>
      <c r="AV65" s="3">
        <v>0</v>
      </c>
      <c r="AW65" s="3">
        <v>1</v>
      </c>
      <c r="AX65" s="26">
        <v>3</v>
      </c>
      <c r="AY65" s="3">
        <v>0</v>
      </c>
      <c r="AZ65" s="3">
        <v>0</v>
      </c>
      <c r="BA65" s="3">
        <v>0</v>
      </c>
      <c r="BB65" s="3">
        <v>1</v>
      </c>
      <c r="BC65" s="3">
        <v>0</v>
      </c>
      <c r="BD65" s="3"/>
      <c r="BE65" s="3"/>
      <c r="BF65" s="3"/>
      <c r="BG65" s="3"/>
      <c r="BH65" s="3"/>
      <c r="BI65" s="33">
        <f t="shared" si="6"/>
        <v>15</v>
      </c>
    </row>
    <row r="66" spans="2:61" x14ac:dyDescent="0.25">
      <c r="B66" s="41" t="s">
        <v>18</v>
      </c>
      <c r="C66" s="41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1</v>
      </c>
      <c r="Y66" s="3">
        <v>0</v>
      </c>
      <c r="Z66" s="3">
        <v>0</v>
      </c>
      <c r="AA66" s="3"/>
      <c r="AB66" s="3"/>
      <c r="AC66" s="32">
        <f t="shared" si="5"/>
        <v>1</v>
      </c>
      <c r="AE66" s="41" t="s">
        <v>18</v>
      </c>
      <c r="AF66" s="41"/>
      <c r="AG66" s="3"/>
      <c r="AH66" s="3"/>
      <c r="AI66" s="3">
        <v>0</v>
      </c>
      <c r="AJ66" s="3">
        <v>0</v>
      </c>
      <c r="AK66" s="3">
        <v>0</v>
      </c>
      <c r="AL66" s="31">
        <v>0</v>
      </c>
      <c r="AM66" s="3">
        <v>1</v>
      </c>
      <c r="AN66" s="75"/>
      <c r="AO66" s="3">
        <v>0</v>
      </c>
      <c r="AP66" s="3">
        <v>0</v>
      </c>
      <c r="AQ66" s="3">
        <v>0</v>
      </c>
      <c r="AR66" s="26">
        <v>1</v>
      </c>
      <c r="AS66" s="3">
        <v>0</v>
      </c>
      <c r="AT66" s="3">
        <v>0</v>
      </c>
      <c r="AU66" s="3">
        <v>0</v>
      </c>
      <c r="AV66" s="3">
        <v>0</v>
      </c>
      <c r="AW66" s="3">
        <v>1</v>
      </c>
      <c r="AX66" s="26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/>
      <c r="BE66" s="3"/>
      <c r="BF66" s="3"/>
      <c r="BG66" s="3"/>
      <c r="BH66" s="3"/>
      <c r="BI66" s="33">
        <f t="shared" si="6"/>
        <v>3</v>
      </c>
    </row>
    <row r="67" spans="2:61" x14ac:dyDescent="0.25">
      <c r="B67" s="41" t="s">
        <v>19</v>
      </c>
      <c r="C67" s="41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3">
        <v>1</v>
      </c>
      <c r="T67" s="3">
        <v>2</v>
      </c>
      <c r="U67" s="3">
        <v>1</v>
      </c>
      <c r="V67" s="3">
        <v>0</v>
      </c>
      <c r="W67" s="3">
        <v>0</v>
      </c>
      <c r="X67" s="3">
        <v>0</v>
      </c>
      <c r="Y67" s="3">
        <v>0</v>
      </c>
      <c r="Z67" s="3">
        <v>1</v>
      </c>
      <c r="AA67" s="3"/>
      <c r="AB67" s="3"/>
      <c r="AC67" s="32">
        <f t="shared" si="5"/>
        <v>5</v>
      </c>
      <c r="AE67" s="41" t="s">
        <v>19</v>
      </c>
      <c r="AF67" s="41"/>
      <c r="AG67" s="3"/>
      <c r="AH67" s="3"/>
      <c r="AI67" s="3">
        <v>0</v>
      </c>
      <c r="AJ67" s="3">
        <v>0</v>
      </c>
      <c r="AK67" s="3">
        <v>0</v>
      </c>
      <c r="AL67" s="31">
        <v>0</v>
      </c>
      <c r="AM67" s="3">
        <v>1</v>
      </c>
      <c r="AN67" s="75"/>
      <c r="AO67" s="3">
        <v>0</v>
      </c>
      <c r="AP67" s="3">
        <v>0</v>
      </c>
      <c r="AQ67" s="3">
        <v>0</v>
      </c>
      <c r="AR67" s="26">
        <v>1</v>
      </c>
      <c r="AS67" s="3">
        <v>1</v>
      </c>
      <c r="AT67" s="3">
        <v>0</v>
      </c>
      <c r="AU67" s="3">
        <v>0</v>
      </c>
      <c r="AV67" s="3">
        <v>0</v>
      </c>
      <c r="AW67" s="3">
        <v>0</v>
      </c>
      <c r="AX67" s="26">
        <v>2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/>
      <c r="BE67" s="3"/>
      <c r="BF67" s="3"/>
      <c r="BG67" s="3"/>
      <c r="BH67" s="3"/>
      <c r="BI67" s="33">
        <f t="shared" si="6"/>
        <v>5</v>
      </c>
    </row>
    <row r="68" spans="2:61" x14ac:dyDescent="0.25">
      <c r="B68" s="41" t="s">
        <v>20</v>
      </c>
      <c r="C68" s="41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3">
        <v>1</v>
      </c>
      <c r="T68" s="3">
        <v>0</v>
      </c>
      <c r="U68" s="3">
        <v>1</v>
      </c>
      <c r="V68" s="3">
        <v>1</v>
      </c>
      <c r="W68" s="3">
        <v>2</v>
      </c>
      <c r="X68" s="3">
        <v>0</v>
      </c>
      <c r="Y68" s="3">
        <v>0</v>
      </c>
      <c r="Z68" s="3">
        <v>0</v>
      </c>
      <c r="AA68" s="3"/>
      <c r="AB68" s="3"/>
      <c r="AC68" s="32">
        <f t="shared" si="5"/>
        <v>5</v>
      </c>
      <c r="AE68" s="41" t="s">
        <v>20</v>
      </c>
      <c r="AF68" s="41"/>
      <c r="AG68" s="3"/>
      <c r="AH68" s="3"/>
      <c r="AI68" s="3">
        <v>0</v>
      </c>
      <c r="AJ68" s="3">
        <v>0</v>
      </c>
      <c r="AK68" s="3">
        <v>1</v>
      </c>
      <c r="AL68" s="31">
        <v>2</v>
      </c>
      <c r="AM68" s="3">
        <v>1</v>
      </c>
      <c r="AN68" s="75"/>
      <c r="AO68" s="3">
        <v>0</v>
      </c>
      <c r="AP68" s="3">
        <v>0</v>
      </c>
      <c r="AQ68" s="3">
        <v>0</v>
      </c>
      <c r="AR68" s="26">
        <v>2</v>
      </c>
      <c r="AS68" s="3">
        <v>1</v>
      </c>
      <c r="AT68" s="3">
        <v>0</v>
      </c>
      <c r="AU68" s="3">
        <v>0</v>
      </c>
      <c r="AV68" s="3">
        <v>0</v>
      </c>
      <c r="AW68" s="3">
        <v>1</v>
      </c>
      <c r="AX68" s="26">
        <v>3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/>
      <c r="BE68" s="3"/>
      <c r="BF68" s="3"/>
      <c r="BG68" s="3"/>
      <c r="BH68" s="3"/>
      <c r="BI68" s="33">
        <f>AI68+AJ68+AK68+AL68+AM68+AO68+AP68+AQ68+AR68+AS68+AT68+AU68+AV68+AW68+AX68+AY68+AZ68+BA68+BB68+BC68</f>
        <v>11</v>
      </c>
    </row>
    <row r="69" spans="2:61" x14ac:dyDescent="0.25">
      <c r="B69" s="41" t="s">
        <v>12</v>
      </c>
      <c r="C69" s="41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2</v>
      </c>
      <c r="Y69" s="3">
        <v>0</v>
      </c>
      <c r="Z69" s="3">
        <v>0</v>
      </c>
      <c r="AA69" s="3"/>
      <c r="AB69" s="3"/>
      <c r="AC69" s="32">
        <f t="shared" si="5"/>
        <v>2</v>
      </c>
      <c r="AE69" s="41" t="s">
        <v>12</v>
      </c>
      <c r="AF69" s="41"/>
      <c r="AG69" s="3"/>
      <c r="AH69" s="3"/>
      <c r="AI69" s="3">
        <v>0</v>
      </c>
      <c r="AJ69" s="3">
        <v>0</v>
      </c>
      <c r="AK69" s="3">
        <v>0</v>
      </c>
      <c r="AL69" s="31">
        <v>0</v>
      </c>
      <c r="AM69" s="3">
        <v>2</v>
      </c>
      <c r="AN69" s="75"/>
      <c r="AO69" s="3">
        <v>2</v>
      </c>
      <c r="AP69" s="3">
        <v>1</v>
      </c>
      <c r="AQ69" s="3">
        <v>0</v>
      </c>
      <c r="AR69" s="26">
        <v>1</v>
      </c>
      <c r="AS69" s="3">
        <v>0</v>
      </c>
      <c r="AT69" s="3">
        <v>0</v>
      </c>
      <c r="AU69" s="3">
        <v>1</v>
      </c>
      <c r="AV69" s="3">
        <v>0</v>
      </c>
      <c r="AW69" s="3">
        <v>0</v>
      </c>
      <c r="AX69" s="26">
        <v>3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/>
      <c r="BE69" s="3"/>
      <c r="BF69" s="3"/>
      <c r="BG69" s="3"/>
      <c r="BH69" s="3"/>
      <c r="BI69" s="33">
        <f t="shared" si="6"/>
        <v>10</v>
      </c>
    </row>
    <row r="70" spans="2:61" x14ac:dyDescent="0.25">
      <c r="B70" s="41" t="s">
        <v>21</v>
      </c>
      <c r="C70" s="41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/>
      <c r="AB70" s="3"/>
      <c r="AC70" s="32">
        <f t="shared" si="5"/>
        <v>0</v>
      </c>
      <c r="AE70" s="41" t="s">
        <v>21</v>
      </c>
      <c r="AF70" s="41"/>
      <c r="AG70" s="3"/>
      <c r="AH70" s="3"/>
      <c r="AI70" s="3">
        <v>0</v>
      </c>
      <c r="AJ70" s="3">
        <v>0</v>
      </c>
      <c r="AK70" s="3">
        <v>0</v>
      </c>
      <c r="AL70" s="31">
        <v>0</v>
      </c>
      <c r="AM70" s="3">
        <v>1</v>
      </c>
      <c r="AN70" s="75"/>
      <c r="AO70" s="3">
        <v>0</v>
      </c>
      <c r="AP70" s="3">
        <v>0</v>
      </c>
      <c r="AQ70" s="3">
        <v>0</v>
      </c>
      <c r="AR70" s="26">
        <v>0</v>
      </c>
      <c r="AS70" s="3">
        <v>1</v>
      </c>
      <c r="AT70" s="3">
        <v>1</v>
      </c>
      <c r="AU70" s="3">
        <v>0</v>
      </c>
      <c r="AV70" s="3">
        <v>0</v>
      </c>
      <c r="AW70" s="3">
        <v>0</v>
      </c>
      <c r="AX70" s="26">
        <v>0</v>
      </c>
      <c r="AY70" s="3">
        <v>0</v>
      </c>
      <c r="AZ70" s="3">
        <v>0</v>
      </c>
      <c r="BA70" s="3">
        <v>1</v>
      </c>
      <c r="BB70" s="3">
        <v>0</v>
      </c>
      <c r="BC70" s="3">
        <v>0</v>
      </c>
      <c r="BD70" s="3"/>
      <c r="BE70" s="3"/>
      <c r="BF70" s="3"/>
      <c r="BG70" s="3"/>
      <c r="BH70" s="3"/>
      <c r="BI70" s="33">
        <f t="shared" si="6"/>
        <v>4</v>
      </c>
    </row>
    <row r="71" spans="2:61" x14ac:dyDescent="0.25">
      <c r="B71" s="41" t="s">
        <v>10</v>
      </c>
      <c r="C71" s="41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3">
        <v>2</v>
      </c>
      <c r="T71" s="3">
        <v>0</v>
      </c>
      <c r="U71" s="3">
        <v>2</v>
      </c>
      <c r="V71" s="3">
        <v>1</v>
      </c>
      <c r="W71" s="3">
        <v>0</v>
      </c>
      <c r="X71" s="3">
        <v>0</v>
      </c>
      <c r="Y71" s="3">
        <v>0</v>
      </c>
      <c r="Z71" s="3">
        <v>1</v>
      </c>
      <c r="AA71" s="3"/>
      <c r="AB71" s="3"/>
      <c r="AC71" s="32">
        <f t="shared" si="5"/>
        <v>6</v>
      </c>
      <c r="AE71" s="41" t="s">
        <v>10</v>
      </c>
      <c r="AF71" s="41"/>
      <c r="AG71" s="3"/>
      <c r="AH71" s="3"/>
      <c r="AI71" s="3">
        <v>0</v>
      </c>
      <c r="AJ71" s="3">
        <v>0</v>
      </c>
      <c r="AK71" s="3">
        <v>0</v>
      </c>
      <c r="AL71" s="31">
        <v>0</v>
      </c>
      <c r="AM71" s="3">
        <v>0</v>
      </c>
      <c r="AN71" s="75"/>
      <c r="AO71" s="3">
        <v>1</v>
      </c>
      <c r="AP71" s="3">
        <v>2</v>
      </c>
      <c r="AQ71" s="3">
        <v>2</v>
      </c>
      <c r="AR71" s="26">
        <v>0</v>
      </c>
      <c r="AS71" s="3">
        <v>0</v>
      </c>
      <c r="AT71" s="3">
        <v>0</v>
      </c>
      <c r="AU71" s="3">
        <v>0</v>
      </c>
      <c r="AV71" s="3">
        <v>1</v>
      </c>
      <c r="AW71" s="3">
        <v>0</v>
      </c>
      <c r="AX71" s="26">
        <v>0</v>
      </c>
      <c r="AY71" s="3">
        <v>0</v>
      </c>
      <c r="AZ71" s="3">
        <v>0</v>
      </c>
      <c r="BA71" s="3">
        <v>0</v>
      </c>
      <c r="BB71" s="3">
        <v>0</v>
      </c>
      <c r="BC71" s="3">
        <v>1</v>
      </c>
      <c r="BD71" s="3"/>
      <c r="BE71" s="3"/>
      <c r="BF71" s="3"/>
      <c r="BG71" s="3"/>
      <c r="BH71" s="3"/>
      <c r="BI71" s="33">
        <f t="shared" si="6"/>
        <v>7</v>
      </c>
    </row>
    <row r="72" spans="2:61" x14ac:dyDescent="0.25">
      <c r="B72" s="41" t="s">
        <v>11</v>
      </c>
      <c r="C72" s="41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3">
        <v>1</v>
      </c>
      <c r="T72" s="3">
        <v>2</v>
      </c>
      <c r="U72" s="3">
        <v>1</v>
      </c>
      <c r="V72" s="3">
        <v>0</v>
      </c>
      <c r="W72" s="3">
        <v>0</v>
      </c>
      <c r="X72" s="3">
        <v>0</v>
      </c>
      <c r="Y72" s="3">
        <v>0</v>
      </c>
      <c r="Z72" s="3">
        <v>1</v>
      </c>
      <c r="AA72" s="3"/>
      <c r="AB72" s="3"/>
      <c r="AC72" s="32">
        <f t="shared" si="5"/>
        <v>5</v>
      </c>
      <c r="AE72" s="41" t="s">
        <v>11</v>
      </c>
      <c r="AF72" s="41"/>
      <c r="AG72" s="3"/>
      <c r="AH72" s="3"/>
      <c r="AI72" s="3">
        <v>0</v>
      </c>
      <c r="AJ72" s="3">
        <v>0</v>
      </c>
      <c r="AK72" s="3">
        <v>0</v>
      </c>
      <c r="AL72" s="31">
        <v>1</v>
      </c>
      <c r="AM72" s="3">
        <v>0</v>
      </c>
      <c r="AN72" s="75"/>
      <c r="AO72" s="3">
        <v>1</v>
      </c>
      <c r="AP72" s="3">
        <v>1</v>
      </c>
      <c r="AQ72" s="3">
        <v>0</v>
      </c>
      <c r="AR72" s="26">
        <v>0</v>
      </c>
      <c r="AS72" s="3">
        <v>1</v>
      </c>
      <c r="AT72" s="3">
        <v>1</v>
      </c>
      <c r="AU72" s="3">
        <v>0</v>
      </c>
      <c r="AV72" s="3">
        <v>2</v>
      </c>
      <c r="AW72" s="3">
        <v>0</v>
      </c>
      <c r="AX72" s="26">
        <v>2</v>
      </c>
      <c r="AY72" s="3">
        <v>0</v>
      </c>
      <c r="AZ72" s="3">
        <v>1</v>
      </c>
      <c r="BA72" s="3">
        <v>0</v>
      </c>
      <c r="BB72" s="3">
        <v>0</v>
      </c>
      <c r="BC72" s="3">
        <v>0</v>
      </c>
      <c r="BD72" s="3"/>
      <c r="BE72" s="3"/>
      <c r="BF72" s="3"/>
      <c r="BG72" s="3"/>
      <c r="BH72" s="3"/>
      <c r="BI72" s="33">
        <f t="shared" si="6"/>
        <v>10</v>
      </c>
    </row>
    <row r="73" spans="2:61" x14ac:dyDescent="0.25">
      <c r="B73" s="41" t="s">
        <v>13</v>
      </c>
      <c r="C73" s="41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3">
        <v>1</v>
      </c>
      <c r="T73" s="3">
        <v>0</v>
      </c>
      <c r="U73" s="3">
        <v>1</v>
      </c>
      <c r="V73" s="3">
        <v>1</v>
      </c>
      <c r="W73" s="3">
        <v>1</v>
      </c>
      <c r="X73" s="3">
        <v>0</v>
      </c>
      <c r="Y73" s="3">
        <v>0</v>
      </c>
      <c r="Z73" s="3">
        <v>1</v>
      </c>
      <c r="AA73" s="3"/>
      <c r="AB73" s="3"/>
      <c r="AC73" s="32">
        <f t="shared" si="5"/>
        <v>5</v>
      </c>
      <c r="AE73" s="41" t="s">
        <v>13</v>
      </c>
      <c r="AF73" s="41"/>
      <c r="AG73" s="3"/>
      <c r="AH73" s="3"/>
      <c r="AI73" s="3">
        <v>0</v>
      </c>
      <c r="AJ73" s="3">
        <v>0</v>
      </c>
      <c r="AK73" s="3">
        <v>0</v>
      </c>
      <c r="AL73" s="31">
        <v>0</v>
      </c>
      <c r="AM73" s="3">
        <v>1</v>
      </c>
      <c r="AN73" s="75"/>
      <c r="AO73" s="3">
        <v>0</v>
      </c>
      <c r="AP73" s="3">
        <v>0</v>
      </c>
      <c r="AQ73" s="3">
        <v>0</v>
      </c>
      <c r="AR73" s="26">
        <v>1</v>
      </c>
      <c r="AS73" s="3">
        <v>0</v>
      </c>
      <c r="AT73" s="3">
        <v>0</v>
      </c>
      <c r="AU73" s="3">
        <v>0</v>
      </c>
      <c r="AV73" s="3">
        <v>1</v>
      </c>
      <c r="AW73" s="3">
        <v>2</v>
      </c>
      <c r="AX73" s="26">
        <v>1</v>
      </c>
      <c r="AY73" s="3">
        <v>1</v>
      </c>
      <c r="AZ73" s="3">
        <v>0</v>
      </c>
      <c r="BA73" s="3">
        <v>0</v>
      </c>
      <c r="BB73" s="3">
        <v>0</v>
      </c>
      <c r="BC73" s="3">
        <v>0</v>
      </c>
      <c r="BD73" s="3"/>
      <c r="BE73" s="3"/>
      <c r="BF73" s="3"/>
      <c r="BG73" s="3"/>
      <c r="BH73" s="3"/>
      <c r="BI73" s="33">
        <f>AI73+AJ73+AK73+AL73+AM73+AO73+AP73+AQ73+AR73+AS73+AT73+AU73+AV73+AW73+AX73+AY73+AZ73+BA73+BB73+BC73</f>
        <v>7</v>
      </c>
    </row>
    <row r="74" spans="2:61" x14ac:dyDescent="0.25">
      <c r="B74" s="41" t="s">
        <v>28</v>
      </c>
      <c r="C74" s="41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1</v>
      </c>
      <c r="Y74" s="3">
        <v>0</v>
      </c>
      <c r="Z74" s="3">
        <v>0</v>
      </c>
      <c r="AA74" s="3"/>
      <c r="AB74" s="3"/>
      <c r="AC74" s="32">
        <f t="shared" si="5"/>
        <v>1</v>
      </c>
      <c r="AE74" s="41" t="s">
        <v>28</v>
      </c>
      <c r="AF74" s="41"/>
      <c r="AG74" s="3"/>
      <c r="AH74" s="3"/>
      <c r="AI74" s="3">
        <v>0</v>
      </c>
      <c r="AJ74" s="3">
        <v>0</v>
      </c>
      <c r="AK74" s="3">
        <v>0</v>
      </c>
      <c r="AL74" s="31">
        <v>1</v>
      </c>
      <c r="AM74" s="3">
        <v>1</v>
      </c>
      <c r="AN74" s="75"/>
      <c r="AO74" s="3">
        <v>1</v>
      </c>
      <c r="AP74" s="3">
        <v>0</v>
      </c>
      <c r="AQ74" s="3">
        <v>0</v>
      </c>
      <c r="AR74" s="26">
        <v>2</v>
      </c>
      <c r="AS74" s="3">
        <v>0</v>
      </c>
      <c r="AT74" s="3">
        <v>0</v>
      </c>
      <c r="AU74" s="3">
        <v>0</v>
      </c>
      <c r="AV74" s="3">
        <v>0</v>
      </c>
      <c r="AW74" s="3">
        <v>1</v>
      </c>
      <c r="AX74" s="26">
        <v>0</v>
      </c>
      <c r="AY74" s="3">
        <v>0</v>
      </c>
      <c r="AZ74" s="3">
        <v>0</v>
      </c>
      <c r="BA74" s="3">
        <v>0</v>
      </c>
      <c r="BB74" s="3">
        <v>0</v>
      </c>
      <c r="BC74" s="3">
        <v>1</v>
      </c>
      <c r="BD74" s="3"/>
      <c r="BE74" s="3"/>
      <c r="BF74" s="3"/>
      <c r="BG74" s="3"/>
      <c r="BH74" s="3"/>
      <c r="BI74" s="33">
        <f t="shared" si="6"/>
        <v>7</v>
      </c>
    </row>
    <row r="75" spans="2:61" x14ac:dyDescent="0.25">
      <c r="B75" s="41" t="s">
        <v>29</v>
      </c>
      <c r="C75" s="41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3">
        <v>0</v>
      </c>
      <c r="T75" s="3">
        <v>0</v>
      </c>
      <c r="U75" s="3">
        <v>0</v>
      </c>
      <c r="V75" s="3">
        <v>0</v>
      </c>
      <c r="W75" s="3">
        <v>1</v>
      </c>
      <c r="X75" s="3">
        <v>0</v>
      </c>
      <c r="Y75" s="3">
        <v>1</v>
      </c>
      <c r="Z75" s="3">
        <v>0</v>
      </c>
      <c r="AA75" s="3"/>
      <c r="AB75" s="3"/>
      <c r="AC75" s="32">
        <f t="shared" si="5"/>
        <v>2</v>
      </c>
      <c r="AE75" s="41" t="s">
        <v>29</v>
      </c>
      <c r="AF75" s="41"/>
      <c r="AG75" s="3"/>
      <c r="AH75" s="3"/>
      <c r="AI75" s="3">
        <v>0</v>
      </c>
      <c r="AJ75" s="3">
        <v>0</v>
      </c>
      <c r="AK75" s="3">
        <v>1</v>
      </c>
      <c r="AL75" s="31">
        <v>0</v>
      </c>
      <c r="AM75" s="3">
        <v>0</v>
      </c>
      <c r="AN75" s="75"/>
      <c r="AO75" s="3">
        <v>0</v>
      </c>
      <c r="AP75" s="3">
        <v>0</v>
      </c>
      <c r="AQ75" s="3">
        <v>1</v>
      </c>
      <c r="AR75" s="26">
        <v>2</v>
      </c>
      <c r="AS75" s="3">
        <v>0</v>
      </c>
      <c r="AT75" s="3">
        <v>0</v>
      </c>
      <c r="AU75" s="3">
        <v>0</v>
      </c>
      <c r="AV75" s="3">
        <v>1</v>
      </c>
      <c r="AW75" s="3">
        <v>1</v>
      </c>
      <c r="AX75" s="26">
        <v>5</v>
      </c>
      <c r="AY75" s="3">
        <v>0</v>
      </c>
      <c r="AZ75" s="3">
        <v>0</v>
      </c>
      <c r="BA75" s="3">
        <v>0</v>
      </c>
      <c r="BB75" s="3">
        <v>0</v>
      </c>
      <c r="BC75" s="3">
        <v>1</v>
      </c>
      <c r="BD75" s="3"/>
      <c r="BE75" s="3"/>
      <c r="BF75" s="3"/>
      <c r="BG75" s="3"/>
      <c r="BH75" s="3"/>
      <c r="BI75" s="33">
        <f t="shared" si="6"/>
        <v>12</v>
      </c>
    </row>
    <row r="76" spans="2:61" x14ac:dyDescent="0.25">
      <c r="B76" s="41" t="s">
        <v>14</v>
      </c>
      <c r="C76" s="41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3">
        <v>4</v>
      </c>
      <c r="T76" s="3">
        <v>2</v>
      </c>
      <c r="U76" s="3">
        <v>3</v>
      </c>
      <c r="V76" s="3">
        <v>2</v>
      </c>
      <c r="W76" s="3">
        <v>3</v>
      </c>
      <c r="X76" s="3">
        <v>0</v>
      </c>
      <c r="Y76" s="3">
        <v>0</v>
      </c>
      <c r="Z76" s="3">
        <v>0</v>
      </c>
      <c r="AA76" s="3"/>
      <c r="AB76" s="3"/>
      <c r="AC76" s="32">
        <f t="shared" si="5"/>
        <v>14</v>
      </c>
      <c r="AE76" s="41" t="s">
        <v>14</v>
      </c>
      <c r="AF76" s="41"/>
      <c r="AG76" s="3"/>
      <c r="AH76" s="3"/>
      <c r="AI76" s="3">
        <v>0</v>
      </c>
      <c r="AJ76" s="3">
        <v>0</v>
      </c>
      <c r="AK76" s="3">
        <v>0</v>
      </c>
      <c r="AL76" s="31">
        <v>3</v>
      </c>
      <c r="AM76" s="3">
        <v>1</v>
      </c>
      <c r="AN76" s="75"/>
      <c r="AO76" s="3">
        <v>1</v>
      </c>
      <c r="AP76" s="3">
        <v>0</v>
      </c>
      <c r="AQ76" s="3">
        <v>1</v>
      </c>
      <c r="AR76" s="26">
        <v>3</v>
      </c>
      <c r="AS76" s="3">
        <v>2</v>
      </c>
      <c r="AT76" s="3">
        <v>0</v>
      </c>
      <c r="AU76" s="3">
        <v>0</v>
      </c>
      <c r="AV76" s="3">
        <v>2</v>
      </c>
      <c r="AW76" s="3">
        <v>2</v>
      </c>
      <c r="AX76" s="26">
        <v>3</v>
      </c>
      <c r="AY76" s="3">
        <v>0</v>
      </c>
      <c r="AZ76" s="3">
        <v>0</v>
      </c>
      <c r="BA76" s="3">
        <v>1</v>
      </c>
      <c r="BB76" s="3">
        <v>1</v>
      </c>
      <c r="BC76" s="3">
        <v>1</v>
      </c>
      <c r="BD76" s="3"/>
      <c r="BE76" s="3"/>
      <c r="BF76" s="3"/>
      <c r="BG76" s="3"/>
      <c r="BH76" s="3"/>
      <c r="BI76" s="33">
        <f t="shared" si="6"/>
        <v>21</v>
      </c>
    </row>
    <row r="77" spans="2:61" x14ac:dyDescent="0.25">
      <c r="B77" s="41" t="s">
        <v>15</v>
      </c>
      <c r="C77" s="41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3">
        <v>2</v>
      </c>
      <c r="T77" s="3">
        <v>3</v>
      </c>
      <c r="U77" s="3">
        <v>1</v>
      </c>
      <c r="V77" s="3">
        <v>0</v>
      </c>
      <c r="W77" s="3">
        <v>0</v>
      </c>
      <c r="X77" s="3">
        <v>0</v>
      </c>
      <c r="Y77" s="3">
        <v>1</v>
      </c>
      <c r="Z77" s="3">
        <v>0</v>
      </c>
      <c r="AA77" s="3"/>
      <c r="AB77" s="3"/>
      <c r="AC77" s="32">
        <f t="shared" si="5"/>
        <v>7</v>
      </c>
      <c r="AE77" s="41" t="s">
        <v>15</v>
      </c>
      <c r="AF77" s="41"/>
      <c r="AG77" s="3"/>
      <c r="AH77" s="3"/>
      <c r="AI77" s="3">
        <v>0</v>
      </c>
      <c r="AJ77" s="3">
        <v>0</v>
      </c>
      <c r="AK77" s="3">
        <v>1</v>
      </c>
      <c r="AL77" s="31">
        <v>1</v>
      </c>
      <c r="AM77" s="3">
        <v>3</v>
      </c>
      <c r="AN77" s="75"/>
      <c r="AO77" s="3">
        <v>1</v>
      </c>
      <c r="AP77" s="3">
        <v>1</v>
      </c>
      <c r="AQ77" s="3">
        <v>1</v>
      </c>
      <c r="AR77" s="26">
        <v>2</v>
      </c>
      <c r="AS77" s="3">
        <v>2</v>
      </c>
      <c r="AT77" s="3">
        <v>1</v>
      </c>
      <c r="AU77" s="3">
        <v>1</v>
      </c>
      <c r="AV77" s="3">
        <v>1</v>
      </c>
      <c r="AW77" s="3">
        <v>2</v>
      </c>
      <c r="AX77" s="26">
        <v>2</v>
      </c>
      <c r="AY77" s="3">
        <v>2</v>
      </c>
      <c r="AZ77" s="3">
        <v>1</v>
      </c>
      <c r="BA77" s="3">
        <v>1</v>
      </c>
      <c r="BB77" s="3">
        <v>2</v>
      </c>
      <c r="BC77" s="3">
        <v>1</v>
      </c>
      <c r="BD77" s="3"/>
      <c r="BE77" s="3"/>
      <c r="BF77" s="3"/>
      <c r="BG77" s="3"/>
      <c r="BH77" s="3"/>
      <c r="BI77" s="33">
        <f t="shared" si="6"/>
        <v>26</v>
      </c>
    </row>
    <row r="78" spans="2:61" x14ac:dyDescent="0.25">
      <c r="B78" s="41" t="s">
        <v>16</v>
      </c>
      <c r="C78" s="41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3">
        <v>2</v>
      </c>
      <c r="T78" s="3">
        <v>0</v>
      </c>
      <c r="U78" s="3">
        <v>1</v>
      </c>
      <c r="V78" s="3">
        <v>0</v>
      </c>
      <c r="W78" s="3">
        <v>1</v>
      </c>
      <c r="X78" s="3">
        <v>0</v>
      </c>
      <c r="Y78" s="3">
        <v>0</v>
      </c>
      <c r="Z78" s="3">
        <v>1</v>
      </c>
      <c r="AA78" s="3"/>
      <c r="AB78" s="3"/>
      <c r="AC78" s="32">
        <f t="shared" si="5"/>
        <v>5</v>
      </c>
      <c r="AE78" s="41" t="s">
        <v>16</v>
      </c>
      <c r="AF78" s="41"/>
      <c r="AG78" s="3"/>
      <c r="AH78" s="3"/>
      <c r="AI78" s="3">
        <v>0</v>
      </c>
      <c r="AJ78" s="3">
        <v>0</v>
      </c>
      <c r="AK78" s="3">
        <v>0</v>
      </c>
      <c r="AL78" s="31">
        <v>3</v>
      </c>
      <c r="AM78" s="3">
        <v>2</v>
      </c>
      <c r="AN78" s="75"/>
      <c r="AO78" s="3">
        <v>3</v>
      </c>
      <c r="AP78" s="3">
        <v>0</v>
      </c>
      <c r="AQ78" s="3">
        <v>0</v>
      </c>
      <c r="AR78" s="26">
        <v>0</v>
      </c>
      <c r="AS78" s="3">
        <v>0</v>
      </c>
      <c r="AT78" s="3">
        <v>0</v>
      </c>
      <c r="AU78" s="3">
        <v>1</v>
      </c>
      <c r="AV78" s="3">
        <v>3</v>
      </c>
      <c r="AW78" s="3">
        <v>2</v>
      </c>
      <c r="AX78" s="26">
        <v>6</v>
      </c>
      <c r="AY78" s="3">
        <v>0</v>
      </c>
      <c r="AZ78" s="3">
        <v>0</v>
      </c>
      <c r="BA78" s="3">
        <v>1</v>
      </c>
      <c r="BB78" s="3">
        <v>0</v>
      </c>
      <c r="BC78" s="3">
        <v>0</v>
      </c>
      <c r="BD78" s="3"/>
      <c r="BE78" s="3"/>
      <c r="BF78" s="3"/>
      <c r="BG78" s="3"/>
      <c r="BH78" s="3"/>
      <c r="BI78" s="33">
        <f t="shared" si="6"/>
        <v>21</v>
      </c>
    </row>
    <row r="79" spans="2:61" x14ac:dyDescent="0.25">
      <c r="B79" s="41" t="s">
        <v>17</v>
      </c>
      <c r="C79" s="41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3">
        <v>3</v>
      </c>
      <c r="T79" s="3">
        <v>0</v>
      </c>
      <c r="U79" s="3">
        <v>2</v>
      </c>
      <c r="V79" s="3">
        <v>1</v>
      </c>
      <c r="W79" s="3">
        <v>1</v>
      </c>
      <c r="X79" s="3">
        <v>3</v>
      </c>
      <c r="Y79" s="3">
        <v>2</v>
      </c>
      <c r="Z79" s="3">
        <v>1</v>
      </c>
      <c r="AA79" s="3"/>
      <c r="AB79" s="3"/>
      <c r="AC79" s="32">
        <f t="shared" si="5"/>
        <v>13</v>
      </c>
      <c r="AE79" s="41" t="s">
        <v>17</v>
      </c>
      <c r="AF79" s="41"/>
      <c r="AG79" s="3"/>
      <c r="AH79" s="3"/>
      <c r="AI79" s="3">
        <v>0</v>
      </c>
      <c r="AJ79" s="3">
        <v>0</v>
      </c>
      <c r="AK79" s="3">
        <v>1</v>
      </c>
      <c r="AL79" s="31">
        <v>4</v>
      </c>
      <c r="AM79" s="3">
        <v>0</v>
      </c>
      <c r="AN79" s="76"/>
      <c r="AO79" s="3">
        <v>1</v>
      </c>
      <c r="AP79" s="3">
        <v>1</v>
      </c>
      <c r="AQ79" s="3">
        <v>0</v>
      </c>
      <c r="AR79" s="26">
        <v>1</v>
      </c>
      <c r="AS79" s="3">
        <v>0</v>
      </c>
      <c r="AT79" s="3">
        <v>1</v>
      </c>
      <c r="AU79" s="3">
        <v>1</v>
      </c>
      <c r="AV79" s="3">
        <v>1</v>
      </c>
      <c r="AW79" s="3"/>
      <c r="AX79" s="26">
        <v>8</v>
      </c>
      <c r="AY79" s="3">
        <v>0</v>
      </c>
      <c r="AZ79" s="3">
        <v>2</v>
      </c>
      <c r="BA79" s="3">
        <v>4</v>
      </c>
      <c r="BB79" s="3">
        <v>2</v>
      </c>
      <c r="BC79" s="3">
        <v>0</v>
      </c>
      <c r="BD79" s="3"/>
      <c r="BE79" s="3"/>
      <c r="BF79" s="3"/>
      <c r="BG79" s="3"/>
      <c r="BH79" s="3"/>
      <c r="BI79" s="33">
        <f t="shared" si="6"/>
        <v>27</v>
      </c>
    </row>
    <row r="80" spans="2:61" x14ac:dyDescent="0.25">
      <c r="B80" s="9" t="s">
        <v>27</v>
      </c>
      <c r="C80" s="2"/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f t="shared" ref="S80:Z80" si="7">S60+S61+S62+S63+S64+S65+S66+S67+S68+S69+S70+S71+S72+S73+S74+S75+S76+S77+S78+S79</f>
        <v>24</v>
      </c>
      <c r="T80" s="2">
        <f t="shared" si="7"/>
        <v>14</v>
      </c>
      <c r="U80" s="2">
        <f t="shared" si="7"/>
        <v>16</v>
      </c>
      <c r="V80" s="2">
        <f t="shared" si="7"/>
        <v>9</v>
      </c>
      <c r="W80" s="2">
        <f t="shared" si="7"/>
        <v>11</v>
      </c>
      <c r="X80" s="2">
        <f t="shared" si="7"/>
        <v>13</v>
      </c>
      <c r="Y80" s="2">
        <f t="shared" si="7"/>
        <v>7</v>
      </c>
      <c r="Z80" s="2">
        <f t="shared" si="7"/>
        <v>8</v>
      </c>
      <c r="AA80" s="3"/>
      <c r="AB80" s="3"/>
      <c r="AC80" s="32">
        <f>AC67+AC68+AC69+AC70+AC71+AC72+AC73+AC74+AC75+AC76+AC77+AC78+AC79+AC66+AC65+AC64+AC63+AC62+AC61+AC60</f>
        <v>102</v>
      </c>
      <c r="AE80" s="9" t="s">
        <v>27</v>
      </c>
      <c r="AF80" s="2"/>
      <c r="AG80" s="2"/>
      <c r="AH80" s="2"/>
      <c r="AI80" s="2">
        <v>0</v>
      </c>
      <c r="AJ80" s="2">
        <f t="shared" ref="AJ80:BC80" si="8">AJ60+AJ61+AJ62+AJ63+AJ64+AJ65+AJ66+AJ67+AJ68+AJ69+AJ70+AJ71+AJ72+AJ73+AJ74+AJ75+AJ76+AJ77+AJ78+AJ79</f>
        <v>0</v>
      </c>
      <c r="AK80" s="2">
        <f t="shared" si="8"/>
        <v>5</v>
      </c>
      <c r="AL80" s="27">
        <f t="shared" si="8"/>
        <v>19</v>
      </c>
      <c r="AM80" s="2">
        <f t="shared" si="8"/>
        <v>17</v>
      </c>
      <c r="AN80" s="2">
        <v>0</v>
      </c>
      <c r="AO80" s="2">
        <f>AO60+AO61+AO62+AO63+AO64+AO65+AO66+AO67+AO68+AO69+AO70+AO71+AO72+AO73+AO74+AO75+AO76+AO77+AO78+AO79</f>
        <v>17</v>
      </c>
      <c r="AP80" s="4">
        <f t="shared" si="8"/>
        <v>9</v>
      </c>
      <c r="AQ80" s="4">
        <f t="shared" si="8"/>
        <v>9</v>
      </c>
      <c r="AR80" s="25">
        <f t="shared" si="8"/>
        <v>18</v>
      </c>
      <c r="AS80" s="4">
        <f t="shared" si="8"/>
        <v>13</v>
      </c>
      <c r="AT80" s="2">
        <f t="shared" si="8"/>
        <v>7</v>
      </c>
      <c r="AU80" s="2">
        <f t="shared" si="8"/>
        <v>8</v>
      </c>
      <c r="AV80" s="2">
        <f t="shared" si="8"/>
        <v>15</v>
      </c>
      <c r="AW80" s="2">
        <f t="shared" si="8"/>
        <v>17</v>
      </c>
      <c r="AX80" s="27">
        <f t="shared" si="8"/>
        <v>46</v>
      </c>
      <c r="AY80" s="2">
        <f t="shared" si="8"/>
        <v>3</v>
      </c>
      <c r="AZ80" s="2">
        <f t="shared" si="8"/>
        <v>4</v>
      </c>
      <c r="BA80" s="2">
        <f t="shared" si="8"/>
        <v>8</v>
      </c>
      <c r="BB80" s="2">
        <f t="shared" si="8"/>
        <v>6</v>
      </c>
      <c r="BC80" s="2">
        <f t="shared" si="8"/>
        <v>5</v>
      </c>
      <c r="BD80" s="2"/>
      <c r="BE80" s="2"/>
      <c r="BF80" s="2"/>
      <c r="BG80" s="2"/>
      <c r="BH80" s="2"/>
      <c r="BI80" s="33">
        <f>BI60+BI61+BI62+BI63+BI64+BI65+BI66+BI67+BI68+BI69+BI70+BI71+BI72+BI73+BI74+BI75+BI76+BI77+BI78+BI79</f>
        <v>226</v>
      </c>
    </row>
    <row r="81" spans="60:61" x14ac:dyDescent="0.25">
      <c r="BH81" s="15"/>
      <c r="BI81" s="35"/>
    </row>
  </sheetData>
  <mergeCells count="230">
    <mergeCell ref="B2:C2"/>
    <mergeCell ref="D2:AC2"/>
    <mergeCell ref="B3:C3"/>
    <mergeCell ref="B4:C4"/>
    <mergeCell ref="D4:D5"/>
    <mergeCell ref="E4:E5"/>
    <mergeCell ref="F4:F5"/>
    <mergeCell ref="G4:G5"/>
    <mergeCell ref="H4:H5"/>
    <mergeCell ref="I4:I5"/>
    <mergeCell ref="R4:R5"/>
    <mergeCell ref="S4:S5"/>
    <mergeCell ref="T4:T5"/>
    <mergeCell ref="U4:U5"/>
    <mergeCell ref="J4:J5"/>
    <mergeCell ref="K4:K5"/>
    <mergeCell ref="L4:L5"/>
    <mergeCell ref="M4:M5"/>
    <mergeCell ref="N4:N5"/>
    <mergeCell ref="O4:O5"/>
    <mergeCell ref="B9:C9"/>
    <mergeCell ref="B10:C10"/>
    <mergeCell ref="B11:C11"/>
    <mergeCell ref="B12:C12"/>
    <mergeCell ref="B13:C13"/>
    <mergeCell ref="B14:C14"/>
    <mergeCell ref="AB4:AB5"/>
    <mergeCell ref="AC4:AC5"/>
    <mergeCell ref="B5:C5"/>
    <mergeCell ref="B6:C6"/>
    <mergeCell ref="B7:C7"/>
    <mergeCell ref="B8:C8"/>
    <mergeCell ref="F6:F25"/>
    <mergeCell ref="G6:G25"/>
    <mergeCell ref="H6:H25"/>
    <mergeCell ref="I6:I25"/>
    <mergeCell ref="V4:V5"/>
    <mergeCell ref="W4:W5"/>
    <mergeCell ref="X4:X5"/>
    <mergeCell ref="Y4:Y5"/>
    <mergeCell ref="Z4:Z5"/>
    <mergeCell ref="AA4:AA5"/>
    <mergeCell ref="P4:P5"/>
    <mergeCell ref="Q4:Q5"/>
    <mergeCell ref="B21:C21"/>
    <mergeCell ref="B22:C22"/>
    <mergeCell ref="B23:C23"/>
    <mergeCell ref="B24:C24"/>
    <mergeCell ref="B25:C25"/>
    <mergeCell ref="B29:C29"/>
    <mergeCell ref="B15:C15"/>
    <mergeCell ref="B16:C16"/>
    <mergeCell ref="B17:C17"/>
    <mergeCell ref="B18:C18"/>
    <mergeCell ref="B19:C19"/>
    <mergeCell ref="B20:C20"/>
    <mergeCell ref="B30:C30"/>
    <mergeCell ref="B31:C31"/>
    <mergeCell ref="D31:D32"/>
    <mergeCell ref="E31:E32"/>
    <mergeCell ref="F31:F32"/>
    <mergeCell ref="G31:G32"/>
    <mergeCell ref="H31:H32"/>
    <mergeCell ref="I31:I32"/>
    <mergeCell ref="J31:J32"/>
    <mergeCell ref="B37:C37"/>
    <mergeCell ref="B38:C38"/>
    <mergeCell ref="B39:C39"/>
    <mergeCell ref="B40:C40"/>
    <mergeCell ref="B41:C41"/>
    <mergeCell ref="B42:C42"/>
    <mergeCell ref="AC31:AC32"/>
    <mergeCell ref="B32:C32"/>
    <mergeCell ref="B33:C33"/>
    <mergeCell ref="B34:C34"/>
    <mergeCell ref="B35:C35"/>
    <mergeCell ref="B36:C36"/>
    <mergeCell ref="W31:W32"/>
    <mergeCell ref="X31:X32"/>
    <mergeCell ref="Y31:Y32"/>
    <mergeCell ref="Z31:Z32"/>
    <mergeCell ref="AA31:AA32"/>
    <mergeCell ref="AB31:AB32"/>
    <mergeCell ref="Q31:Q32"/>
    <mergeCell ref="R31:R32"/>
    <mergeCell ref="S31:S32"/>
    <mergeCell ref="T31:T32"/>
    <mergeCell ref="U31:U32"/>
    <mergeCell ref="V31:V32"/>
    <mergeCell ref="B49:C49"/>
    <mergeCell ref="B50:C50"/>
    <mergeCell ref="B51:C51"/>
    <mergeCell ref="B52:C52"/>
    <mergeCell ref="B56:C56"/>
    <mergeCell ref="D56:AC56"/>
    <mergeCell ref="B43:C43"/>
    <mergeCell ref="B44:C44"/>
    <mergeCell ref="B45:C45"/>
    <mergeCell ref="B46:C46"/>
    <mergeCell ref="B47:C47"/>
    <mergeCell ref="B48:C48"/>
    <mergeCell ref="I58:I59"/>
    <mergeCell ref="J58:J59"/>
    <mergeCell ref="K58:K59"/>
    <mergeCell ref="L58:L59"/>
    <mergeCell ref="M58:M59"/>
    <mergeCell ref="B57:C57"/>
    <mergeCell ref="B58:C58"/>
    <mergeCell ref="D58:D59"/>
    <mergeCell ref="E58:E59"/>
    <mergeCell ref="F58:F59"/>
    <mergeCell ref="G58:G59"/>
    <mergeCell ref="B63:C63"/>
    <mergeCell ref="B64:C64"/>
    <mergeCell ref="B65:C65"/>
    <mergeCell ref="B66:C66"/>
    <mergeCell ref="Z58:Z59"/>
    <mergeCell ref="AA58:AA59"/>
    <mergeCell ref="AB58:AB59"/>
    <mergeCell ref="AC58:AC59"/>
    <mergeCell ref="B59:C59"/>
    <mergeCell ref="B60:C60"/>
    <mergeCell ref="F60:F79"/>
    <mergeCell ref="G60:G79"/>
    <mergeCell ref="H60:H79"/>
    <mergeCell ref="I60:I79"/>
    <mergeCell ref="T58:T59"/>
    <mergeCell ref="U58:U59"/>
    <mergeCell ref="V58:V59"/>
    <mergeCell ref="W58:W59"/>
    <mergeCell ref="X58:X59"/>
    <mergeCell ref="Y58:Y59"/>
    <mergeCell ref="N58:N59"/>
    <mergeCell ref="O58:O59"/>
    <mergeCell ref="P58:P59"/>
    <mergeCell ref="Q58:Q59"/>
    <mergeCell ref="B79:C79"/>
    <mergeCell ref="AE56:AF56"/>
    <mergeCell ref="AG56:BI56"/>
    <mergeCell ref="AE57:AF57"/>
    <mergeCell ref="AE58:AF58"/>
    <mergeCell ref="AG58:AG59"/>
    <mergeCell ref="AH58:AH59"/>
    <mergeCell ref="AI58:AI59"/>
    <mergeCell ref="AJ58:AJ59"/>
    <mergeCell ref="AK58:AK59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AR58:AR59"/>
    <mergeCell ref="AS58:AS59"/>
    <mergeCell ref="AT58:AT59"/>
    <mergeCell ref="AU58:AU59"/>
    <mergeCell ref="AV58:AV59"/>
    <mergeCell ref="AW58:AW59"/>
    <mergeCell ref="AL58:AL59"/>
    <mergeCell ref="AM58:AM59"/>
    <mergeCell ref="AN58:AN59"/>
    <mergeCell ref="AO58:AO59"/>
    <mergeCell ref="AP58:AP59"/>
    <mergeCell ref="AQ58:AQ59"/>
    <mergeCell ref="BD58:BD59"/>
    <mergeCell ref="BE58:BE59"/>
    <mergeCell ref="BF58:BF59"/>
    <mergeCell ref="BG58:BG59"/>
    <mergeCell ref="BH58:BH59"/>
    <mergeCell ref="BI58:BI59"/>
    <mergeCell ref="AX58:AX59"/>
    <mergeCell ref="AY58:AY59"/>
    <mergeCell ref="AZ58:AZ59"/>
    <mergeCell ref="BA58:BA59"/>
    <mergeCell ref="BB58:BB59"/>
    <mergeCell ref="BC58:BC59"/>
    <mergeCell ref="AE59:AF59"/>
    <mergeCell ref="AE60:AF60"/>
    <mergeCell ref="AN60:AN79"/>
    <mergeCell ref="AE61:AF61"/>
    <mergeCell ref="AE62:AF62"/>
    <mergeCell ref="AE63:AF63"/>
    <mergeCell ref="AE64:AF64"/>
    <mergeCell ref="AE65:AF65"/>
    <mergeCell ref="AE66:AF66"/>
    <mergeCell ref="AE67:AF67"/>
    <mergeCell ref="AE74:AF74"/>
    <mergeCell ref="AE75:AF75"/>
    <mergeCell ref="AE76:AF76"/>
    <mergeCell ref="AE77:AF77"/>
    <mergeCell ref="AE78:AF78"/>
    <mergeCell ref="AE79:AF79"/>
    <mergeCell ref="AE68:AF68"/>
    <mergeCell ref="AE69:AF69"/>
    <mergeCell ref="AE70:AF70"/>
    <mergeCell ref="AE71:AF71"/>
    <mergeCell ref="AE72:AF72"/>
    <mergeCell ref="AE73:AF73"/>
    <mergeCell ref="J6:J25"/>
    <mergeCell ref="K6:K25"/>
    <mergeCell ref="P60:P79"/>
    <mergeCell ref="Q60:Q79"/>
    <mergeCell ref="R60:R79"/>
    <mergeCell ref="D60:D79"/>
    <mergeCell ref="E60:E79"/>
    <mergeCell ref="R33:R52"/>
    <mergeCell ref="J60:J79"/>
    <mergeCell ref="K60:K79"/>
    <mergeCell ref="L60:L79"/>
    <mergeCell ref="M60:M79"/>
    <mergeCell ref="N60:N79"/>
    <mergeCell ref="O60:O79"/>
    <mergeCell ref="R58:R59"/>
    <mergeCell ref="K31:K32"/>
    <mergeCell ref="L31:L32"/>
    <mergeCell ref="M31:M32"/>
    <mergeCell ref="N31:N32"/>
    <mergeCell ref="O31:O32"/>
    <mergeCell ref="P31:P32"/>
    <mergeCell ref="D29:AC29"/>
    <mergeCell ref="S58:S59"/>
    <mergeCell ref="H58:H59"/>
  </mergeCells>
  <pageMargins left="0.7" right="0.7" top="0.75" bottom="0.75" header="0.3" footer="0.3"/>
  <pageSetup paperSize="1000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C26"/>
  <sheetViews>
    <sheetView workbookViewId="0">
      <selection activeCell="B2" sqref="B2:AC26"/>
    </sheetView>
  </sheetViews>
  <sheetFormatPr baseColWidth="10" defaultRowHeight="15" x14ac:dyDescent="0.25"/>
  <cols>
    <col min="4" max="4" width="3" customWidth="1"/>
    <col min="5" max="6" width="2.7109375" customWidth="1"/>
    <col min="7" max="7" width="2.5703125" customWidth="1"/>
    <col min="8" max="8" width="3" customWidth="1"/>
    <col min="9" max="10" width="2.85546875" customWidth="1"/>
    <col min="11" max="11" width="3" customWidth="1"/>
    <col min="12" max="13" width="3.140625" customWidth="1"/>
    <col min="14" max="14" width="2.85546875" customWidth="1"/>
    <col min="15" max="15" width="2.7109375" customWidth="1"/>
    <col min="16" max="16" width="3.140625" customWidth="1"/>
    <col min="17" max="17" width="2.85546875" customWidth="1"/>
    <col min="18" max="18" width="3" customWidth="1"/>
    <col min="19" max="19" width="2.7109375" customWidth="1"/>
    <col min="20" max="20" width="3" customWidth="1"/>
    <col min="21" max="21" width="3.5703125" customWidth="1"/>
    <col min="22" max="23" width="3.140625" customWidth="1"/>
    <col min="24" max="24" width="2.85546875" customWidth="1"/>
    <col min="25" max="25" width="3.42578125" customWidth="1"/>
    <col min="26" max="26" width="3" customWidth="1"/>
    <col min="27" max="27" width="3.28515625" customWidth="1"/>
    <col min="28" max="28" width="3" customWidth="1"/>
    <col min="29" max="29" width="7.28515625" customWidth="1"/>
  </cols>
  <sheetData>
    <row r="2" spans="2:29" x14ac:dyDescent="0.25">
      <c r="B2" s="47" t="s">
        <v>24</v>
      </c>
      <c r="C2" s="47"/>
      <c r="D2" s="43" t="s">
        <v>30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2:29" x14ac:dyDescent="0.25">
      <c r="B3" s="47" t="s">
        <v>23</v>
      </c>
      <c r="C3" s="47"/>
      <c r="D3" s="2" t="s">
        <v>0</v>
      </c>
      <c r="E3" s="4" t="s">
        <v>1</v>
      </c>
      <c r="F3" s="4" t="s">
        <v>1</v>
      </c>
      <c r="G3" s="4" t="s">
        <v>2</v>
      </c>
      <c r="H3" s="4" t="s">
        <v>3</v>
      </c>
      <c r="I3" s="2" t="s">
        <v>0</v>
      </c>
      <c r="J3" s="4" t="s">
        <v>1</v>
      </c>
      <c r="K3" s="4" t="s">
        <v>1</v>
      </c>
      <c r="L3" s="4" t="s">
        <v>2</v>
      </c>
      <c r="M3" s="4" t="s">
        <v>3</v>
      </c>
      <c r="N3" s="2" t="s">
        <v>0</v>
      </c>
      <c r="O3" s="4" t="s">
        <v>1</v>
      </c>
      <c r="P3" s="4" t="s">
        <v>1</v>
      </c>
      <c r="Q3" s="4" t="s">
        <v>2</v>
      </c>
      <c r="R3" s="4" t="s">
        <v>3</v>
      </c>
      <c r="S3" s="2" t="s">
        <v>0</v>
      </c>
      <c r="T3" s="4" t="s">
        <v>1</v>
      </c>
      <c r="U3" s="4" t="s">
        <v>1</v>
      </c>
      <c r="V3" s="4" t="s">
        <v>2</v>
      </c>
      <c r="W3" s="4" t="s">
        <v>3</v>
      </c>
      <c r="X3" s="2" t="s">
        <v>0</v>
      </c>
      <c r="Y3" s="4" t="s">
        <v>1</v>
      </c>
      <c r="Z3" s="4" t="s">
        <v>1</v>
      </c>
      <c r="AA3" s="4" t="s">
        <v>2</v>
      </c>
      <c r="AB3" s="4" t="s">
        <v>3</v>
      </c>
      <c r="AC3" s="2" t="s">
        <v>27</v>
      </c>
    </row>
    <row r="4" spans="2:29" x14ac:dyDescent="0.25">
      <c r="B4" s="47" t="s">
        <v>22</v>
      </c>
      <c r="C4" s="47"/>
      <c r="D4" s="42">
        <v>2</v>
      </c>
      <c r="E4" s="42">
        <v>3</v>
      </c>
      <c r="F4" s="42">
        <v>4</v>
      </c>
      <c r="G4" s="42">
        <v>5</v>
      </c>
      <c r="H4" s="42">
        <v>6</v>
      </c>
      <c r="I4" s="46">
        <v>9</v>
      </c>
      <c r="J4" s="46">
        <v>10</v>
      </c>
      <c r="K4" s="46">
        <v>11</v>
      </c>
      <c r="L4" s="46">
        <v>12</v>
      </c>
      <c r="M4" s="46">
        <v>13</v>
      </c>
      <c r="N4" s="42">
        <v>16</v>
      </c>
      <c r="O4" s="42">
        <v>17</v>
      </c>
      <c r="P4" s="42">
        <v>18</v>
      </c>
      <c r="Q4" s="42">
        <v>19</v>
      </c>
      <c r="R4" s="42">
        <v>20</v>
      </c>
      <c r="S4" s="42">
        <v>23</v>
      </c>
      <c r="T4" s="42">
        <v>24</v>
      </c>
      <c r="U4" s="42">
        <v>25</v>
      </c>
      <c r="V4" s="42">
        <v>26</v>
      </c>
      <c r="W4" s="42">
        <v>27</v>
      </c>
      <c r="X4" s="42">
        <v>30</v>
      </c>
      <c r="Y4" s="42"/>
      <c r="Z4" s="42"/>
      <c r="AA4" s="42"/>
      <c r="AB4" s="42"/>
      <c r="AC4" s="62"/>
    </row>
    <row r="5" spans="2:29" x14ac:dyDescent="0.25">
      <c r="B5" s="43" t="s">
        <v>25</v>
      </c>
      <c r="C5" s="44"/>
      <c r="D5" s="42"/>
      <c r="E5" s="42"/>
      <c r="F5" s="42"/>
      <c r="G5" s="42"/>
      <c r="H5" s="42"/>
      <c r="I5" s="46"/>
      <c r="J5" s="46"/>
      <c r="K5" s="46"/>
      <c r="L5" s="46"/>
      <c r="M5" s="46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63"/>
    </row>
    <row r="6" spans="2:29" x14ac:dyDescent="0.25">
      <c r="B6" s="45" t="s">
        <v>4</v>
      </c>
      <c r="C6" s="45"/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/>
      <c r="Z6" s="3"/>
      <c r="AA6" s="3"/>
      <c r="AB6" s="3"/>
      <c r="AC6" s="34">
        <f>D6+E6+F6+G6+H6+I6+J6+K6+L6+M6+N6+O6+P6+Q6+R6+S6+T6+V6+U6+W6+X6+Y6+Z6+AA6+AB6</f>
        <v>0</v>
      </c>
    </row>
    <row r="7" spans="2:29" x14ac:dyDescent="0.25">
      <c r="B7" s="41" t="s">
        <v>7</v>
      </c>
      <c r="C7" s="41"/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/>
      <c r="Z7" s="3"/>
      <c r="AA7" s="3"/>
      <c r="AB7" s="34"/>
      <c r="AC7" s="34">
        <f t="shared" ref="AC7:AC25" si="0">D7+E7+F7+G7+H7+I7+J7+K7+L7+M7+N7+O7+P7+Q7+R7+S7+T7+V7+U7+W7+X7+Y7+Z7+AA7+AB7</f>
        <v>0</v>
      </c>
    </row>
    <row r="8" spans="2:29" x14ac:dyDescent="0.25">
      <c r="B8" s="41" t="s">
        <v>5</v>
      </c>
      <c r="C8" s="41"/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/>
      <c r="Z8" s="3"/>
      <c r="AA8" s="3"/>
      <c r="AB8" s="34"/>
      <c r="AC8" s="34">
        <f t="shared" si="0"/>
        <v>0</v>
      </c>
    </row>
    <row r="9" spans="2:29" x14ac:dyDescent="0.25">
      <c r="B9" s="41" t="s">
        <v>6</v>
      </c>
      <c r="C9" s="41"/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/>
      <c r="Z9" s="3"/>
      <c r="AA9" s="3"/>
      <c r="AB9" s="34"/>
      <c r="AC9" s="34">
        <f t="shared" si="0"/>
        <v>0</v>
      </c>
    </row>
    <row r="10" spans="2:29" x14ac:dyDescent="0.25">
      <c r="B10" s="41" t="s">
        <v>8</v>
      </c>
      <c r="C10" s="41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/>
      <c r="Z10" s="3"/>
      <c r="AA10" s="3"/>
      <c r="AB10" s="34"/>
      <c r="AC10" s="34">
        <f t="shared" si="0"/>
        <v>0</v>
      </c>
    </row>
    <row r="11" spans="2:29" x14ac:dyDescent="0.25">
      <c r="B11" s="41" t="s">
        <v>9</v>
      </c>
      <c r="C11" s="41"/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/>
      <c r="Z11" s="3"/>
      <c r="AA11" s="3"/>
      <c r="AB11" s="34"/>
      <c r="AC11" s="34">
        <f t="shared" si="0"/>
        <v>0</v>
      </c>
    </row>
    <row r="12" spans="2:29" x14ac:dyDescent="0.25">
      <c r="B12" s="41" t="s">
        <v>18</v>
      </c>
      <c r="C12" s="41"/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/>
      <c r="Z12" s="3"/>
      <c r="AA12" s="3"/>
      <c r="AB12" s="34"/>
      <c r="AC12" s="34">
        <f t="shared" si="0"/>
        <v>0</v>
      </c>
    </row>
    <row r="13" spans="2:29" x14ac:dyDescent="0.25">
      <c r="B13" s="41" t="s">
        <v>19</v>
      </c>
      <c r="C13" s="41"/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/>
      <c r="Z13" s="3"/>
      <c r="AA13" s="3"/>
      <c r="AB13" s="34"/>
      <c r="AC13" s="34">
        <f t="shared" si="0"/>
        <v>0</v>
      </c>
    </row>
    <row r="14" spans="2:29" x14ac:dyDescent="0.25">
      <c r="B14" s="41" t="s">
        <v>20</v>
      </c>
      <c r="C14" s="41"/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/>
      <c r="Z14" s="3"/>
      <c r="AA14" s="3"/>
      <c r="AB14" s="34"/>
      <c r="AC14" s="34">
        <f t="shared" si="0"/>
        <v>0</v>
      </c>
    </row>
    <row r="15" spans="2:29" x14ac:dyDescent="0.25">
      <c r="B15" s="41" t="s">
        <v>12</v>
      </c>
      <c r="C15" s="41"/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/>
      <c r="Z15" s="3"/>
      <c r="AA15" s="3"/>
      <c r="AB15" s="34"/>
      <c r="AC15" s="34">
        <f t="shared" si="0"/>
        <v>0</v>
      </c>
    </row>
    <row r="16" spans="2:29" x14ac:dyDescent="0.25">
      <c r="B16" s="41" t="s">
        <v>21</v>
      </c>
      <c r="C16" s="41"/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/>
      <c r="Z16" s="3"/>
      <c r="AA16" s="3"/>
      <c r="AB16" s="34"/>
      <c r="AC16" s="34">
        <f t="shared" si="0"/>
        <v>0</v>
      </c>
    </row>
    <row r="17" spans="2:29" x14ac:dyDescent="0.25">
      <c r="B17" s="41" t="s">
        <v>10</v>
      </c>
      <c r="C17" s="41"/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/>
      <c r="Z17" s="3"/>
      <c r="AA17" s="3"/>
      <c r="AB17" s="34"/>
      <c r="AC17" s="34">
        <f t="shared" si="0"/>
        <v>0</v>
      </c>
    </row>
    <row r="18" spans="2:29" x14ac:dyDescent="0.25">
      <c r="B18" s="41" t="s">
        <v>11</v>
      </c>
      <c r="C18" s="41"/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/>
      <c r="Z18" s="3"/>
      <c r="AA18" s="3"/>
      <c r="AB18" s="34"/>
      <c r="AC18" s="34">
        <f t="shared" si="0"/>
        <v>0</v>
      </c>
    </row>
    <row r="19" spans="2:29" x14ac:dyDescent="0.25">
      <c r="B19" s="41" t="s">
        <v>13</v>
      </c>
      <c r="C19" s="41"/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/>
      <c r="Z19" s="3"/>
      <c r="AA19" s="3"/>
      <c r="AB19" s="34"/>
      <c r="AC19" s="34">
        <f t="shared" si="0"/>
        <v>0</v>
      </c>
    </row>
    <row r="20" spans="2:29" x14ac:dyDescent="0.25">
      <c r="B20" s="41" t="s">
        <v>28</v>
      </c>
      <c r="C20" s="41"/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/>
      <c r="Z20" s="3"/>
      <c r="AA20" s="3"/>
      <c r="AB20" s="34"/>
      <c r="AC20" s="34">
        <f t="shared" si="0"/>
        <v>0</v>
      </c>
    </row>
    <row r="21" spans="2:29" x14ac:dyDescent="0.25">
      <c r="B21" s="41" t="s">
        <v>29</v>
      </c>
      <c r="C21" s="41"/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/>
      <c r="Z21" s="3"/>
      <c r="AA21" s="3"/>
      <c r="AB21" s="34"/>
      <c r="AC21" s="34">
        <f t="shared" si="0"/>
        <v>0</v>
      </c>
    </row>
    <row r="22" spans="2:29" x14ac:dyDescent="0.25">
      <c r="B22" s="41" t="s">
        <v>14</v>
      </c>
      <c r="C22" s="41"/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/>
      <c r="Z22" s="3"/>
      <c r="AA22" s="3"/>
      <c r="AB22" s="34"/>
      <c r="AC22" s="34">
        <f t="shared" si="0"/>
        <v>0</v>
      </c>
    </row>
    <row r="23" spans="2:29" x14ac:dyDescent="0.25">
      <c r="B23" s="41" t="s">
        <v>15</v>
      </c>
      <c r="C23" s="41"/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/>
      <c r="Z23" s="3"/>
      <c r="AA23" s="3"/>
      <c r="AB23" s="34"/>
      <c r="AC23" s="34">
        <f t="shared" si="0"/>
        <v>0</v>
      </c>
    </row>
    <row r="24" spans="2:29" x14ac:dyDescent="0.25">
      <c r="B24" s="41" t="s">
        <v>16</v>
      </c>
      <c r="C24" s="41"/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/>
      <c r="Z24" s="3"/>
      <c r="AA24" s="3"/>
      <c r="AB24" s="34"/>
      <c r="AC24" s="34">
        <f t="shared" si="0"/>
        <v>0</v>
      </c>
    </row>
    <row r="25" spans="2:29" x14ac:dyDescent="0.25">
      <c r="B25" s="41" t="s">
        <v>17</v>
      </c>
      <c r="C25" s="41"/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/>
      <c r="Z25" s="3"/>
      <c r="AA25" s="3"/>
      <c r="AB25" s="34"/>
      <c r="AC25" s="34">
        <f t="shared" si="0"/>
        <v>0</v>
      </c>
    </row>
    <row r="26" spans="2:29" x14ac:dyDescent="0.25">
      <c r="B26" s="9" t="s">
        <v>27</v>
      </c>
      <c r="C26" s="2"/>
      <c r="D26" s="2">
        <f>D6+D7+D8+D9+D10+D11+D12+D13+D14+D15+D16+D17+D18+D19+D20+D21+D22+D23+D24+D25</f>
        <v>0</v>
      </c>
      <c r="E26" s="2">
        <f t="shared" ref="E26:G26" si="1">E6+E7+E8+E9+E10+E11+E12+E13+E14+E15+E16+E17+E18+E19+E20+E21+E22+E23+E24+E25</f>
        <v>0</v>
      </c>
      <c r="F26" s="2">
        <f t="shared" si="1"/>
        <v>0</v>
      </c>
      <c r="G26" s="2">
        <f t="shared" si="1"/>
        <v>0</v>
      </c>
      <c r="H26" s="2">
        <f t="shared" ref="H26:W26" si="2">H6+H7+H8+H9+H10+H11+H12+H13+H14+H15+H16+H17+H18+H19+H20+H21+H22+H23+H24+H25</f>
        <v>0</v>
      </c>
      <c r="I26" s="2">
        <f t="shared" si="2"/>
        <v>0</v>
      </c>
      <c r="J26" s="4">
        <f t="shared" si="2"/>
        <v>0</v>
      </c>
      <c r="K26" s="4">
        <f t="shared" si="2"/>
        <v>0</v>
      </c>
      <c r="L26" s="4">
        <f t="shared" si="2"/>
        <v>0</v>
      </c>
      <c r="M26" s="4">
        <f t="shared" si="2"/>
        <v>0</v>
      </c>
      <c r="N26" s="4">
        <f t="shared" si="2"/>
        <v>0</v>
      </c>
      <c r="O26" s="2">
        <f t="shared" si="2"/>
        <v>0</v>
      </c>
      <c r="P26" s="2">
        <f t="shared" si="2"/>
        <v>0</v>
      </c>
      <c r="Q26" s="2">
        <f t="shared" si="2"/>
        <v>0</v>
      </c>
      <c r="R26" s="2">
        <f t="shared" si="2"/>
        <v>0</v>
      </c>
      <c r="S26" s="2">
        <f t="shared" si="2"/>
        <v>0</v>
      </c>
      <c r="T26" s="2">
        <f t="shared" si="2"/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2">
        <f>X6+X7+X8+X9+X10+X11+X12+X13+X14+X15+X16+X17+X18+X19+X20+X21+X22+X23+X24+X25</f>
        <v>0</v>
      </c>
      <c r="Y26" s="2"/>
      <c r="Z26" s="2"/>
      <c r="AA26" s="2"/>
      <c r="AB26" s="2"/>
      <c r="AC26" s="34">
        <f>AC6+AC7+AC8+AC9+AC10+AC11+AC12+AC13+AC14+AC15+AC16+AC17+AC18+AC19+AC20+AC21+AC22+AC23+AC24+AC25</f>
        <v>0</v>
      </c>
    </row>
  </sheetData>
  <mergeCells count="51">
    <mergeCell ref="B2:C2"/>
    <mergeCell ref="D2:AC2"/>
    <mergeCell ref="B3:C3"/>
    <mergeCell ref="B4:C4"/>
    <mergeCell ref="D4:D5"/>
    <mergeCell ref="E4:E5"/>
    <mergeCell ref="F4:F5"/>
    <mergeCell ref="G4:G5"/>
    <mergeCell ref="H4:H5"/>
    <mergeCell ref="I4:I5"/>
    <mergeCell ref="AB4:AB5"/>
    <mergeCell ref="AC4:AC5"/>
    <mergeCell ref="B5:C5"/>
    <mergeCell ref="B8:C8"/>
    <mergeCell ref="V4:V5"/>
    <mergeCell ref="W4:W5"/>
    <mergeCell ref="X4:X5"/>
    <mergeCell ref="Y4:Y5"/>
    <mergeCell ref="P4:P5"/>
    <mergeCell ref="Q4:Q5"/>
    <mergeCell ref="R4:R5"/>
    <mergeCell ref="S4:S5"/>
    <mergeCell ref="T4:T5"/>
    <mergeCell ref="U4:U5"/>
    <mergeCell ref="J4:J5"/>
    <mergeCell ref="K4:K5"/>
    <mergeCell ref="L4:L5"/>
    <mergeCell ref="M4:M5"/>
    <mergeCell ref="N4:N5"/>
    <mergeCell ref="B6:C6"/>
    <mergeCell ref="B7:C7"/>
    <mergeCell ref="Z4:Z5"/>
    <mergeCell ref="AA4:AA5"/>
    <mergeCell ref="O4:O5"/>
    <mergeCell ref="B20:C2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1:C21"/>
    <mergeCell ref="B22:C22"/>
    <mergeCell ref="B23:C23"/>
    <mergeCell ref="B24:C24"/>
    <mergeCell ref="B25:C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457E-DA9A-48BB-97F6-6E09372CB1B0}">
  <dimension ref="B2:O24"/>
  <sheetViews>
    <sheetView tabSelected="1" zoomScale="69" zoomScaleNormal="69" workbookViewId="0">
      <selection activeCell="Q21" sqref="Q21"/>
    </sheetView>
  </sheetViews>
  <sheetFormatPr baseColWidth="10" defaultRowHeight="15" x14ac:dyDescent="0.25"/>
  <cols>
    <col min="3" max="3" width="21" customWidth="1"/>
    <col min="4" max="4" width="5.85546875" customWidth="1"/>
    <col min="5" max="5" width="4.42578125" customWidth="1"/>
    <col min="6" max="6" width="4.140625" customWidth="1"/>
    <col min="7" max="7" width="4.5703125" customWidth="1"/>
    <col min="8" max="8" width="4.140625" customWidth="1"/>
    <col min="9" max="9" width="4.7109375" customWidth="1"/>
    <col min="10" max="10" width="5.42578125" customWidth="1"/>
    <col min="11" max="11" width="4.7109375" customWidth="1"/>
    <col min="12" max="12" width="5" customWidth="1"/>
    <col min="13" max="13" width="4.85546875" customWidth="1"/>
    <col min="14" max="14" width="7.28515625" customWidth="1"/>
  </cols>
  <sheetData>
    <row r="2" spans="2:15" ht="79.5" customHeight="1" x14ac:dyDescent="0.25">
      <c r="B2" s="47" t="s">
        <v>24</v>
      </c>
      <c r="C2" s="47"/>
      <c r="D2" s="80" t="s">
        <v>48</v>
      </c>
      <c r="E2" s="80" t="s">
        <v>30</v>
      </c>
      <c r="F2" s="80" t="s">
        <v>32</v>
      </c>
      <c r="G2" s="80" t="s">
        <v>33</v>
      </c>
      <c r="H2" s="80" t="s">
        <v>36</v>
      </c>
      <c r="I2" s="80" t="s">
        <v>37</v>
      </c>
      <c r="J2" s="80" t="s">
        <v>49</v>
      </c>
      <c r="K2" s="80" t="s">
        <v>45</v>
      </c>
      <c r="L2" s="80" t="s">
        <v>46</v>
      </c>
      <c r="M2" s="80" t="s">
        <v>47</v>
      </c>
      <c r="N2" s="80" t="s">
        <v>50</v>
      </c>
      <c r="O2" s="79" t="s">
        <v>27</v>
      </c>
    </row>
    <row r="3" spans="2:15" x14ac:dyDescent="0.25">
      <c r="B3" s="81" t="s">
        <v>25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3"/>
      <c r="N3" s="38"/>
      <c r="O3" s="37"/>
    </row>
    <row r="4" spans="2:15" x14ac:dyDescent="0.25">
      <c r="B4" s="45" t="s">
        <v>4</v>
      </c>
      <c r="C4" s="45"/>
      <c r="D4" s="3">
        <v>25</v>
      </c>
      <c r="E4" s="3">
        <v>30</v>
      </c>
      <c r="F4" s="3">
        <v>12</v>
      </c>
      <c r="G4" s="3">
        <v>18</v>
      </c>
      <c r="H4" s="3">
        <v>20</v>
      </c>
      <c r="I4" s="3">
        <v>31</v>
      </c>
      <c r="J4" s="3">
        <v>12</v>
      </c>
      <c r="K4" s="3">
        <v>14</v>
      </c>
      <c r="L4" s="3">
        <v>16</v>
      </c>
      <c r="M4" s="3">
        <v>18</v>
      </c>
      <c r="N4" s="3">
        <v>20</v>
      </c>
      <c r="O4" s="39">
        <f t="shared" ref="O4:O23" si="0">D4+E4+F4+G4+H4+I4+J4+K4+L4+M4+N4</f>
        <v>216</v>
      </c>
    </row>
    <row r="5" spans="2:15" x14ac:dyDescent="0.25">
      <c r="B5" s="41" t="s">
        <v>7</v>
      </c>
      <c r="C5" s="41"/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9">
        <f t="shared" si="0"/>
        <v>0</v>
      </c>
    </row>
    <row r="6" spans="2:15" x14ac:dyDescent="0.25">
      <c r="B6" s="41" t="s">
        <v>5</v>
      </c>
      <c r="C6" s="41"/>
      <c r="D6" s="3">
        <v>2</v>
      </c>
      <c r="E6" s="3">
        <v>16</v>
      </c>
      <c r="F6" s="3">
        <v>4</v>
      </c>
      <c r="G6" s="3">
        <v>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9">
        <f t="shared" si="0"/>
        <v>24</v>
      </c>
    </row>
    <row r="7" spans="2:15" x14ac:dyDescent="0.25">
      <c r="B7" s="41" t="s">
        <v>6</v>
      </c>
      <c r="C7" s="41"/>
      <c r="D7" s="3">
        <v>0</v>
      </c>
      <c r="E7" s="3">
        <v>0</v>
      </c>
      <c r="F7" s="3">
        <v>0</v>
      </c>
      <c r="G7" s="3">
        <v>9</v>
      </c>
      <c r="H7" s="3">
        <v>0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9">
        <f t="shared" si="0"/>
        <v>17</v>
      </c>
    </row>
    <row r="8" spans="2:15" x14ac:dyDescent="0.25">
      <c r="B8" s="41" t="s">
        <v>8</v>
      </c>
      <c r="C8" s="41"/>
      <c r="D8" s="3">
        <v>25</v>
      </c>
      <c r="E8" s="3">
        <v>30</v>
      </c>
      <c r="F8" s="3">
        <v>12</v>
      </c>
      <c r="G8" s="3">
        <v>18</v>
      </c>
      <c r="H8" s="3">
        <v>20</v>
      </c>
      <c r="I8" s="3">
        <v>31</v>
      </c>
      <c r="J8" s="3">
        <v>12</v>
      </c>
      <c r="K8" s="3">
        <v>14</v>
      </c>
      <c r="L8" s="3">
        <v>16</v>
      </c>
      <c r="M8" s="3">
        <v>18</v>
      </c>
      <c r="N8" s="3">
        <v>20</v>
      </c>
      <c r="O8" s="39">
        <f t="shared" si="0"/>
        <v>216</v>
      </c>
    </row>
    <row r="9" spans="2:15" x14ac:dyDescent="0.25">
      <c r="B9" s="41" t="s">
        <v>9</v>
      </c>
      <c r="C9" s="41"/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9">
        <f t="shared" si="0"/>
        <v>0</v>
      </c>
    </row>
    <row r="10" spans="2:15" x14ac:dyDescent="0.25">
      <c r="B10" s="41" t="s">
        <v>18</v>
      </c>
      <c r="C10" s="41"/>
      <c r="D10" s="3">
        <v>0</v>
      </c>
      <c r="E10" s="3">
        <v>0</v>
      </c>
      <c r="F10" s="3">
        <v>0</v>
      </c>
      <c r="G10" s="3">
        <v>0</v>
      </c>
      <c r="H10" s="3">
        <v>9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9">
        <f t="shared" si="0"/>
        <v>21</v>
      </c>
    </row>
    <row r="11" spans="2:15" x14ac:dyDescent="0.25">
      <c r="B11" s="41" t="s">
        <v>19</v>
      </c>
      <c r="C11" s="41"/>
      <c r="D11" s="3">
        <v>0</v>
      </c>
      <c r="E11" s="3">
        <v>0</v>
      </c>
      <c r="F11" s="3">
        <v>0</v>
      </c>
      <c r="G11" s="3">
        <v>7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9">
        <f t="shared" si="0"/>
        <v>7</v>
      </c>
    </row>
    <row r="12" spans="2:15" x14ac:dyDescent="0.25">
      <c r="B12" s="41" t="s">
        <v>20</v>
      </c>
      <c r="C12" s="41"/>
      <c r="D12" s="3">
        <v>0</v>
      </c>
      <c r="E12" s="3">
        <v>8</v>
      </c>
      <c r="F12" s="3">
        <v>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9">
        <f t="shared" si="0"/>
        <v>10</v>
      </c>
    </row>
    <row r="13" spans="2:15" x14ac:dyDescent="0.25">
      <c r="B13" s="41" t="s">
        <v>12</v>
      </c>
      <c r="C13" s="41"/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9">
        <f t="shared" si="0"/>
        <v>0</v>
      </c>
    </row>
    <row r="14" spans="2:15" x14ac:dyDescent="0.25">
      <c r="B14" s="41" t="s">
        <v>21</v>
      </c>
      <c r="C14" s="41"/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9">
        <f t="shared" si="0"/>
        <v>0</v>
      </c>
    </row>
    <row r="15" spans="2:15" x14ac:dyDescent="0.25">
      <c r="B15" s="41" t="s">
        <v>10</v>
      </c>
      <c r="C15" s="41"/>
      <c r="D15" s="3">
        <v>0</v>
      </c>
      <c r="E15" s="3">
        <v>0</v>
      </c>
      <c r="F15" s="3">
        <v>0</v>
      </c>
      <c r="G15" s="3">
        <v>0</v>
      </c>
      <c r="H15" s="3">
        <v>8</v>
      </c>
      <c r="I15" s="3">
        <v>0</v>
      </c>
      <c r="J15" s="3">
        <v>9</v>
      </c>
      <c r="K15" s="3">
        <v>7</v>
      </c>
      <c r="L15" s="3">
        <v>0</v>
      </c>
      <c r="M15" s="3">
        <v>0</v>
      </c>
      <c r="N15" s="3">
        <v>8</v>
      </c>
      <c r="O15" s="39">
        <f t="shared" si="0"/>
        <v>32</v>
      </c>
    </row>
    <row r="16" spans="2:15" x14ac:dyDescent="0.25">
      <c r="B16" s="41" t="s">
        <v>11</v>
      </c>
      <c r="C16" s="41"/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9">
        <f t="shared" si="0"/>
        <v>0</v>
      </c>
    </row>
    <row r="17" spans="2:15" x14ac:dyDescent="0.25">
      <c r="B17" s="41" t="s">
        <v>13</v>
      </c>
      <c r="C17" s="41"/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9">
        <f t="shared" si="0"/>
        <v>0</v>
      </c>
    </row>
    <row r="18" spans="2:15" x14ac:dyDescent="0.25">
      <c r="B18" s="41" t="s">
        <v>28</v>
      </c>
      <c r="C18" s="41"/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>
        <v>6</v>
      </c>
      <c r="L18" s="3">
        <v>0</v>
      </c>
      <c r="M18" s="3">
        <v>0</v>
      </c>
      <c r="N18" s="3">
        <v>0</v>
      </c>
      <c r="O18" s="39">
        <f t="shared" si="0"/>
        <v>7</v>
      </c>
    </row>
    <row r="19" spans="2:15" x14ac:dyDescent="0.25">
      <c r="B19" s="41" t="s">
        <v>29</v>
      </c>
      <c r="C19" s="41"/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9">
        <f t="shared" si="0"/>
        <v>0</v>
      </c>
    </row>
    <row r="20" spans="2:15" x14ac:dyDescent="0.25">
      <c r="B20" s="41" t="s">
        <v>14</v>
      </c>
      <c r="C20" s="41"/>
      <c r="D20" s="3">
        <v>0</v>
      </c>
      <c r="E20" s="3">
        <v>14</v>
      </c>
      <c r="F20" s="3">
        <v>0</v>
      </c>
      <c r="G20" s="3">
        <v>0</v>
      </c>
      <c r="H20" s="3">
        <v>19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9">
        <f t="shared" si="0"/>
        <v>33</v>
      </c>
    </row>
    <row r="21" spans="2:15" x14ac:dyDescent="0.25">
      <c r="B21" s="41" t="s">
        <v>15</v>
      </c>
      <c r="C21" s="41"/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12</v>
      </c>
      <c r="N21" s="3">
        <v>0</v>
      </c>
      <c r="O21" s="39">
        <f t="shared" si="0"/>
        <v>12</v>
      </c>
    </row>
    <row r="22" spans="2:15" x14ac:dyDescent="0.25">
      <c r="B22" s="41" t="s">
        <v>16</v>
      </c>
      <c r="C22" s="41"/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9">
        <f t="shared" si="0"/>
        <v>0</v>
      </c>
    </row>
    <row r="23" spans="2:15" x14ac:dyDescent="0.25">
      <c r="B23" s="41" t="s">
        <v>17</v>
      </c>
      <c r="C23" s="41"/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11</v>
      </c>
      <c r="L23" s="3">
        <v>0</v>
      </c>
      <c r="M23" s="3">
        <v>0</v>
      </c>
      <c r="N23" s="3">
        <v>0</v>
      </c>
      <c r="O23" s="39">
        <f t="shared" si="0"/>
        <v>11</v>
      </c>
    </row>
    <row r="24" spans="2:15" x14ac:dyDescent="0.25">
      <c r="B24" s="9" t="s">
        <v>27</v>
      </c>
      <c r="C24" s="2"/>
      <c r="D24" s="2">
        <f>D4+D5+D6+D7+D8+D9+D10+D11+D12+D13+D14+D15+D16+D17+D18+D19+D20+D21+D22+D23</f>
        <v>52</v>
      </c>
      <c r="E24" s="2">
        <f t="shared" ref="E24:N24" si="1">E4+E5+E6+E7+E8+E9+E10+E11+E12+E13+E14+E15+E16+E17+E18+E19+E20+E21+E22+E23</f>
        <v>98</v>
      </c>
      <c r="F24" s="2">
        <f t="shared" si="1"/>
        <v>30</v>
      </c>
      <c r="G24" s="2">
        <f t="shared" si="1"/>
        <v>54</v>
      </c>
      <c r="H24" s="2">
        <f t="shared" si="1"/>
        <v>76</v>
      </c>
      <c r="I24" s="2">
        <f t="shared" si="1"/>
        <v>82</v>
      </c>
      <c r="J24" s="4">
        <f t="shared" si="1"/>
        <v>34</v>
      </c>
      <c r="K24" s="4">
        <f t="shared" si="1"/>
        <v>52</v>
      </c>
      <c r="L24" s="4">
        <f t="shared" si="1"/>
        <v>32</v>
      </c>
      <c r="M24" s="4">
        <f t="shared" si="1"/>
        <v>48</v>
      </c>
      <c r="N24" s="4">
        <f t="shared" si="1"/>
        <v>48</v>
      </c>
      <c r="O24" s="39">
        <f>O4+O5+O6+O7+O8+O9+O10+O11+O12+O13+O14+O15+O16+O17+O18+O19+O20+O21+O22+O23</f>
        <v>606</v>
      </c>
    </row>
  </sheetData>
  <mergeCells count="22">
    <mergeCell ref="B19:C19"/>
    <mergeCell ref="B20:C20"/>
    <mergeCell ref="B21:C21"/>
    <mergeCell ref="B22:C22"/>
    <mergeCell ref="B23:C23"/>
    <mergeCell ref="B3:M3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4:C4"/>
    <mergeCell ref="B5:C5"/>
    <mergeCell ref="B6:C6"/>
    <mergeCell ref="B2:C2"/>
  </mergeCells>
  <pageMargins left="0.7" right="0.7" top="0.75" bottom="0.75" header="0.3" footer="0.3"/>
  <pageSetup paperSize="34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UEPIAB</cp:lastModifiedBy>
  <dcterms:created xsi:type="dcterms:W3CDTF">2024-05-16T14:18:41Z</dcterms:created>
  <dcterms:modified xsi:type="dcterms:W3CDTF">2026-04-06T14:56:11Z</dcterms:modified>
</cp:coreProperties>
</file>