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D33557B-B1AE-4F02-A75B-B35FD7614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ISTENCIA" sheetId="1" r:id="rId1"/>
  </sheets>
  <externalReferences>
    <externalReference r:id="rId2"/>
  </externalReferences>
  <definedNames>
    <definedName name="BUS_01">ASISTENCIA!$E$1</definedName>
    <definedName name="BUS_02">ASISTENCIA!$E$35</definedName>
    <definedName name="BUS_03">ASISTENCIA!$E$70</definedName>
    <definedName name="BUS_04">ASISTENCIA!$E$105</definedName>
    <definedName name="BUS_05">ASISTENCIA!$E$140</definedName>
    <definedName name="BUS_06">ASISTENCIA!$E$176</definedName>
    <definedName name="BUS_07">ASISTENCIA!$E$211</definedName>
    <definedName name="BUS_08">ASISTENCIA!$E$246</definedName>
    <definedName name="BUS_09">ASISTENCIA!$E$281</definedName>
    <definedName name="BUS_10">ASISTENCIA!$E$316</definedName>
    <definedName name="BUS_11">ASISTENCIA!$E$350</definedName>
    <definedName name="BUS_12">ASISTENCIA!$E$384</definedName>
    <definedName name="BUS_13">ASISTENCIA!$E$419</definedName>
    <definedName name="BUS_14">ASISTENCIA!$E$453</definedName>
    <definedName name="BUS_15">ASISTENCIA!$E$489</definedName>
    <definedName name="BUS_16">ASISTENCIA!$E$525</definedName>
    <definedName name="BUS_17">ASISTENCIA!$E$562</definedName>
    <definedName name="BUS_18">ASISTENCIA!$E$598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674" i="1" l="1"/>
  <c r="AZ674" i="1"/>
  <c r="AX674" i="1"/>
  <c r="AV674" i="1"/>
  <c r="AT674" i="1"/>
  <c r="L674" i="1"/>
  <c r="J674" i="1"/>
  <c r="H674" i="1"/>
  <c r="F674" i="1"/>
  <c r="AF701" i="1"/>
  <c r="F671" i="1"/>
  <c r="D671" i="1"/>
  <c r="C671" i="1"/>
  <c r="BB637" i="1"/>
  <c r="AZ637" i="1"/>
  <c r="AX637" i="1"/>
  <c r="AV637" i="1"/>
  <c r="AT637" i="1"/>
  <c r="L637" i="1"/>
  <c r="J637" i="1"/>
  <c r="H637" i="1"/>
  <c r="F637" i="1"/>
  <c r="AF663" i="1"/>
  <c r="F634" i="1"/>
  <c r="D634" i="1"/>
  <c r="C634" i="1"/>
  <c r="D385" i="1"/>
  <c r="C387" i="1"/>
  <c r="C386" i="1"/>
  <c r="C385" i="1"/>
  <c r="D420" i="1"/>
  <c r="C422" i="1"/>
  <c r="C421" i="1"/>
  <c r="C420" i="1"/>
  <c r="D454" i="1"/>
  <c r="C456" i="1"/>
  <c r="C455" i="1"/>
  <c r="C454" i="1"/>
  <c r="D490" i="1"/>
  <c r="C492" i="1"/>
  <c r="C491" i="1"/>
  <c r="C490" i="1"/>
  <c r="D526" i="1"/>
  <c r="C528" i="1"/>
  <c r="C527" i="1"/>
  <c r="C526" i="1"/>
  <c r="D563" i="1"/>
  <c r="C565" i="1"/>
  <c r="C564" i="1"/>
  <c r="C563" i="1"/>
  <c r="D599" i="1"/>
  <c r="C601" i="1"/>
  <c r="C600" i="1"/>
  <c r="C599" i="1"/>
  <c r="D351" i="1"/>
  <c r="C353" i="1"/>
  <c r="C352" i="1"/>
  <c r="C351" i="1"/>
  <c r="D317" i="1"/>
  <c r="C319" i="1"/>
  <c r="C318" i="1"/>
  <c r="C317" i="1"/>
  <c r="D282" i="1"/>
  <c r="C284" i="1"/>
  <c r="C283" i="1"/>
  <c r="C282" i="1"/>
  <c r="D247" i="1"/>
  <c r="C249" i="1"/>
  <c r="C248" i="1"/>
  <c r="C247" i="1"/>
  <c r="D212" i="1"/>
  <c r="C214" i="1"/>
  <c r="C213" i="1"/>
  <c r="C212" i="1"/>
  <c r="D177" i="1"/>
  <c r="C179" i="1"/>
  <c r="C178" i="1"/>
  <c r="C177" i="1"/>
  <c r="C143" i="1"/>
  <c r="C142" i="1"/>
  <c r="D141" i="1"/>
  <c r="C141" i="1"/>
  <c r="C108" i="1"/>
  <c r="C107" i="1"/>
  <c r="D106" i="1"/>
  <c r="C106" i="1"/>
  <c r="C73" i="1"/>
  <c r="C72" i="1"/>
  <c r="D71" i="1"/>
  <c r="C71" i="1"/>
  <c r="C38" i="1"/>
  <c r="C37" i="1"/>
  <c r="D36" i="1"/>
  <c r="C36" i="1"/>
  <c r="C2" i="1"/>
  <c r="D2" i="1"/>
  <c r="C4" i="1"/>
  <c r="C3" i="1"/>
  <c r="AF629" i="1" l="1"/>
  <c r="BB602" i="1"/>
  <c r="AZ602" i="1"/>
  <c r="AX602" i="1"/>
  <c r="AV602" i="1"/>
  <c r="AT602" i="1"/>
  <c r="L602" i="1"/>
  <c r="J602" i="1"/>
  <c r="H602" i="1"/>
  <c r="F602" i="1"/>
  <c r="F599" i="1"/>
  <c r="AF595" i="1" l="1"/>
  <c r="AF558" i="1"/>
  <c r="AF521" i="1"/>
  <c r="AF485" i="1"/>
  <c r="BB566" i="1"/>
  <c r="AZ566" i="1"/>
  <c r="AX566" i="1"/>
  <c r="AV566" i="1"/>
  <c r="AT566" i="1"/>
  <c r="J566" i="1"/>
  <c r="H566" i="1"/>
  <c r="F566" i="1"/>
  <c r="F563" i="1"/>
  <c r="BB529" i="1"/>
  <c r="AZ529" i="1"/>
  <c r="AX529" i="1"/>
  <c r="AV529" i="1"/>
  <c r="AT529" i="1"/>
  <c r="J529" i="1"/>
  <c r="H529" i="1"/>
  <c r="F529" i="1"/>
  <c r="F526" i="1"/>
  <c r="BB493" i="1"/>
  <c r="AZ493" i="1"/>
  <c r="AX493" i="1"/>
  <c r="AV493" i="1"/>
  <c r="AT493" i="1"/>
  <c r="J493" i="1"/>
  <c r="H493" i="1"/>
  <c r="F493" i="1"/>
  <c r="F490" i="1"/>
  <c r="BB457" i="1"/>
  <c r="AZ457" i="1"/>
  <c r="AX457" i="1"/>
  <c r="AV457" i="1"/>
  <c r="AT457" i="1"/>
  <c r="J457" i="1"/>
  <c r="H457" i="1"/>
  <c r="F457" i="1"/>
  <c r="F454" i="1"/>
  <c r="AF449" i="1" l="1"/>
  <c r="BB423" i="1"/>
  <c r="AZ423" i="1"/>
  <c r="AX423" i="1"/>
  <c r="AV423" i="1"/>
  <c r="AT423" i="1"/>
  <c r="J423" i="1"/>
  <c r="H423" i="1"/>
  <c r="F423" i="1"/>
  <c r="F420" i="1"/>
  <c r="BB388" i="1" l="1"/>
  <c r="AZ388" i="1"/>
  <c r="AX388" i="1"/>
  <c r="J388" i="1"/>
  <c r="H388" i="1"/>
  <c r="F388" i="1"/>
  <c r="AF415" i="1"/>
  <c r="F385" i="1"/>
  <c r="BB354" i="1"/>
  <c r="AZ354" i="1"/>
  <c r="AX354" i="1"/>
  <c r="J354" i="1"/>
  <c r="H354" i="1"/>
  <c r="F354" i="1"/>
  <c r="AF380" i="1"/>
  <c r="F351" i="1"/>
  <c r="BB320" i="1"/>
  <c r="AZ320" i="1"/>
  <c r="AX320" i="1"/>
  <c r="J320" i="1"/>
  <c r="H320" i="1"/>
  <c r="F320" i="1"/>
  <c r="AF346" i="1"/>
  <c r="F317" i="1"/>
  <c r="BB285" i="1"/>
  <c r="AZ285" i="1"/>
  <c r="AX285" i="1"/>
  <c r="J285" i="1"/>
  <c r="H285" i="1"/>
  <c r="F285" i="1"/>
  <c r="AF312" i="1"/>
  <c r="F282" i="1"/>
  <c r="BB250" i="1"/>
  <c r="AZ250" i="1"/>
  <c r="AX250" i="1"/>
  <c r="J250" i="1"/>
  <c r="H250" i="1"/>
  <c r="F250" i="1"/>
  <c r="AF277" i="1"/>
  <c r="F247" i="1"/>
  <c r="BB215" i="1"/>
  <c r="AZ215" i="1"/>
  <c r="AX215" i="1"/>
  <c r="J215" i="1"/>
  <c r="H215" i="1"/>
  <c r="F215" i="1"/>
  <c r="AF242" i="1"/>
  <c r="F212" i="1"/>
  <c r="BB180" i="1"/>
  <c r="AZ180" i="1"/>
  <c r="AX180" i="1"/>
  <c r="J180" i="1"/>
  <c r="H180" i="1"/>
  <c r="F180" i="1"/>
  <c r="AF206" i="1"/>
  <c r="F177" i="1"/>
  <c r="BB144" i="1"/>
  <c r="AZ144" i="1"/>
  <c r="AX144" i="1"/>
  <c r="J144" i="1"/>
  <c r="H144" i="1"/>
  <c r="F144" i="1"/>
  <c r="AF171" i="1"/>
  <c r="F141" i="1"/>
  <c r="BB109" i="1"/>
  <c r="AZ109" i="1"/>
  <c r="AX109" i="1"/>
  <c r="J109" i="1"/>
  <c r="H109" i="1"/>
  <c r="F109" i="1"/>
  <c r="AF135" i="1"/>
  <c r="F106" i="1"/>
  <c r="BB74" i="1"/>
  <c r="AZ74" i="1"/>
  <c r="AX74" i="1"/>
  <c r="J74" i="1"/>
  <c r="H74" i="1"/>
  <c r="F74" i="1"/>
  <c r="AF101" i="1"/>
  <c r="F71" i="1"/>
  <c r="BB39" i="1"/>
  <c r="AZ39" i="1"/>
  <c r="AX39" i="1"/>
  <c r="J39" i="1"/>
  <c r="H39" i="1"/>
  <c r="F39" i="1"/>
  <c r="AF66" i="1"/>
  <c r="F36" i="1"/>
  <c r="L39" i="1"/>
  <c r="AF31" i="1"/>
  <c r="L493" i="1" l="1"/>
  <c r="L529" i="1"/>
  <c r="L566" i="1"/>
  <c r="L457" i="1"/>
  <c r="L354" i="1"/>
  <c r="L423" i="1"/>
  <c r="L180" i="1"/>
  <c r="L250" i="1"/>
  <c r="L285" i="1"/>
  <c r="L388" i="1"/>
  <c r="L74" i="1"/>
  <c r="L215" i="1"/>
  <c r="L109" i="1"/>
  <c r="L320" i="1"/>
  <c r="N5" i="1"/>
  <c r="L144" i="1"/>
  <c r="N674" i="1" l="1"/>
  <c r="N637" i="1"/>
  <c r="P5" i="1"/>
  <c r="N602" i="1"/>
  <c r="N423" i="1"/>
  <c r="N493" i="1"/>
  <c r="N529" i="1"/>
  <c r="N566" i="1"/>
  <c r="N457" i="1"/>
  <c r="N320" i="1"/>
  <c r="N109" i="1"/>
  <c r="N285" i="1"/>
  <c r="N74" i="1"/>
  <c r="N250" i="1"/>
  <c r="N388" i="1"/>
  <c r="N180" i="1"/>
  <c r="N354" i="1"/>
  <c r="N215" i="1"/>
  <c r="N144" i="1"/>
  <c r="N39" i="1"/>
  <c r="P602" i="1" l="1"/>
  <c r="P674" i="1"/>
  <c r="P637" i="1"/>
  <c r="P423" i="1"/>
  <c r="P529" i="1"/>
  <c r="P566" i="1"/>
  <c r="P457" i="1"/>
  <c r="P493" i="1"/>
  <c r="P250" i="1"/>
  <c r="P39" i="1"/>
  <c r="P285" i="1"/>
  <c r="P74" i="1"/>
  <c r="P215" i="1"/>
  <c r="P388" i="1"/>
  <c r="P320" i="1"/>
  <c r="P180" i="1"/>
  <c r="R5" i="1"/>
  <c r="P354" i="1"/>
  <c r="P144" i="1"/>
  <c r="P109" i="1"/>
  <c r="R602" i="1" l="1"/>
  <c r="R674" i="1"/>
  <c r="R637" i="1"/>
  <c r="R423" i="1"/>
  <c r="R566" i="1"/>
  <c r="R493" i="1"/>
  <c r="R457" i="1"/>
  <c r="R529" i="1"/>
  <c r="R388" i="1"/>
  <c r="R250" i="1"/>
  <c r="R39" i="1"/>
  <c r="R215" i="1"/>
  <c r="R180" i="1"/>
  <c r="R285" i="1"/>
  <c r="R320" i="1"/>
  <c r="R354" i="1"/>
  <c r="R144" i="1"/>
  <c r="R109" i="1"/>
  <c r="R74" i="1"/>
  <c r="T5" i="1"/>
  <c r="T602" i="1" l="1"/>
  <c r="T674" i="1"/>
  <c r="T637" i="1"/>
  <c r="T423" i="1"/>
  <c r="T529" i="1"/>
  <c r="T457" i="1"/>
  <c r="T493" i="1"/>
  <c r="T566" i="1"/>
  <c r="T354" i="1"/>
  <c r="T215" i="1"/>
  <c r="T388" i="1"/>
  <c r="T180" i="1"/>
  <c r="T144" i="1"/>
  <c r="T250" i="1"/>
  <c r="T109" i="1"/>
  <c r="T285" i="1"/>
  <c r="T74" i="1"/>
  <c r="T39" i="1"/>
  <c r="T320" i="1"/>
  <c r="V5" i="1"/>
  <c r="V602" i="1" l="1"/>
  <c r="V674" i="1"/>
  <c r="V637" i="1"/>
  <c r="V423" i="1"/>
  <c r="V566" i="1"/>
  <c r="V457" i="1"/>
  <c r="V493" i="1"/>
  <c r="V529" i="1"/>
  <c r="X5" i="1"/>
  <c r="V320" i="1"/>
  <c r="V388" i="1"/>
  <c r="V180" i="1"/>
  <c r="V354" i="1"/>
  <c r="V144" i="1"/>
  <c r="V250" i="1"/>
  <c r="V109" i="1"/>
  <c r="V285" i="1"/>
  <c r="V74" i="1"/>
  <c r="V39" i="1"/>
  <c r="V215" i="1"/>
  <c r="X602" i="1" l="1"/>
  <c r="X674" i="1"/>
  <c r="X637" i="1"/>
  <c r="X423" i="1"/>
  <c r="X493" i="1"/>
  <c r="X529" i="1"/>
  <c r="X566" i="1"/>
  <c r="X457" i="1"/>
  <c r="X354" i="1"/>
  <c r="X144" i="1"/>
  <c r="Z5" i="1"/>
  <c r="X320" i="1"/>
  <c r="X109" i="1"/>
  <c r="X285" i="1"/>
  <c r="X250" i="1"/>
  <c r="X74" i="1"/>
  <c r="X39" i="1"/>
  <c r="X215" i="1"/>
  <c r="X388" i="1"/>
  <c r="X180" i="1"/>
  <c r="Z602" i="1" l="1"/>
  <c r="Z674" i="1"/>
  <c r="Z637" i="1"/>
  <c r="Z423" i="1"/>
  <c r="Z493" i="1"/>
  <c r="Z529" i="1"/>
  <c r="Z566" i="1"/>
  <c r="Z457" i="1"/>
  <c r="Z250" i="1"/>
  <c r="Z320" i="1"/>
  <c r="Z109" i="1"/>
  <c r="Z285" i="1"/>
  <c r="Z74" i="1"/>
  <c r="Z388" i="1"/>
  <c r="Z354" i="1"/>
  <c r="Z39" i="1"/>
  <c r="Z215" i="1"/>
  <c r="Z144" i="1"/>
  <c r="AB5" i="1"/>
  <c r="Z180" i="1"/>
  <c r="AB602" i="1" l="1"/>
  <c r="AB674" i="1"/>
  <c r="AB637" i="1"/>
  <c r="AB423" i="1"/>
  <c r="AB529" i="1"/>
  <c r="AB566" i="1"/>
  <c r="AB457" i="1"/>
  <c r="AB493" i="1"/>
  <c r="AB250" i="1"/>
  <c r="AB39" i="1"/>
  <c r="AB285" i="1"/>
  <c r="AB74" i="1"/>
  <c r="AB215" i="1"/>
  <c r="AB354" i="1"/>
  <c r="AB109" i="1"/>
  <c r="AB144" i="1"/>
  <c r="AB388" i="1"/>
  <c r="AD5" i="1"/>
  <c r="AB320" i="1"/>
  <c r="AB180" i="1"/>
  <c r="AD602" i="1" l="1"/>
  <c r="AD674" i="1"/>
  <c r="AD637" i="1"/>
  <c r="AD423" i="1"/>
  <c r="AD566" i="1"/>
  <c r="AD457" i="1"/>
  <c r="AD529" i="1"/>
  <c r="AD493" i="1"/>
  <c r="AD388" i="1"/>
  <c r="AD250" i="1"/>
  <c r="AD39" i="1"/>
  <c r="AD215" i="1"/>
  <c r="AD180" i="1"/>
  <c r="AD109" i="1"/>
  <c r="AD144" i="1"/>
  <c r="AD285" i="1"/>
  <c r="AF5" i="1"/>
  <c r="AD320" i="1"/>
  <c r="AD354" i="1"/>
  <c r="AD74" i="1"/>
  <c r="AF602" i="1" l="1"/>
  <c r="AF674" i="1"/>
  <c r="AF637" i="1"/>
  <c r="AF423" i="1"/>
  <c r="AF529" i="1"/>
  <c r="AF457" i="1"/>
  <c r="AF493" i="1"/>
  <c r="AF566" i="1"/>
  <c r="AF354" i="1"/>
  <c r="AF215" i="1"/>
  <c r="AF388" i="1"/>
  <c r="AF180" i="1"/>
  <c r="AF144" i="1"/>
  <c r="AF74" i="1"/>
  <c r="AF285" i="1"/>
  <c r="AH5" i="1"/>
  <c r="AF320" i="1"/>
  <c r="AF109" i="1"/>
  <c r="AF250" i="1"/>
  <c r="AF39" i="1"/>
  <c r="AH602" i="1" l="1"/>
  <c r="AH637" i="1"/>
  <c r="AH674" i="1"/>
  <c r="AH423" i="1"/>
  <c r="AH457" i="1"/>
  <c r="AH493" i="1"/>
  <c r="AH529" i="1"/>
  <c r="AH566" i="1"/>
  <c r="AJ5" i="1"/>
  <c r="AH388" i="1"/>
  <c r="AH180" i="1"/>
  <c r="AH354" i="1"/>
  <c r="AH144" i="1"/>
  <c r="AH320" i="1"/>
  <c r="AH109" i="1"/>
  <c r="AH39" i="1"/>
  <c r="AH215" i="1"/>
  <c r="AH250" i="1"/>
  <c r="AH74" i="1"/>
  <c r="AH285" i="1"/>
  <c r="AJ602" i="1" l="1"/>
  <c r="AJ674" i="1"/>
  <c r="AJ637" i="1"/>
  <c r="AJ423" i="1"/>
  <c r="AJ493" i="1"/>
  <c r="AJ529" i="1"/>
  <c r="AJ566" i="1"/>
  <c r="AJ457" i="1"/>
  <c r="AJ285" i="1"/>
  <c r="AJ354" i="1"/>
  <c r="AJ144" i="1"/>
  <c r="AL5" i="1"/>
  <c r="AJ320" i="1"/>
  <c r="AJ109" i="1"/>
  <c r="AJ215" i="1"/>
  <c r="AJ388" i="1"/>
  <c r="AJ250" i="1"/>
  <c r="AJ180" i="1"/>
  <c r="AJ74" i="1"/>
  <c r="AJ39" i="1"/>
  <c r="AL602" i="1" l="1"/>
  <c r="AL674" i="1"/>
  <c r="AL637" i="1"/>
  <c r="AL423" i="1"/>
  <c r="AL493" i="1"/>
  <c r="AL529" i="1"/>
  <c r="AL566" i="1"/>
  <c r="AL457" i="1"/>
  <c r="AL74" i="1"/>
  <c r="AL320" i="1"/>
  <c r="AL109" i="1"/>
  <c r="AL285" i="1"/>
  <c r="AL250" i="1"/>
  <c r="AL144" i="1"/>
  <c r="AL388" i="1"/>
  <c r="AL180" i="1"/>
  <c r="AL39" i="1"/>
  <c r="AL354" i="1"/>
  <c r="AL215" i="1"/>
  <c r="AN5" i="1"/>
  <c r="AN602" i="1" l="1"/>
  <c r="AN674" i="1"/>
  <c r="AN637" i="1"/>
  <c r="AN423" i="1"/>
  <c r="AN529" i="1"/>
  <c r="AN457" i="1"/>
  <c r="AN566" i="1"/>
  <c r="AN493" i="1"/>
  <c r="AN250" i="1"/>
  <c r="AN39" i="1"/>
  <c r="AN285" i="1"/>
  <c r="AN74" i="1"/>
  <c r="AN215" i="1"/>
  <c r="AN320" i="1"/>
  <c r="AN180" i="1"/>
  <c r="AN354" i="1"/>
  <c r="AN109" i="1"/>
  <c r="AN144" i="1"/>
  <c r="AP5" i="1"/>
  <c r="AN388" i="1"/>
  <c r="AP674" i="1" l="1"/>
  <c r="AP637" i="1"/>
  <c r="AR5" i="1"/>
  <c r="AP602" i="1"/>
  <c r="AP423" i="1"/>
  <c r="AP566" i="1"/>
  <c r="AP493" i="1"/>
  <c r="AP457" i="1"/>
  <c r="AP529" i="1"/>
  <c r="AP388" i="1"/>
  <c r="AP250" i="1"/>
  <c r="AP39" i="1"/>
  <c r="AP215" i="1"/>
  <c r="AP180" i="1"/>
  <c r="AP354" i="1"/>
  <c r="AP109" i="1"/>
  <c r="AP74" i="1"/>
  <c r="AP144" i="1"/>
  <c r="AP285" i="1"/>
  <c r="AP320" i="1"/>
  <c r="AR602" i="1" l="1"/>
  <c r="AR674" i="1"/>
  <c r="AR637" i="1"/>
  <c r="AR423" i="1"/>
  <c r="AR457" i="1"/>
  <c r="AR493" i="1"/>
  <c r="AR529" i="1"/>
  <c r="AR566" i="1"/>
  <c r="AR354" i="1"/>
  <c r="AR215" i="1"/>
  <c r="AR388" i="1"/>
  <c r="AR180" i="1"/>
  <c r="AR144" i="1"/>
  <c r="AR109" i="1"/>
  <c r="AR74" i="1"/>
  <c r="AR250" i="1"/>
  <c r="AR39" i="1"/>
  <c r="AR285" i="1"/>
  <c r="AR320" i="1"/>
  <c r="AT320" i="1" l="1"/>
  <c r="AT388" i="1"/>
  <c r="AT180" i="1"/>
  <c r="AT354" i="1"/>
  <c r="AT144" i="1"/>
  <c r="AT109" i="1"/>
  <c r="AT250" i="1"/>
  <c r="AT39" i="1"/>
  <c r="AT285" i="1"/>
  <c r="AT215" i="1"/>
  <c r="AT74" i="1"/>
  <c r="AV320" i="1" l="1"/>
  <c r="AV354" i="1"/>
  <c r="AV144" i="1"/>
  <c r="AV109" i="1"/>
  <c r="AV285" i="1"/>
  <c r="AV74" i="1"/>
  <c r="AV250" i="1"/>
  <c r="AV180" i="1"/>
  <c r="AV215" i="1"/>
  <c r="AV388" i="1"/>
  <c r="AV39" i="1"/>
</calcChain>
</file>

<file path=xl/sharedStrings.xml><?xml version="1.0" encoding="utf-8"?>
<sst xmlns="http://schemas.openxmlformats.org/spreadsheetml/2006/main" count="2851" uniqueCount="670">
  <si>
    <t xml:space="preserve">LISTA DE ESTUDIANTES BUS N° </t>
  </si>
  <si>
    <t>CONTROL DE ASISTENCIA</t>
  </si>
  <si>
    <t xml:space="preserve">INICIO DE SERVICIO:  </t>
  </si>
  <si>
    <r>
      <rPr>
        <b/>
        <sz val="10"/>
        <rFont val="Arial"/>
        <family val="2"/>
      </rPr>
      <t>CONDUCTOR           :</t>
    </r>
    <r>
      <rPr>
        <sz val="10"/>
        <rFont val="Arial"/>
        <family val="2"/>
      </rPr>
      <t xml:space="preserve"> </t>
    </r>
  </si>
  <si>
    <r>
      <rPr>
        <b/>
        <sz val="10"/>
        <rFont val="Arial"/>
        <family val="2"/>
      </rPr>
      <t>CELULAR                 :</t>
    </r>
    <r>
      <rPr>
        <sz val="10"/>
        <rFont val="Arial"/>
        <family val="2"/>
      </rPr>
      <t xml:space="preserve"> </t>
    </r>
  </si>
  <si>
    <t>L</t>
  </si>
  <si>
    <t>M</t>
  </si>
  <si>
    <t>J</t>
  </si>
  <si>
    <t>V</t>
  </si>
  <si>
    <t>N°</t>
  </si>
  <si>
    <t>PATERNO</t>
  </si>
  <si>
    <t>MATERNO</t>
  </si>
  <si>
    <t>NOMBRES</t>
  </si>
  <si>
    <t>CURSO</t>
  </si>
  <si>
    <t>E</t>
  </si>
  <si>
    <t>S</t>
  </si>
  <si>
    <t>APAZA</t>
  </si>
  <si>
    <t>DONAYRE</t>
  </si>
  <si>
    <t>SHERYL MIKEYLA</t>
  </si>
  <si>
    <t>2° Prim. A</t>
  </si>
  <si>
    <t>MAMANI</t>
  </si>
  <si>
    <t>CHURA</t>
  </si>
  <si>
    <t>QUISPE</t>
  </si>
  <si>
    <t>JHOAN AROLDS</t>
  </si>
  <si>
    <t>HUANCA</t>
  </si>
  <si>
    <t>AVALOS</t>
  </si>
  <si>
    <t>MATIAS FRANCO</t>
  </si>
  <si>
    <t>LIMA</t>
  </si>
  <si>
    <t>SAYUMI SANDYBEL</t>
  </si>
  <si>
    <t>3° Prim. A</t>
  </si>
  <si>
    <t>LIMACHI</t>
  </si>
  <si>
    <t>HELEN</t>
  </si>
  <si>
    <t xml:space="preserve">MAMANI </t>
  </si>
  <si>
    <t>NATALY MAYLIN</t>
  </si>
  <si>
    <t>PACO</t>
  </si>
  <si>
    <t>CHIPANA</t>
  </si>
  <si>
    <t>AYLEN OLIVIA</t>
  </si>
  <si>
    <t>ALICE KAITHLYN</t>
  </si>
  <si>
    <t>RAMIREZ</t>
  </si>
  <si>
    <t>TICONA</t>
  </si>
  <si>
    <t>YAMILETH FABIANA</t>
  </si>
  <si>
    <t>4° Prim. A</t>
  </si>
  <si>
    <t>YARELY CAMILA</t>
  </si>
  <si>
    <t>CHOQUE</t>
  </si>
  <si>
    <t>1° Prim. A</t>
  </si>
  <si>
    <t>SANTOS</t>
  </si>
  <si>
    <t>SHIRLEY ALONDRA</t>
  </si>
  <si>
    <t>V° B° CAJA</t>
  </si>
  <si>
    <t>CONDUCTOR BUS N° 1</t>
  </si>
  <si>
    <t>3° Sec. A</t>
  </si>
  <si>
    <t>SARZURI</t>
  </si>
  <si>
    <t>ANAHI VALENTINA</t>
  </si>
  <si>
    <t>6° Prim. A</t>
  </si>
  <si>
    <t>CALLISAYA</t>
  </si>
  <si>
    <t>2° Sec. A</t>
  </si>
  <si>
    <t>DURAN</t>
  </si>
  <si>
    <t>MIRANDA</t>
  </si>
  <si>
    <t>NAYARA</t>
  </si>
  <si>
    <t>1° Sec. A</t>
  </si>
  <si>
    <t>6° Sec. A</t>
  </si>
  <si>
    <t>5° Sec. A</t>
  </si>
  <si>
    <t>MENDOZA</t>
  </si>
  <si>
    <t>NINA</t>
  </si>
  <si>
    <t>5° Prim. A</t>
  </si>
  <si>
    <t>PAUCARA</t>
  </si>
  <si>
    <t>SARAHI BELEN</t>
  </si>
  <si>
    <t>JOSUE GABRIEL</t>
  </si>
  <si>
    <t xml:space="preserve">HUANCA </t>
  </si>
  <si>
    <t>VENUS SHEILA</t>
  </si>
  <si>
    <t>CONDORI</t>
  </si>
  <si>
    <t>FERNANDA</t>
  </si>
  <si>
    <t>CONDUCTOR BUS N° 2</t>
  </si>
  <si>
    <t>ALARCON</t>
  </si>
  <si>
    <t>PATRICK ANTHONY</t>
  </si>
  <si>
    <t>CONDUCTOR BUS N° 3</t>
  </si>
  <si>
    <t>5º Prim. A</t>
  </si>
  <si>
    <t>COLQUE</t>
  </si>
  <si>
    <t>ARUQUIPA</t>
  </si>
  <si>
    <t>6º Prim. A</t>
  </si>
  <si>
    <t>CALAMANI</t>
  </si>
  <si>
    <t>FLORES</t>
  </si>
  <si>
    <t>SILVA</t>
  </si>
  <si>
    <t>SAAVEDRA</t>
  </si>
  <si>
    <t>YANDER EZEQUIEL</t>
  </si>
  <si>
    <t>1º Prim. B</t>
  </si>
  <si>
    <t>4º Prim. A</t>
  </si>
  <si>
    <t>CONDUCTOR BUS N° 4</t>
  </si>
  <si>
    <t>MONTSERRAT SCARLEN</t>
  </si>
  <si>
    <t>CACERES</t>
  </si>
  <si>
    <t>ANGHELINE JAZMIN</t>
  </si>
  <si>
    <t>NAHOMI NICOLE</t>
  </si>
  <si>
    <t>KIMBERLY AVRIL</t>
  </si>
  <si>
    <t>4° Sec. A</t>
  </si>
  <si>
    <t>CONTRERAS</t>
  </si>
  <si>
    <t>TROCHE</t>
  </si>
  <si>
    <t>ZUMAYA ASHELEN</t>
  </si>
  <si>
    <t>3º Prim. A</t>
  </si>
  <si>
    <t>ALISSON BELEN</t>
  </si>
  <si>
    <t>GOYTIA</t>
  </si>
  <si>
    <t>GABRIEL JOANCARLOS</t>
  </si>
  <si>
    <t>GUTIERREZ</t>
  </si>
  <si>
    <t xml:space="preserve">MAYTA </t>
  </si>
  <si>
    <t>SEBASTIAN</t>
  </si>
  <si>
    <t>QUISBERT</t>
  </si>
  <si>
    <t>SEGALES</t>
  </si>
  <si>
    <t>ALEX DIETER</t>
  </si>
  <si>
    <t>VARGAS</t>
  </si>
  <si>
    <t>CONDUCTOR BUS N° 5</t>
  </si>
  <si>
    <t xml:space="preserve">3º Prim. A </t>
  </si>
  <si>
    <t>MONTALICO</t>
  </si>
  <si>
    <t>MARINO BRANDON</t>
  </si>
  <si>
    <t>POMA</t>
  </si>
  <si>
    <t>QUELALI</t>
  </si>
  <si>
    <t>RODRIGUEZ</t>
  </si>
  <si>
    <t>TORREZ</t>
  </si>
  <si>
    <t>CONDUCTOR BUS N° 6</t>
  </si>
  <si>
    <t>IBARRA</t>
  </si>
  <si>
    <t>BRENDA</t>
  </si>
  <si>
    <t>1º Sec. A</t>
  </si>
  <si>
    <t xml:space="preserve">YUJRA </t>
  </si>
  <si>
    <t>RAMOS</t>
  </si>
  <si>
    <t>HUANCO</t>
  </si>
  <si>
    <t>CONDUCTOR BUS N° 7</t>
  </si>
  <si>
    <t>QUECAÑA</t>
  </si>
  <si>
    <t>2º Sec. A</t>
  </si>
  <si>
    <t>ROJAS</t>
  </si>
  <si>
    <t>ACARAPI</t>
  </si>
  <si>
    <t>GADIEL KARIM</t>
  </si>
  <si>
    <t>HEYDI MIREYA</t>
  </si>
  <si>
    <t>CONDUCTOR BUS N° 8</t>
  </si>
  <si>
    <t>BLANCO</t>
  </si>
  <si>
    <t>DAVID BERNAL</t>
  </si>
  <si>
    <t>GENESIS WARA</t>
  </si>
  <si>
    <t>FERNANDEZ</t>
  </si>
  <si>
    <t>PEREZ</t>
  </si>
  <si>
    <t>CONDUCTOR BUS N° 9</t>
  </si>
  <si>
    <t>CHAMBILLA</t>
  </si>
  <si>
    <t>ZOE MISHEL</t>
  </si>
  <si>
    <t>ANTHONY JUAN</t>
  </si>
  <si>
    <t>MAYDANA</t>
  </si>
  <si>
    <t>CONDUCTOR BUS N° 10</t>
  </si>
  <si>
    <t>EULATE</t>
  </si>
  <si>
    <t>GUARACHI</t>
  </si>
  <si>
    <t>YUJRA</t>
  </si>
  <si>
    <t>HUCHANI</t>
  </si>
  <si>
    <t>MOLLERICONA</t>
  </si>
  <si>
    <t>AMY SHARLOTTE</t>
  </si>
  <si>
    <t>LLUSCO</t>
  </si>
  <si>
    <t>3° Sec.  A</t>
  </si>
  <si>
    <t>RONDO</t>
  </si>
  <si>
    <t xml:space="preserve">PAHE </t>
  </si>
  <si>
    <t>MIRANDA ESTEFANY</t>
  </si>
  <si>
    <t>CONDUCTOR BUS N° 11</t>
  </si>
  <si>
    <t>LUANA YHAMILE</t>
  </si>
  <si>
    <t>AMBAR NAOMI</t>
  </si>
  <si>
    <t>TAPIA</t>
  </si>
  <si>
    <t>IKER MATEO</t>
  </si>
  <si>
    <t>BARRETO</t>
  </si>
  <si>
    <t>YOAN EDDY</t>
  </si>
  <si>
    <t xml:space="preserve">TORREZ </t>
  </si>
  <si>
    <t>VALERIA FANY</t>
  </si>
  <si>
    <t>NICOLAS MATIAS</t>
  </si>
  <si>
    <t>2° Prim. B</t>
  </si>
  <si>
    <t>LUNA</t>
  </si>
  <si>
    <t>MAQUERA</t>
  </si>
  <si>
    <t>AMILKAR CAMILO</t>
  </si>
  <si>
    <t>1º Prim. A</t>
  </si>
  <si>
    <t>EDRICK DAVID</t>
  </si>
  <si>
    <t>YAMILETH NICOLE</t>
  </si>
  <si>
    <t>CALLE</t>
  </si>
  <si>
    <t>JOSUE DIETHER</t>
  </si>
  <si>
    <t>PEDRO</t>
  </si>
  <si>
    <t>YAPU</t>
  </si>
  <si>
    <t>BABEL OCTAVIO</t>
  </si>
  <si>
    <t>YAMILA KENEDY</t>
  </si>
  <si>
    <t>CELESTE ARIADNE</t>
  </si>
  <si>
    <t>CHAVEZ</t>
  </si>
  <si>
    <t xml:space="preserve">CHOQUE </t>
  </si>
  <si>
    <t>LAZO</t>
  </si>
  <si>
    <t>BETANZOS</t>
  </si>
  <si>
    <t>ARDORES</t>
  </si>
  <si>
    <t>CAMERON GAELLE</t>
  </si>
  <si>
    <t>GOMEZ</t>
  </si>
  <si>
    <t>SANCHEZ</t>
  </si>
  <si>
    <t>NAVIA</t>
  </si>
  <si>
    <t>JOSE ANDRES</t>
  </si>
  <si>
    <t>NICOL SARAI</t>
  </si>
  <si>
    <t>4° Sec.  A</t>
  </si>
  <si>
    <t>MARIANGEL VANESA</t>
  </si>
  <si>
    <t>BRAÑEZ</t>
  </si>
  <si>
    <t>ANTHONY ERICK</t>
  </si>
  <si>
    <t>MATIAS ANDRE</t>
  </si>
  <si>
    <t>ELUNEY VALENTINA</t>
  </si>
  <si>
    <t>JOSE SANTIAGO</t>
  </si>
  <si>
    <t>ISABEL FERNANDA</t>
  </si>
  <si>
    <t>NOEMI</t>
  </si>
  <si>
    <t>MATEO</t>
  </si>
  <si>
    <t>HAROLD FABIAN</t>
  </si>
  <si>
    <t>CONDUCTOR BUS N° 13</t>
  </si>
  <si>
    <t>CONDUCTOR BUS N° 12</t>
  </si>
  <si>
    <t>CONDUCTOR BUS N° 17</t>
  </si>
  <si>
    <t>CONDUCTOR BUS N° 16</t>
  </si>
  <si>
    <t>CONDUCTOR BUS N° 15</t>
  </si>
  <si>
    <t>CONDUCTOR BUS N° 14</t>
  </si>
  <si>
    <t>3º Prim. B</t>
  </si>
  <si>
    <t xml:space="preserve">GUARACHI </t>
  </si>
  <si>
    <t>LARICO</t>
  </si>
  <si>
    <t>ACIEL EFRAIN</t>
  </si>
  <si>
    <t>EMIR EDIN</t>
  </si>
  <si>
    <t>DAZA</t>
  </si>
  <si>
    <t>JULIAN RICHARD</t>
  </si>
  <si>
    <t xml:space="preserve">LIMACHI </t>
  </si>
  <si>
    <t>JAROL</t>
  </si>
  <si>
    <t>CADENA</t>
  </si>
  <si>
    <t>JOSE FERNANDO</t>
  </si>
  <si>
    <t>CUSI</t>
  </si>
  <si>
    <t>OLIVER MATIAS</t>
  </si>
  <si>
    <t>KARINA MAYTE</t>
  </si>
  <si>
    <t>SIYE</t>
  </si>
  <si>
    <t>SANGINEZ</t>
  </si>
  <si>
    <t>JOSUE</t>
  </si>
  <si>
    <t>KINDER</t>
  </si>
  <si>
    <t>ANY KHATLEN</t>
  </si>
  <si>
    <t>ROMERO</t>
  </si>
  <si>
    <t>4° Sec.</t>
  </si>
  <si>
    <t>MARTINEZ</t>
  </si>
  <si>
    <t>CRUZ</t>
  </si>
  <si>
    <t>Kinder</t>
  </si>
  <si>
    <t>MACIEL GLORIANA</t>
  </si>
  <si>
    <t>TACACHIRA</t>
  </si>
  <si>
    <t>HERBAS</t>
  </si>
  <si>
    <t>ROSMERY BLANCA</t>
  </si>
  <si>
    <t xml:space="preserve">5° Prim. </t>
  </si>
  <si>
    <t>COAQUIRA</t>
  </si>
  <si>
    <t>MEDRANO</t>
  </si>
  <si>
    <t>NOAH ARANTZA</t>
  </si>
  <si>
    <t>ALANOCA</t>
  </si>
  <si>
    <t>SAMER</t>
  </si>
  <si>
    <t>CAYO</t>
  </si>
  <si>
    <t>ZAPATA</t>
  </si>
  <si>
    <t>LAYME</t>
  </si>
  <si>
    <t>ADRIANA NICOL</t>
  </si>
  <si>
    <t>3° Prim. B</t>
  </si>
  <si>
    <t>HUAÑAPACO</t>
  </si>
  <si>
    <t>LOZA</t>
  </si>
  <si>
    <t>DAFNE VALENTINA</t>
  </si>
  <si>
    <t xml:space="preserve">TAPIA </t>
  </si>
  <si>
    <t>SHIREL EILEN</t>
  </si>
  <si>
    <t>JIMENEZ</t>
  </si>
  <si>
    <t>ALEXIS LEONARDO0</t>
  </si>
  <si>
    <t>CATACORA</t>
  </si>
  <si>
    <t>ITAMARI</t>
  </si>
  <si>
    <t>THIAGO ANDRE</t>
  </si>
  <si>
    <t>SOTO</t>
  </si>
  <si>
    <t>NUÑEZ</t>
  </si>
  <si>
    <t>BELEN ZAIRA</t>
  </si>
  <si>
    <t>NICOLAS MATEO</t>
  </si>
  <si>
    <t>SEBASTIAN MATIAS</t>
  </si>
  <si>
    <t>ISA ARIANNE</t>
  </si>
  <si>
    <t xml:space="preserve">GIAN MEIJAN </t>
  </si>
  <si>
    <t>KASA</t>
  </si>
  <si>
    <t>MARCO FERNANDO</t>
  </si>
  <si>
    <t>BRIANA VALENTINA</t>
  </si>
  <si>
    <t>MISHEL</t>
  </si>
  <si>
    <t>URIEL</t>
  </si>
  <si>
    <t>JEZIEL ADRIAN</t>
  </si>
  <si>
    <t xml:space="preserve">SHAEL ANGELES </t>
  </si>
  <si>
    <t>DIANARA ALINE</t>
  </si>
  <si>
    <t>NICOLE ALEXANDRA</t>
  </si>
  <si>
    <t xml:space="preserve">ZAPATA </t>
  </si>
  <si>
    <t>TUCO</t>
  </si>
  <si>
    <t>5º Prim.</t>
  </si>
  <si>
    <t>CALLEJAS</t>
  </si>
  <si>
    <t>ANA BELEN</t>
  </si>
  <si>
    <t>GUZMAN</t>
  </si>
  <si>
    <t>VELASCO</t>
  </si>
  <si>
    <t>LOGAN SANTIAGO</t>
  </si>
  <si>
    <t>NEYMAR FOREST</t>
  </si>
  <si>
    <t>HECTOR ALEXANDER</t>
  </si>
  <si>
    <t>KENYA DAYANA</t>
  </si>
  <si>
    <t>CATARI</t>
  </si>
  <si>
    <t>RICARDO KAEL</t>
  </si>
  <si>
    <t>OBLITAS</t>
  </si>
  <si>
    <t>ASBEL YUREM</t>
  </si>
  <si>
    <t>PAREDES</t>
  </si>
  <si>
    <t>MURILLO</t>
  </si>
  <si>
    <t>CANDY BRIGIDA</t>
  </si>
  <si>
    <t>PERCA</t>
  </si>
  <si>
    <t>PATTY</t>
  </si>
  <si>
    <t>ELIANA GENESIS</t>
  </si>
  <si>
    <t>ESPINOZA</t>
  </si>
  <si>
    <t>PUSARICO</t>
  </si>
  <si>
    <t>ALEXANDER</t>
  </si>
  <si>
    <t>LAURA</t>
  </si>
  <si>
    <t>SEBASTIAN MARTIN</t>
  </si>
  <si>
    <t>EYMI JAZMIN</t>
  </si>
  <si>
    <t>BUENO</t>
  </si>
  <si>
    <t>DUDLEY EYAL</t>
  </si>
  <si>
    <t>COPANA</t>
  </si>
  <si>
    <t>CALDERON</t>
  </si>
  <si>
    <t>KATE ANTONELLA</t>
  </si>
  <si>
    <t>YAMPARA</t>
  </si>
  <si>
    <t xml:space="preserve">CHAMBI </t>
  </si>
  <si>
    <t>TONCONI</t>
  </si>
  <si>
    <t>EYTAN JHONATAN</t>
  </si>
  <si>
    <t>6° Prim. B</t>
  </si>
  <si>
    <t>ALEXIS</t>
  </si>
  <si>
    <t>EITAN BRANDON</t>
  </si>
  <si>
    <t>KAILY NAELITH</t>
  </si>
  <si>
    <t>NAVARRO</t>
  </si>
  <si>
    <t>MARQUEZ</t>
  </si>
  <si>
    <t>IAN MANUEL JAIME</t>
  </si>
  <si>
    <t>CHAMBI</t>
  </si>
  <si>
    <t>ABRIL ANGELES</t>
  </si>
  <si>
    <t>MUÑOS</t>
  </si>
  <si>
    <t>KEYLA</t>
  </si>
  <si>
    <t xml:space="preserve">VILLCA </t>
  </si>
  <si>
    <t>AMBAR</t>
  </si>
  <si>
    <t>JAIR JAVIER</t>
  </si>
  <si>
    <t>THAIS ARIANA</t>
  </si>
  <si>
    <t>EVAN MARTIN</t>
  </si>
  <si>
    <t>ARCE</t>
  </si>
  <si>
    <t>JOHAN JESSE</t>
  </si>
  <si>
    <t xml:space="preserve">2° Prim. A </t>
  </si>
  <si>
    <t>JAEL ADALYS</t>
  </si>
  <si>
    <t xml:space="preserve">5° Prim. A </t>
  </si>
  <si>
    <t>1° Sec.  A</t>
  </si>
  <si>
    <t>LIBERTAD</t>
  </si>
  <si>
    <t>KATRINA</t>
  </si>
  <si>
    <t xml:space="preserve">3° Prim. A </t>
  </si>
  <si>
    <t xml:space="preserve">LOPEZ </t>
  </si>
  <si>
    <t>MAYRA</t>
  </si>
  <si>
    <t>TOLEDO</t>
  </si>
  <si>
    <t>SANTIAGO LEONEL</t>
  </si>
  <si>
    <t xml:space="preserve">2° Sec. </t>
  </si>
  <si>
    <t xml:space="preserve">2° Prim. </t>
  </si>
  <si>
    <t xml:space="preserve">3° Prim. </t>
  </si>
  <si>
    <t>2° Sec.</t>
  </si>
  <si>
    <t xml:space="preserve">SANDOVAL </t>
  </si>
  <si>
    <t>GODFREY JUGHEAD</t>
  </si>
  <si>
    <t xml:space="preserve">1° Prim. </t>
  </si>
  <si>
    <t>TOCO</t>
  </si>
  <si>
    <t>JULIA MARIA</t>
  </si>
  <si>
    <t xml:space="preserve">1° Sec. </t>
  </si>
  <si>
    <t xml:space="preserve">VILLAROEL </t>
  </si>
  <si>
    <t>JHOAN</t>
  </si>
  <si>
    <t>LEONARDO</t>
  </si>
  <si>
    <t>NICOL</t>
  </si>
  <si>
    <t xml:space="preserve">FLORES </t>
  </si>
  <si>
    <t>KYLIE MICHELLE</t>
  </si>
  <si>
    <t>CHOQUEHUANCA</t>
  </si>
  <si>
    <t>FRANK ARMAND</t>
  </si>
  <si>
    <t>PRE - KINDER</t>
  </si>
  <si>
    <t>4º Prim. B</t>
  </si>
  <si>
    <t>3° SEC.</t>
  </si>
  <si>
    <t>1° SEC.</t>
  </si>
  <si>
    <t>ALCON</t>
  </si>
  <si>
    <t>ARATIA</t>
  </si>
  <si>
    <t>GONZALO HUGO</t>
  </si>
  <si>
    <t>2° SEC.</t>
  </si>
  <si>
    <t>DILAN SEBASTIAN</t>
  </si>
  <si>
    <t>EMIR LEONARDO</t>
  </si>
  <si>
    <t>4° PRIM.</t>
  </si>
  <si>
    <t>1° PRIM.</t>
  </si>
  <si>
    <t>EVELIN NAYA</t>
  </si>
  <si>
    <t>4° SEC.</t>
  </si>
  <si>
    <t>HUAYHUA</t>
  </si>
  <si>
    <t>FLOREZ</t>
  </si>
  <si>
    <t>IAN IQUER</t>
  </si>
  <si>
    <t>2° PRIM.</t>
  </si>
  <si>
    <t>GENESIS YASMIN</t>
  </si>
  <si>
    <t>3° PRIM.</t>
  </si>
  <si>
    <t>NAYELI BRITANI</t>
  </si>
  <si>
    <t>6° SEC.</t>
  </si>
  <si>
    <t>YERSABEN ALFREGO</t>
  </si>
  <si>
    <t>5° PRIM.</t>
  </si>
  <si>
    <t>DIEGO AXEL</t>
  </si>
  <si>
    <t xml:space="preserve">HINOJOSA </t>
  </si>
  <si>
    <t xml:space="preserve">COLQUE </t>
  </si>
  <si>
    <t>5° PRIM</t>
  </si>
  <si>
    <t xml:space="preserve">NATALIA BELEN </t>
  </si>
  <si>
    <t>1° SEC</t>
  </si>
  <si>
    <t xml:space="preserve">3° SEC </t>
  </si>
  <si>
    <t xml:space="preserve">5° PRIM </t>
  </si>
  <si>
    <t>2° PRIM</t>
  </si>
  <si>
    <t xml:space="preserve">MARCO ANTONIO </t>
  </si>
  <si>
    <t xml:space="preserve">HUAÑAPACO </t>
  </si>
  <si>
    <t xml:space="preserve">LUZ CAMILA </t>
  </si>
  <si>
    <t xml:space="preserve">LINARES </t>
  </si>
  <si>
    <t xml:space="preserve">MEDINA </t>
  </si>
  <si>
    <t>6° Prim</t>
  </si>
  <si>
    <t xml:space="preserve">COARITE </t>
  </si>
  <si>
    <t xml:space="preserve">BRAYAN JULIAN </t>
  </si>
  <si>
    <t>4° SEC</t>
  </si>
  <si>
    <t>OSMAR</t>
  </si>
  <si>
    <t xml:space="preserve">INICIAL </t>
  </si>
  <si>
    <t xml:space="preserve">HUANCO </t>
  </si>
  <si>
    <t xml:space="preserve">MENDOZA </t>
  </si>
  <si>
    <t xml:space="preserve">AYLIN LORENA </t>
  </si>
  <si>
    <t>6° SEC</t>
  </si>
  <si>
    <t xml:space="preserve">TELLERIA </t>
  </si>
  <si>
    <t xml:space="preserve">HUGO SAMIR </t>
  </si>
  <si>
    <t>3° SEC</t>
  </si>
  <si>
    <t xml:space="preserve">ALIAGA </t>
  </si>
  <si>
    <t>LISDEY ROMERY</t>
  </si>
  <si>
    <t xml:space="preserve">BALBOA </t>
  </si>
  <si>
    <t>3°SEC</t>
  </si>
  <si>
    <t xml:space="preserve">JOSE ANDRE </t>
  </si>
  <si>
    <t xml:space="preserve">3° PRIM </t>
  </si>
  <si>
    <t xml:space="preserve">CUEVAS </t>
  </si>
  <si>
    <t xml:space="preserve">TARQUI </t>
  </si>
  <si>
    <t>EMILY TAMY</t>
  </si>
  <si>
    <t xml:space="preserve">DURAN </t>
  </si>
  <si>
    <t xml:space="preserve">VEGA </t>
  </si>
  <si>
    <t>LORENZ FELIPE</t>
  </si>
  <si>
    <t>3° PRIM</t>
  </si>
  <si>
    <t xml:space="preserve">TORREJON </t>
  </si>
  <si>
    <t xml:space="preserve">2° SEC </t>
  </si>
  <si>
    <t xml:space="preserve">MASCO </t>
  </si>
  <si>
    <t xml:space="preserve">AGUILAR </t>
  </si>
  <si>
    <t xml:space="preserve">BRIZIA ALIZON </t>
  </si>
  <si>
    <t>5° SEC</t>
  </si>
  <si>
    <t xml:space="preserve">MOLINA </t>
  </si>
  <si>
    <t xml:space="preserve">ACARAPI </t>
  </si>
  <si>
    <t xml:space="preserve">4° SEC </t>
  </si>
  <si>
    <t xml:space="preserve">PACO </t>
  </si>
  <si>
    <t>6° PRIM</t>
  </si>
  <si>
    <t xml:space="preserve">DAGNER NICOLAS </t>
  </si>
  <si>
    <t xml:space="preserve">QUISPE </t>
  </si>
  <si>
    <t xml:space="preserve">MAYRA ADRIANA </t>
  </si>
  <si>
    <t xml:space="preserve">BLANCO </t>
  </si>
  <si>
    <t xml:space="preserve">BORJA </t>
  </si>
  <si>
    <t xml:space="preserve">MALDONADO </t>
  </si>
  <si>
    <t xml:space="preserve">SANTIAGO </t>
  </si>
  <si>
    <t xml:space="preserve">CALLISAYA </t>
  </si>
  <si>
    <t xml:space="preserve">ADALIZ </t>
  </si>
  <si>
    <t xml:space="preserve">RODRIGUEZ </t>
  </si>
  <si>
    <t>DILAN MAGAIL</t>
  </si>
  <si>
    <t>2° SEC</t>
  </si>
  <si>
    <t xml:space="preserve">YANAPA </t>
  </si>
  <si>
    <t xml:space="preserve">MARILUZ </t>
  </si>
  <si>
    <t xml:space="preserve">HERBAS </t>
  </si>
  <si>
    <t xml:space="preserve">JIMENEZ </t>
  </si>
  <si>
    <t xml:space="preserve">FABRICIO </t>
  </si>
  <si>
    <t xml:space="preserve">LLUTA </t>
  </si>
  <si>
    <t xml:space="preserve">KEVIN ALEXANDER </t>
  </si>
  <si>
    <t>1°SEC</t>
  </si>
  <si>
    <t xml:space="preserve">CAMILA </t>
  </si>
  <si>
    <t xml:space="preserve">PREKINDER </t>
  </si>
  <si>
    <t xml:space="preserve">NINA </t>
  </si>
  <si>
    <t>YAHUANCHA</t>
  </si>
  <si>
    <t xml:space="preserve">EYDAN </t>
  </si>
  <si>
    <t xml:space="preserve">PEREZ </t>
  </si>
  <si>
    <t xml:space="preserve">JIMENES </t>
  </si>
  <si>
    <t>KRISTEN</t>
  </si>
  <si>
    <t xml:space="preserve">CARLOS </t>
  </si>
  <si>
    <t xml:space="preserve">RIVAS </t>
  </si>
  <si>
    <t xml:space="preserve">KINDER </t>
  </si>
  <si>
    <t xml:space="preserve">BAUTISTA </t>
  </si>
  <si>
    <t>AJATA</t>
  </si>
  <si>
    <t>SURCO</t>
  </si>
  <si>
    <t>GERALDINA</t>
  </si>
  <si>
    <t>INICIAL</t>
  </si>
  <si>
    <t>HELEN JAZMIN</t>
  </si>
  <si>
    <t>ADRIANA</t>
  </si>
  <si>
    <t>LLOJLLA</t>
  </si>
  <si>
    <t>ROMINA R SUSAN</t>
  </si>
  <si>
    <t>GONZALEZ</t>
  </si>
  <si>
    <t>CUSSI</t>
  </si>
  <si>
    <t>BRIANA ARLETH</t>
  </si>
  <si>
    <t>MATIAS</t>
  </si>
  <si>
    <t>LOPEZ</t>
  </si>
  <si>
    <t>ASBEL</t>
  </si>
  <si>
    <t>VALERIA ARLETH</t>
  </si>
  <si>
    <t>SELENE A.</t>
  </si>
  <si>
    <t xml:space="preserve">2º Prim. A </t>
  </si>
  <si>
    <t xml:space="preserve">HUALLPA </t>
  </si>
  <si>
    <t>LIPE</t>
  </si>
  <si>
    <t xml:space="preserve">ELIAS DANIEL </t>
  </si>
  <si>
    <t>MERCADO</t>
  </si>
  <si>
    <t xml:space="preserve">DANIA </t>
  </si>
  <si>
    <t xml:space="preserve">MERCADO </t>
  </si>
  <si>
    <t>INEZ</t>
  </si>
  <si>
    <t>SAMIR</t>
  </si>
  <si>
    <t>VALENCIA</t>
  </si>
  <si>
    <t>CARI</t>
  </si>
  <si>
    <t xml:space="preserve">ARELY  LUCIA </t>
  </si>
  <si>
    <t xml:space="preserve">VALENCIA </t>
  </si>
  <si>
    <t>ABIGAIL</t>
  </si>
  <si>
    <t xml:space="preserve">VEIZAGA </t>
  </si>
  <si>
    <t xml:space="preserve">VERA </t>
  </si>
  <si>
    <t xml:space="preserve">ZOE FERNANDA </t>
  </si>
  <si>
    <t>6º Prim. B</t>
  </si>
  <si>
    <t>CASTAÑO</t>
  </si>
  <si>
    <t xml:space="preserve">JUSTO </t>
  </si>
  <si>
    <t xml:space="preserve">CESAR </t>
  </si>
  <si>
    <t>1° Sec. B</t>
  </si>
  <si>
    <t>CESIA ESTEPHANI</t>
  </si>
  <si>
    <t xml:space="preserve">QUENALLATA </t>
  </si>
  <si>
    <t>NEYMAR</t>
  </si>
  <si>
    <t xml:space="preserve">CHURA </t>
  </si>
  <si>
    <t>JHESICA</t>
  </si>
  <si>
    <t>CAPIA</t>
  </si>
  <si>
    <t>HUAMPO</t>
  </si>
  <si>
    <t xml:space="preserve">MICHME </t>
  </si>
  <si>
    <t>SEBASTIAN RAPHAEL</t>
  </si>
  <si>
    <t xml:space="preserve">MARCA </t>
  </si>
  <si>
    <t xml:space="preserve">KATHERIN  </t>
  </si>
  <si>
    <t>JIEMENEZ</t>
  </si>
  <si>
    <t xml:space="preserve">SEBASTIAN NICOLAS </t>
  </si>
  <si>
    <t xml:space="preserve">CALLATA </t>
  </si>
  <si>
    <t xml:space="preserve">SEBASTIAN </t>
  </si>
  <si>
    <t>SUMI</t>
  </si>
  <si>
    <t>MIGUEL EDUARDO</t>
  </si>
  <si>
    <t xml:space="preserve">GARCIA </t>
  </si>
  <si>
    <t xml:space="preserve">URIEL  </t>
  </si>
  <si>
    <t xml:space="preserve">GAEL </t>
  </si>
  <si>
    <t xml:space="preserve">FELIX SANTIAGO </t>
  </si>
  <si>
    <t xml:space="preserve">OCHOA </t>
  </si>
  <si>
    <t xml:space="preserve">ALEJANDRA SHANEL </t>
  </si>
  <si>
    <t>MATTIAS</t>
  </si>
  <si>
    <t xml:space="preserve">ARELY </t>
  </si>
  <si>
    <t>MURGIA</t>
  </si>
  <si>
    <t>ANDREA</t>
  </si>
  <si>
    <t>EDDY</t>
  </si>
  <si>
    <t>DILAN</t>
  </si>
  <si>
    <t>4º Prim.</t>
  </si>
  <si>
    <t>VAYOLET</t>
  </si>
  <si>
    <t>DAMIAN</t>
  </si>
  <si>
    <t>2º Prim.</t>
  </si>
  <si>
    <t>DANIELA</t>
  </si>
  <si>
    <t>PLATA</t>
  </si>
  <si>
    <t>RUBI FIORELA</t>
  </si>
  <si>
    <t>KEYLA MADDY</t>
  </si>
  <si>
    <t>CARBAJAL</t>
  </si>
  <si>
    <t>ITHAM</t>
  </si>
  <si>
    <t>GONZALES</t>
  </si>
  <si>
    <t>MIRCKO DANIEL</t>
  </si>
  <si>
    <t>URIARTE</t>
  </si>
  <si>
    <t>EDUARDO</t>
  </si>
  <si>
    <t>JOSUE ARON</t>
  </si>
  <si>
    <t>DAYRA LORENA</t>
  </si>
  <si>
    <t>MAYRA LORENA</t>
  </si>
  <si>
    <t>COCHI</t>
  </si>
  <si>
    <t>ALEX JULIAN</t>
  </si>
  <si>
    <t>PANTOJA</t>
  </si>
  <si>
    <t>SHALEM JHERUSALAY</t>
  </si>
  <si>
    <t>PASI</t>
  </si>
  <si>
    <t>ACHO</t>
  </si>
  <si>
    <t>ITZEL DAYANNA</t>
  </si>
  <si>
    <t>SUNTURA</t>
  </si>
  <si>
    <t>CANAVIRI</t>
  </si>
  <si>
    <t>CAMILA J.</t>
  </si>
  <si>
    <t>NICOL W</t>
  </si>
  <si>
    <t>SAYUMI</t>
  </si>
  <si>
    <t>AISHA KAMILA</t>
  </si>
  <si>
    <t>SIRPATICO</t>
  </si>
  <si>
    <t>JHOSUE JHON RICARDO</t>
  </si>
  <si>
    <t>ABIGAIL SHEYLA</t>
  </si>
  <si>
    <t>LIZ SHANTAL</t>
  </si>
  <si>
    <t>VILLAZANTE</t>
  </si>
  <si>
    <t>AMIRA</t>
  </si>
  <si>
    <t>ESTEPHANI</t>
  </si>
  <si>
    <t xml:space="preserve">CARTAGENA </t>
  </si>
  <si>
    <t>WILSON GABRIEL</t>
  </si>
  <si>
    <t>JADE LIZ</t>
  </si>
  <si>
    <t>LIA YEN</t>
  </si>
  <si>
    <t>AARON</t>
  </si>
  <si>
    <t>4° Prim. B</t>
  </si>
  <si>
    <t>MACHICADO</t>
  </si>
  <si>
    <t>VILLANUEVA</t>
  </si>
  <si>
    <t>ORIETA</t>
  </si>
  <si>
    <t>IGNACIO</t>
  </si>
  <si>
    <t>YAHAIRA</t>
  </si>
  <si>
    <t>SHAREL CAMILA</t>
  </si>
  <si>
    <t xml:space="preserve">DELGADO </t>
  </si>
  <si>
    <t>ANAHI NOELIA</t>
  </si>
  <si>
    <t>EVELYN LUZ</t>
  </si>
  <si>
    <t>JOANY KEYRA</t>
  </si>
  <si>
    <t>CONDUCTOR BUS N° 18</t>
  </si>
  <si>
    <t>NIKOL KRISTEN</t>
  </si>
  <si>
    <t>GUIANA ESTRELLA</t>
  </si>
  <si>
    <t xml:space="preserve">DIEGO URIEL </t>
  </si>
  <si>
    <t>ABAD DYLAN</t>
  </si>
  <si>
    <t xml:space="preserve">WILDER </t>
  </si>
  <si>
    <t>RACHEL SANTANA</t>
  </si>
  <si>
    <t>HUAYGUA</t>
  </si>
  <si>
    <t>GREIS</t>
  </si>
  <si>
    <t>CAHUANA</t>
  </si>
  <si>
    <t>JAIVER EDUARDO</t>
  </si>
  <si>
    <t>DAN MISAEL</t>
  </si>
  <si>
    <t>VICTOR NADIEL</t>
  </si>
  <si>
    <t>JUAN JOSE</t>
  </si>
  <si>
    <t>2° Prim B</t>
  </si>
  <si>
    <t>6° Prim B</t>
  </si>
  <si>
    <t>3° Prim B</t>
  </si>
  <si>
    <t>3°Prim A</t>
  </si>
  <si>
    <t>Pre-kinder</t>
  </si>
  <si>
    <t>BRILSE ASIEL</t>
  </si>
  <si>
    <t>WILMER OLIVER</t>
  </si>
  <si>
    <t>MARZO</t>
  </si>
  <si>
    <t>JULIANA CLARIBEL</t>
  </si>
  <si>
    <t>EMIR MATEO</t>
  </si>
  <si>
    <t>HANDE ARIANE</t>
  </si>
  <si>
    <t>USNAYO</t>
  </si>
  <si>
    <t>ARANO</t>
  </si>
  <si>
    <t>VILLCA</t>
  </si>
  <si>
    <t>TARQUI</t>
  </si>
  <si>
    <t>ISAIAS</t>
  </si>
  <si>
    <t>6° Prim.</t>
  </si>
  <si>
    <t xml:space="preserve">PASI </t>
  </si>
  <si>
    <t>GREYS KATHERYN</t>
  </si>
  <si>
    <t>MURGUIA</t>
  </si>
  <si>
    <t>DELGADO</t>
  </si>
  <si>
    <t>DIEGO FABRICIO</t>
  </si>
  <si>
    <t>1° Prim.</t>
  </si>
  <si>
    <t>Sr. Juan Carlos Callisaya Nina</t>
  </si>
  <si>
    <t>CONDUCTOR BUS N° 19</t>
  </si>
  <si>
    <t>CONDUCTOR BUS N° 20</t>
  </si>
  <si>
    <t>MERLO</t>
  </si>
  <si>
    <t>DARLIN</t>
  </si>
  <si>
    <t xml:space="preserve">CALLE </t>
  </si>
  <si>
    <t>SOL MADELEY</t>
  </si>
  <si>
    <t>WARA JASMIN</t>
  </si>
  <si>
    <t>HINOJOSA</t>
  </si>
  <si>
    <t>ELENA VICTORIA</t>
  </si>
  <si>
    <t>SAMANTHA ESMERALDA</t>
  </si>
  <si>
    <t>LAIME</t>
  </si>
  <si>
    <t>NICOLAS</t>
  </si>
  <si>
    <t>MEYVIS</t>
  </si>
  <si>
    <t>MAGNE</t>
  </si>
  <si>
    <t xml:space="preserve">TORRICO </t>
  </si>
  <si>
    <t>CELESTE MELISANDRE</t>
  </si>
  <si>
    <t xml:space="preserve">MIRANDA </t>
  </si>
  <si>
    <t>MASSIEL</t>
  </si>
  <si>
    <t>TOLA</t>
  </si>
  <si>
    <t>LIAM ERIKSEN</t>
  </si>
  <si>
    <t xml:space="preserve">MOLLE </t>
  </si>
  <si>
    <t>MILAYA</t>
  </si>
  <si>
    <t>LUCAS CRISTOPMER</t>
  </si>
  <si>
    <t xml:space="preserve">SIRPA </t>
  </si>
  <si>
    <t>MAYA BELEN</t>
  </si>
  <si>
    <t>MATIAS NICOLAS</t>
  </si>
  <si>
    <t>1° Sec.</t>
  </si>
  <si>
    <t>5° Sec.</t>
  </si>
  <si>
    <t>6° Sec.</t>
  </si>
  <si>
    <t>4° Prim.</t>
  </si>
  <si>
    <t>1° Sección</t>
  </si>
  <si>
    <t>2° Prim.</t>
  </si>
  <si>
    <t>2° Sección</t>
  </si>
  <si>
    <t>5° Prim.</t>
  </si>
  <si>
    <t>Raul Antonio Calle Huari</t>
  </si>
  <si>
    <t>CASANA</t>
  </si>
  <si>
    <t>JACIEL GABRIEL</t>
  </si>
  <si>
    <t>PABLO FERNANDO</t>
  </si>
  <si>
    <t xml:space="preserve">FARFAN </t>
  </si>
  <si>
    <t>BACA</t>
  </si>
  <si>
    <t>MICAELA LUCIANA</t>
  </si>
  <si>
    <t>MIA RAFAELA</t>
  </si>
  <si>
    <t>MADISON AMARA</t>
  </si>
  <si>
    <t xml:space="preserve">LUCIANA </t>
  </si>
  <si>
    <t>ADEMAR HECTOR</t>
  </si>
  <si>
    <t>DAMIEL GABRIEL</t>
  </si>
  <si>
    <t>ORTIZ</t>
  </si>
  <si>
    <t>CHARCA</t>
  </si>
  <si>
    <t>OMAR CALEB</t>
  </si>
  <si>
    <t>NELGUARDO</t>
  </si>
  <si>
    <t>ROMAN S</t>
  </si>
  <si>
    <t>CASTILLO</t>
  </si>
  <si>
    <t>MARIA RENEE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</si>
</sst>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.5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5" fillId="0" borderId="3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RME%20BUS%20ESCOLA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 PAGOS 2026"/>
      <sheetName val="RESUMEN 2026"/>
      <sheetName val="SUELDOS CHOFERES"/>
      <sheetName val="DATOS"/>
      <sheetName val="CANASTOS"/>
      <sheetName val="RESUMEN p DIR. GRAL."/>
      <sheetName val="Hoja 1"/>
      <sheetName val="RESUMEN p DIR. GRAL. (4)"/>
    </sheetNames>
    <sheetDataSet>
      <sheetData sheetId="0"/>
      <sheetData sheetId="1"/>
      <sheetData sheetId="2"/>
      <sheetData sheetId="3">
        <row r="9">
          <cell r="B9">
            <v>1</v>
          </cell>
          <cell r="C9" t="str">
            <v>Sr. Wilfredo Perez Ochoa</v>
          </cell>
          <cell r="D9" t="str">
            <v>7076217 LP.</v>
          </cell>
          <cell r="E9">
            <v>76508175</v>
          </cell>
          <cell r="F9">
            <v>2</v>
          </cell>
          <cell r="G9" t="str">
            <v>FEBRERO</v>
          </cell>
        </row>
        <row r="10">
          <cell r="B10">
            <v>2</v>
          </cell>
          <cell r="C10" t="str">
            <v>Sr. Nelson Hidalgo Quispe</v>
          </cell>
          <cell r="D10" t="str">
            <v>5478042 LP.</v>
          </cell>
          <cell r="E10">
            <v>79659109</v>
          </cell>
          <cell r="F10">
            <v>2</v>
          </cell>
          <cell r="G10" t="str">
            <v>FEBRERO</v>
          </cell>
        </row>
        <row r="11">
          <cell r="B11">
            <v>3</v>
          </cell>
          <cell r="C11" t="str">
            <v>Sr. Edving Perez Ochoa</v>
          </cell>
          <cell r="D11" t="str">
            <v>6030823 LP.</v>
          </cell>
          <cell r="E11">
            <v>67325159</v>
          </cell>
          <cell r="F11">
            <v>2</v>
          </cell>
          <cell r="G11" t="str">
            <v>FEBRERO</v>
          </cell>
        </row>
        <row r="12">
          <cell r="B12">
            <v>4</v>
          </cell>
          <cell r="C12" t="str">
            <v xml:space="preserve">Sr. Juan Carlos Callisaya </v>
          </cell>
          <cell r="D12" t="str">
            <v>6053589 LP.</v>
          </cell>
          <cell r="E12">
            <v>69870177</v>
          </cell>
          <cell r="F12">
            <v>2</v>
          </cell>
          <cell r="G12" t="str">
            <v>FEBRERO</v>
          </cell>
        </row>
        <row r="13">
          <cell r="B13">
            <v>5</v>
          </cell>
          <cell r="C13" t="str">
            <v>Sr. Jose Luis Gamboa Mendoza</v>
          </cell>
          <cell r="D13" t="str">
            <v>8358178 LP.</v>
          </cell>
          <cell r="E13">
            <v>73232725</v>
          </cell>
          <cell r="F13">
            <v>2</v>
          </cell>
          <cell r="G13" t="str">
            <v>FEBRERO</v>
          </cell>
        </row>
        <row r="14">
          <cell r="B14">
            <v>6</v>
          </cell>
          <cell r="C14" t="str">
            <v>Sr. Feliciano Mamani Poma</v>
          </cell>
          <cell r="D14" t="str">
            <v>4907980 LP.</v>
          </cell>
          <cell r="E14">
            <v>68141350</v>
          </cell>
          <cell r="F14">
            <v>2</v>
          </cell>
          <cell r="G14" t="str">
            <v>FEBRERO</v>
          </cell>
        </row>
        <row r="15">
          <cell r="B15">
            <v>7</v>
          </cell>
          <cell r="C15" t="str">
            <v>Sr. Juan Carlos Chamaca Nina</v>
          </cell>
          <cell r="D15" t="str">
            <v>9962787 LP.</v>
          </cell>
          <cell r="E15">
            <v>63041394</v>
          </cell>
          <cell r="F15">
            <v>2</v>
          </cell>
          <cell r="G15" t="str">
            <v>FEBRERO</v>
          </cell>
        </row>
        <row r="16">
          <cell r="B16">
            <v>8</v>
          </cell>
          <cell r="C16" t="str">
            <v>Sr. Joaquin Beto Silva Poma</v>
          </cell>
          <cell r="D16" t="str">
            <v>9246611LP.</v>
          </cell>
          <cell r="E16">
            <v>61220655</v>
          </cell>
          <cell r="F16">
            <v>2</v>
          </cell>
          <cell r="G16" t="str">
            <v>FEBRERO</v>
          </cell>
        </row>
        <row r="17">
          <cell r="B17">
            <v>9</v>
          </cell>
          <cell r="C17" t="str">
            <v>Sr. Cesar Sebastian Alcon Choque</v>
          </cell>
          <cell r="D17" t="str">
            <v>13790711 LP.</v>
          </cell>
          <cell r="E17">
            <v>67319568</v>
          </cell>
          <cell r="F17">
            <v>2</v>
          </cell>
          <cell r="G17" t="str">
            <v>FEBRERO</v>
          </cell>
        </row>
        <row r="18">
          <cell r="B18">
            <v>10</v>
          </cell>
          <cell r="C18" t="str">
            <v>Sr. Esteban Callisaya Tola</v>
          </cell>
          <cell r="D18" t="str">
            <v>4991303 LP.</v>
          </cell>
          <cell r="E18">
            <v>74034851</v>
          </cell>
          <cell r="F18">
            <v>2</v>
          </cell>
          <cell r="G18" t="str">
            <v>FEBRERO</v>
          </cell>
        </row>
        <row r="19">
          <cell r="B19">
            <v>11</v>
          </cell>
          <cell r="C19" t="str">
            <v>Sr. Efrain Pajsi Villca</v>
          </cell>
          <cell r="D19" t="str">
            <v>7080004 LP.</v>
          </cell>
          <cell r="E19">
            <v>68096187</v>
          </cell>
          <cell r="F19">
            <v>2</v>
          </cell>
          <cell r="G19" t="str">
            <v>FEBRERO</v>
          </cell>
        </row>
        <row r="20">
          <cell r="B20">
            <v>12</v>
          </cell>
          <cell r="C20" t="str">
            <v>Sr. Jose Luis Lecoña Poma</v>
          </cell>
          <cell r="D20" t="str">
            <v>7008794 LP.</v>
          </cell>
          <cell r="E20">
            <v>74919139</v>
          </cell>
          <cell r="F20">
            <v>2</v>
          </cell>
          <cell r="G20" t="str">
            <v>FEBRERO</v>
          </cell>
        </row>
        <row r="21">
          <cell r="B21">
            <v>13</v>
          </cell>
          <cell r="C21" t="str">
            <v>Sr. German Saravia Balboa</v>
          </cell>
          <cell r="D21" t="str">
            <v>2295995 LP.</v>
          </cell>
          <cell r="E21">
            <v>70148171</v>
          </cell>
          <cell r="F21">
            <v>2</v>
          </cell>
          <cell r="G21" t="str">
            <v>FEBRERO</v>
          </cell>
        </row>
        <row r="22">
          <cell r="B22">
            <v>14</v>
          </cell>
          <cell r="C22" t="str">
            <v>Sr. Gonzalo Sonco Apaza</v>
          </cell>
          <cell r="D22" t="str">
            <v>9222522 LP.</v>
          </cell>
          <cell r="E22">
            <v>75202126</v>
          </cell>
          <cell r="F22">
            <v>2</v>
          </cell>
          <cell r="G22" t="str">
            <v>FEBRERO</v>
          </cell>
        </row>
        <row r="23">
          <cell r="B23">
            <v>15</v>
          </cell>
          <cell r="C23" t="str">
            <v>Sr. Norberto Javier Rojas Quispe</v>
          </cell>
          <cell r="D23" t="str">
            <v>4368204 L.P.</v>
          </cell>
          <cell r="E23">
            <v>75873096</v>
          </cell>
          <cell r="F23">
            <v>2</v>
          </cell>
          <cell r="G23" t="str">
            <v>FEBRERO</v>
          </cell>
        </row>
        <row r="24">
          <cell r="B24">
            <v>16</v>
          </cell>
          <cell r="C24" t="str">
            <v>Sr. Bruno Remberto Licon Monrroy</v>
          </cell>
          <cell r="D24" t="str">
            <v>8345180 L.P.</v>
          </cell>
          <cell r="E24">
            <v>78946670</v>
          </cell>
          <cell r="F24">
            <v>2</v>
          </cell>
          <cell r="G24" t="str">
            <v>FEBRERO</v>
          </cell>
        </row>
        <row r="25">
          <cell r="B25">
            <v>17</v>
          </cell>
          <cell r="C25" t="str">
            <v>Sr. Daniel Villca Ticona</v>
          </cell>
          <cell r="D25" t="str">
            <v>4992844 L.P.</v>
          </cell>
          <cell r="E25">
            <v>73593769</v>
          </cell>
          <cell r="F25">
            <v>2</v>
          </cell>
          <cell r="G25" t="str">
            <v>FEBRERO</v>
          </cell>
        </row>
        <row r="26">
          <cell r="B26">
            <v>18</v>
          </cell>
          <cell r="C26" t="str">
            <v>Sr. Miguel Angel Hidalgo Quispe</v>
          </cell>
          <cell r="D26" t="str">
            <v>8358178 L.P.</v>
          </cell>
          <cell r="E26">
            <v>60575037</v>
          </cell>
          <cell r="F26">
            <v>2</v>
          </cell>
          <cell r="G26" t="str">
            <v>MARZO</v>
          </cell>
        </row>
        <row r="27">
          <cell r="B27">
            <v>19</v>
          </cell>
          <cell r="C27"/>
          <cell r="D27"/>
          <cell r="E27"/>
          <cell r="F27"/>
          <cell r="G27"/>
        </row>
        <row r="28">
          <cell r="B28">
            <v>20</v>
          </cell>
          <cell r="C28"/>
          <cell r="D28"/>
          <cell r="E28"/>
          <cell r="F28"/>
          <cell r="G28"/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02"/>
  <sheetViews>
    <sheetView showGridLines="0" tabSelected="1" view="pageLayout" topLeftCell="A615" zoomScaleNormal="85" workbookViewId="0">
      <selection activeCell="D687" sqref="D687"/>
    </sheetView>
  </sheetViews>
  <sheetFormatPr baseColWidth="10" defaultColWidth="11.44140625" defaultRowHeight="14.4" x14ac:dyDescent="0.3"/>
  <cols>
    <col min="1" max="1" width="2.6640625" style="2" customWidth="1"/>
    <col min="2" max="2" width="15.5546875" style="2" customWidth="1"/>
    <col min="3" max="3" width="15.109375" style="2" customWidth="1"/>
    <col min="4" max="4" width="22.5546875" style="2" customWidth="1"/>
    <col min="5" max="5" width="12.44140625" style="2" customWidth="1"/>
    <col min="6" max="55" width="2" style="2" customWidth="1"/>
    <col min="56" max="16384" width="11.44140625" style="2"/>
  </cols>
  <sheetData>
    <row r="1" spans="1:55" ht="29.25" customHeight="1" x14ac:dyDescent="0.3">
      <c r="A1" s="56" t="s">
        <v>0</v>
      </c>
      <c r="B1" s="57"/>
      <c r="C1" s="57"/>
      <c r="D1" s="57"/>
      <c r="E1" s="1">
        <v>1</v>
      </c>
      <c r="F1" s="58" t="s">
        <v>1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</row>
    <row r="2" spans="1:55" ht="15" customHeight="1" x14ac:dyDescent="0.3">
      <c r="A2" s="65" t="s">
        <v>2</v>
      </c>
      <c r="B2" s="66"/>
      <c r="C2" s="3">
        <f>VLOOKUP(BUS_01,[1]DATOS!$B$9:$G$28,5)</f>
        <v>2</v>
      </c>
      <c r="D2" s="59" t="str">
        <f>VLOOKUP(BUS_01,[1]DATOS!$B$9:$G$28,6)</f>
        <v>FEBRERO</v>
      </c>
      <c r="E2" s="59"/>
      <c r="F2" s="60" t="s">
        <v>600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</row>
    <row r="3" spans="1:55" ht="15" customHeight="1" x14ac:dyDescent="0.3">
      <c r="A3" s="61" t="s">
        <v>3</v>
      </c>
      <c r="B3" s="59"/>
      <c r="C3" s="59" t="str">
        <f>VLOOKUP(BUS_01,[1]DATOS!$B$9:$G$28,2)</f>
        <v>Sr. Wilfredo Perez Ochoa</v>
      </c>
      <c r="D3" s="59"/>
      <c r="E3" s="4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</row>
    <row r="4" spans="1:55" x14ac:dyDescent="0.3">
      <c r="A4" s="61" t="s">
        <v>4</v>
      </c>
      <c r="B4" s="59"/>
      <c r="C4" s="59">
        <f>VLOOKUP(BUS_01,[1]DATOS!$B$9:$G$28,4)</f>
        <v>76508175</v>
      </c>
      <c r="D4" s="59"/>
      <c r="E4" s="4"/>
      <c r="F4" s="64" t="s">
        <v>5</v>
      </c>
      <c r="G4" s="64"/>
      <c r="H4" s="64" t="s">
        <v>6</v>
      </c>
      <c r="I4" s="64"/>
      <c r="J4" s="64" t="s">
        <v>6</v>
      </c>
      <c r="K4" s="64"/>
      <c r="L4" s="64" t="s">
        <v>7</v>
      </c>
      <c r="M4" s="64"/>
      <c r="N4" s="64" t="s">
        <v>8</v>
      </c>
      <c r="O4" s="64"/>
      <c r="P4" s="64" t="s">
        <v>5</v>
      </c>
      <c r="Q4" s="64"/>
      <c r="R4" s="64" t="s">
        <v>6</v>
      </c>
      <c r="S4" s="64"/>
      <c r="T4" s="64" t="s">
        <v>6</v>
      </c>
      <c r="U4" s="64"/>
      <c r="V4" s="64" t="s">
        <v>7</v>
      </c>
      <c r="W4" s="64"/>
      <c r="X4" s="64" t="s">
        <v>8</v>
      </c>
      <c r="Y4" s="64"/>
      <c r="Z4" s="64" t="s">
        <v>5</v>
      </c>
      <c r="AA4" s="64"/>
      <c r="AB4" s="64" t="s">
        <v>6</v>
      </c>
      <c r="AC4" s="64"/>
      <c r="AD4" s="64" t="s">
        <v>6</v>
      </c>
      <c r="AE4" s="64"/>
      <c r="AF4" s="64" t="s">
        <v>7</v>
      </c>
      <c r="AG4" s="64"/>
      <c r="AH4" s="64" t="s">
        <v>8</v>
      </c>
      <c r="AI4" s="64"/>
      <c r="AJ4" s="64" t="s">
        <v>5</v>
      </c>
      <c r="AK4" s="64"/>
      <c r="AL4" s="64" t="s">
        <v>6</v>
      </c>
      <c r="AM4" s="64"/>
      <c r="AN4" s="64" t="s">
        <v>6</v>
      </c>
      <c r="AO4" s="64"/>
      <c r="AP4" s="64" t="s">
        <v>7</v>
      </c>
      <c r="AQ4" s="64"/>
      <c r="AR4" s="64" t="s">
        <v>8</v>
      </c>
      <c r="AS4" s="64"/>
      <c r="AT4" s="64" t="s">
        <v>5</v>
      </c>
      <c r="AU4" s="64"/>
      <c r="AV4" s="64" t="s">
        <v>6</v>
      </c>
      <c r="AW4" s="64"/>
      <c r="AX4" s="64" t="s">
        <v>6</v>
      </c>
      <c r="AY4" s="64"/>
      <c r="AZ4" s="64" t="s">
        <v>7</v>
      </c>
      <c r="BA4" s="64"/>
      <c r="BB4" s="64" t="s">
        <v>8</v>
      </c>
      <c r="BC4" s="64"/>
    </row>
    <row r="5" spans="1:55" x14ac:dyDescent="0.3">
      <c r="A5" s="62" t="s">
        <v>9</v>
      </c>
      <c r="B5" s="62" t="s">
        <v>10</v>
      </c>
      <c r="C5" s="62" t="s">
        <v>11</v>
      </c>
      <c r="D5" s="62" t="s">
        <v>12</v>
      </c>
      <c r="E5" s="62" t="s">
        <v>13</v>
      </c>
      <c r="F5" s="73">
        <v>2</v>
      </c>
      <c r="G5" s="74"/>
      <c r="H5" s="73">
        <v>3</v>
      </c>
      <c r="I5" s="74"/>
      <c r="J5" s="73">
        <v>4</v>
      </c>
      <c r="K5" s="74"/>
      <c r="L5" s="73">
        <v>5</v>
      </c>
      <c r="M5" s="74"/>
      <c r="N5" s="73">
        <f>L5+1</f>
        <v>6</v>
      </c>
      <c r="O5" s="74"/>
      <c r="P5" s="64">
        <f>N5+3</f>
        <v>9</v>
      </c>
      <c r="Q5" s="64"/>
      <c r="R5" s="64">
        <f>P5+1</f>
        <v>10</v>
      </c>
      <c r="S5" s="64"/>
      <c r="T5" s="64">
        <f t="shared" ref="T5" si="0">R5+1</f>
        <v>11</v>
      </c>
      <c r="U5" s="64"/>
      <c r="V5" s="64">
        <f t="shared" ref="V5" si="1">T5+1</f>
        <v>12</v>
      </c>
      <c r="W5" s="64"/>
      <c r="X5" s="64">
        <f t="shared" ref="X5" si="2">V5+1</f>
        <v>13</v>
      </c>
      <c r="Y5" s="64"/>
      <c r="Z5" s="64">
        <f>X5+3</f>
        <v>16</v>
      </c>
      <c r="AA5" s="64"/>
      <c r="AB5" s="64">
        <f>Z5+1</f>
        <v>17</v>
      </c>
      <c r="AC5" s="64"/>
      <c r="AD5" s="64">
        <f t="shared" ref="AD5" si="3">AB5+1</f>
        <v>18</v>
      </c>
      <c r="AE5" s="64"/>
      <c r="AF5" s="64">
        <f t="shared" ref="AF5" si="4">AD5+1</f>
        <v>19</v>
      </c>
      <c r="AG5" s="64"/>
      <c r="AH5" s="64">
        <f t="shared" ref="AH5" si="5">AF5+1</f>
        <v>20</v>
      </c>
      <c r="AI5" s="64"/>
      <c r="AJ5" s="64">
        <f>AH5+3</f>
        <v>23</v>
      </c>
      <c r="AK5" s="64"/>
      <c r="AL5" s="64">
        <f>AJ5+1</f>
        <v>24</v>
      </c>
      <c r="AM5" s="64"/>
      <c r="AN5" s="64">
        <f t="shared" ref="AN5" si="6">AL5+1</f>
        <v>25</v>
      </c>
      <c r="AO5" s="64"/>
      <c r="AP5" s="64">
        <f t="shared" ref="AP5" si="7">AN5+1</f>
        <v>26</v>
      </c>
      <c r="AQ5" s="64"/>
      <c r="AR5" s="64">
        <f t="shared" ref="AR5" si="8">AP5+1</f>
        <v>27</v>
      </c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</row>
    <row r="6" spans="1:55" x14ac:dyDescent="0.3">
      <c r="A6" s="62"/>
      <c r="B6" s="62"/>
      <c r="C6" s="62"/>
      <c r="D6" s="62"/>
      <c r="E6" s="62"/>
      <c r="F6" s="5" t="s">
        <v>14</v>
      </c>
      <c r="G6" s="5" t="s">
        <v>15</v>
      </c>
      <c r="H6" s="5" t="s">
        <v>14</v>
      </c>
      <c r="I6" s="5" t="s">
        <v>15</v>
      </c>
      <c r="J6" s="5" t="s">
        <v>14</v>
      </c>
      <c r="K6" s="5" t="s">
        <v>15</v>
      </c>
      <c r="L6" s="5" t="s">
        <v>14</v>
      </c>
      <c r="M6" s="5" t="s">
        <v>15</v>
      </c>
      <c r="N6" s="5" t="s">
        <v>14</v>
      </c>
      <c r="O6" s="5" t="s">
        <v>15</v>
      </c>
      <c r="P6" s="5" t="s">
        <v>14</v>
      </c>
      <c r="Q6" s="5" t="s">
        <v>15</v>
      </c>
      <c r="R6" s="5" t="s">
        <v>14</v>
      </c>
      <c r="S6" s="5" t="s">
        <v>15</v>
      </c>
      <c r="T6" s="5" t="s">
        <v>14</v>
      </c>
      <c r="U6" s="5" t="s">
        <v>15</v>
      </c>
      <c r="V6" s="5" t="s">
        <v>14</v>
      </c>
      <c r="W6" s="5" t="s">
        <v>15</v>
      </c>
      <c r="X6" s="5" t="s">
        <v>14</v>
      </c>
      <c r="Y6" s="5" t="s">
        <v>15</v>
      </c>
      <c r="Z6" s="5" t="s">
        <v>14</v>
      </c>
      <c r="AA6" s="5" t="s">
        <v>15</v>
      </c>
      <c r="AB6" s="5" t="s">
        <v>14</v>
      </c>
      <c r="AC6" s="5" t="s">
        <v>15</v>
      </c>
      <c r="AD6" s="5" t="s">
        <v>14</v>
      </c>
      <c r="AE6" s="5" t="s">
        <v>15</v>
      </c>
      <c r="AF6" s="5" t="s">
        <v>14</v>
      </c>
      <c r="AG6" s="5" t="s">
        <v>15</v>
      </c>
      <c r="AH6" s="5" t="s">
        <v>14</v>
      </c>
      <c r="AI6" s="5" t="s">
        <v>15</v>
      </c>
      <c r="AJ6" s="5" t="s">
        <v>14</v>
      </c>
      <c r="AK6" s="5" t="s">
        <v>15</v>
      </c>
      <c r="AL6" s="5" t="s">
        <v>14</v>
      </c>
      <c r="AM6" s="5" t="s">
        <v>15</v>
      </c>
      <c r="AN6" s="5" t="s">
        <v>14</v>
      </c>
      <c r="AO6" s="5" t="s">
        <v>15</v>
      </c>
      <c r="AP6" s="5" t="s">
        <v>14</v>
      </c>
      <c r="AQ6" s="5" t="s">
        <v>15</v>
      </c>
      <c r="AR6" s="5" t="s">
        <v>14</v>
      </c>
      <c r="AS6" s="5" t="s">
        <v>15</v>
      </c>
      <c r="AT6" s="5" t="s">
        <v>14</v>
      </c>
      <c r="AU6" s="5" t="s">
        <v>15</v>
      </c>
      <c r="AV6" s="5" t="s">
        <v>14</v>
      </c>
      <c r="AW6" s="5" t="s">
        <v>15</v>
      </c>
      <c r="AX6" s="5" t="s">
        <v>14</v>
      </c>
      <c r="AY6" s="5" t="s">
        <v>15</v>
      </c>
      <c r="AZ6" s="5" t="s">
        <v>14</v>
      </c>
      <c r="BA6" s="5" t="s">
        <v>15</v>
      </c>
      <c r="BB6" s="5" t="s">
        <v>14</v>
      </c>
      <c r="BC6" s="5" t="s">
        <v>15</v>
      </c>
    </row>
    <row r="7" spans="1:55" ht="18" customHeight="1" x14ac:dyDescent="0.3">
      <c r="A7" s="6">
        <v>1</v>
      </c>
      <c r="B7" s="7" t="s">
        <v>16</v>
      </c>
      <c r="C7" s="7" t="s">
        <v>17</v>
      </c>
      <c r="D7" s="7" t="s">
        <v>18</v>
      </c>
      <c r="E7" s="8" t="s">
        <v>63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</row>
    <row r="8" spans="1:55" ht="18" customHeight="1" x14ac:dyDescent="0.3">
      <c r="A8" s="10">
        <v>2</v>
      </c>
      <c r="B8" s="7" t="s">
        <v>16</v>
      </c>
      <c r="C8" s="7" t="s">
        <v>17</v>
      </c>
      <c r="D8" s="7" t="s">
        <v>153</v>
      </c>
      <c r="E8" s="8" t="s">
        <v>54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</row>
    <row r="9" spans="1:55" ht="18" customHeight="1" x14ac:dyDescent="0.3">
      <c r="A9" s="6">
        <v>3</v>
      </c>
      <c r="B9" s="7" t="s">
        <v>21</v>
      </c>
      <c r="C9" s="7" t="s">
        <v>22</v>
      </c>
      <c r="D9" s="7" t="s">
        <v>23</v>
      </c>
      <c r="E9" s="8" t="s">
        <v>305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 spans="1:55" ht="18" customHeight="1" x14ac:dyDescent="0.3">
      <c r="A10" s="10">
        <v>4</v>
      </c>
      <c r="B10" s="7" t="s">
        <v>141</v>
      </c>
      <c r="C10" s="7" t="s">
        <v>244</v>
      </c>
      <c r="D10" s="7" t="s">
        <v>306</v>
      </c>
      <c r="E10" s="8" t="s">
        <v>49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 spans="1:55" ht="18" customHeight="1" x14ac:dyDescent="0.3">
      <c r="A11" s="6">
        <v>5</v>
      </c>
      <c r="B11" s="7" t="s">
        <v>205</v>
      </c>
      <c r="C11" s="7" t="s">
        <v>206</v>
      </c>
      <c r="D11" s="7" t="s">
        <v>207</v>
      </c>
      <c r="E11" s="8" t="s">
        <v>63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 spans="1:55" ht="18" customHeight="1" x14ac:dyDescent="0.3">
      <c r="A12" s="10">
        <v>6</v>
      </c>
      <c r="B12" s="7" t="s">
        <v>205</v>
      </c>
      <c r="C12" s="7" t="s">
        <v>206</v>
      </c>
      <c r="D12" s="7" t="s">
        <v>208</v>
      </c>
      <c r="E12" s="8" t="s">
        <v>19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 spans="1:55" ht="18" customHeight="1" x14ac:dyDescent="0.3">
      <c r="A13" s="6">
        <v>7</v>
      </c>
      <c r="B13" s="7" t="s">
        <v>27</v>
      </c>
      <c r="C13" s="7" t="s">
        <v>22</v>
      </c>
      <c r="D13" s="7" t="s">
        <v>28</v>
      </c>
      <c r="E13" s="8" t="s">
        <v>52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 spans="1:55" ht="18" customHeight="1" x14ac:dyDescent="0.3">
      <c r="A14" s="10">
        <v>8</v>
      </c>
      <c r="B14" s="7" t="s">
        <v>32</v>
      </c>
      <c r="C14" s="7" t="s">
        <v>20</v>
      </c>
      <c r="D14" s="7" t="s">
        <v>33</v>
      </c>
      <c r="E14" s="8" t="s">
        <v>52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 spans="1:55" ht="18" customHeight="1" x14ac:dyDescent="0.3">
      <c r="A15" s="6">
        <v>9</v>
      </c>
      <c r="B15" s="7" t="s">
        <v>22</v>
      </c>
      <c r="C15" s="7" t="s">
        <v>35</v>
      </c>
      <c r="D15" s="7" t="s">
        <v>36</v>
      </c>
      <c r="E15" s="8" t="s">
        <v>29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 spans="1:55" ht="18" customHeight="1" x14ac:dyDescent="0.3">
      <c r="A16" s="10">
        <v>10</v>
      </c>
      <c r="B16" s="7" t="s">
        <v>22</v>
      </c>
      <c r="C16" s="7" t="s">
        <v>35</v>
      </c>
      <c r="D16" s="7" t="s">
        <v>37</v>
      </c>
      <c r="E16" s="8" t="s">
        <v>41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1:55" ht="18" customHeight="1" x14ac:dyDescent="0.3">
      <c r="A17" s="6">
        <v>11</v>
      </c>
      <c r="B17" s="7" t="s">
        <v>38</v>
      </c>
      <c r="C17" s="7" t="s">
        <v>39</v>
      </c>
      <c r="D17" s="7" t="s">
        <v>40</v>
      </c>
      <c r="E17" s="8" t="s">
        <v>58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 spans="1:55" ht="18" customHeight="1" x14ac:dyDescent="0.3">
      <c r="A18" s="10">
        <v>12</v>
      </c>
      <c r="B18" s="7" t="s">
        <v>38</v>
      </c>
      <c r="C18" s="7" t="s">
        <v>39</v>
      </c>
      <c r="D18" s="7" t="s">
        <v>42</v>
      </c>
      <c r="E18" s="8" t="s">
        <v>63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 spans="1:55" ht="18" customHeight="1" x14ac:dyDescent="0.3">
      <c r="A19" s="6">
        <v>13</v>
      </c>
      <c r="B19" s="7" t="s">
        <v>45</v>
      </c>
      <c r="C19" s="7" t="s">
        <v>24</v>
      </c>
      <c r="D19" s="7" t="s">
        <v>307</v>
      </c>
      <c r="E19" s="8" t="s">
        <v>41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</row>
    <row r="20" spans="1:55" ht="17.25" customHeight="1" x14ac:dyDescent="0.3">
      <c r="A20" s="6">
        <v>14</v>
      </c>
      <c r="B20" s="7" t="s">
        <v>45</v>
      </c>
      <c r="C20" s="7" t="s">
        <v>24</v>
      </c>
      <c r="D20" s="7" t="s">
        <v>46</v>
      </c>
      <c r="E20" s="8" t="s">
        <v>52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</row>
    <row r="21" spans="1:55" ht="17.25" customHeight="1" x14ac:dyDescent="0.3">
      <c r="A21" s="6">
        <v>15</v>
      </c>
      <c r="B21" s="7" t="s">
        <v>155</v>
      </c>
      <c r="C21" s="7" t="s">
        <v>43</v>
      </c>
      <c r="D21" s="7" t="s">
        <v>156</v>
      </c>
      <c r="E21" s="8" t="s">
        <v>29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</row>
    <row r="22" spans="1:55" x14ac:dyDescent="0.3">
      <c r="A22" s="13"/>
      <c r="B22" s="14"/>
      <c r="C22" s="14"/>
      <c r="D22" s="14"/>
      <c r="E22" s="15"/>
    </row>
    <row r="23" spans="1:55" x14ac:dyDescent="0.3">
      <c r="A23" s="13"/>
      <c r="B23" s="14"/>
      <c r="C23" s="14"/>
      <c r="D23" s="14"/>
      <c r="E23" s="15"/>
    </row>
    <row r="24" spans="1:55" x14ac:dyDescent="0.3">
      <c r="A24" s="13"/>
      <c r="B24" s="14"/>
      <c r="C24" s="14"/>
      <c r="D24" s="14"/>
      <c r="E24" s="15"/>
    </row>
    <row r="25" spans="1:55" x14ac:dyDescent="0.3">
      <c r="A25" s="13"/>
      <c r="B25" s="14"/>
      <c r="C25" s="14"/>
      <c r="D25" s="14"/>
      <c r="E25" s="15"/>
    </row>
    <row r="26" spans="1:55" x14ac:dyDescent="0.3">
      <c r="A26" s="13"/>
      <c r="B26" s="14"/>
      <c r="C26" s="14"/>
      <c r="D26" s="14"/>
      <c r="E26" s="15"/>
    </row>
    <row r="27" spans="1:55" x14ac:dyDescent="0.3">
      <c r="A27" s="13"/>
      <c r="B27" s="14"/>
      <c r="C27" s="14"/>
      <c r="D27" s="14"/>
      <c r="E27" s="15"/>
    </row>
    <row r="28" spans="1:55" x14ac:dyDescent="0.3">
      <c r="A28" s="13"/>
      <c r="B28" s="14"/>
      <c r="C28" s="14"/>
      <c r="D28" s="14"/>
      <c r="E28" s="15"/>
    </row>
    <row r="29" spans="1:55" x14ac:dyDescent="0.3">
      <c r="A29" s="13"/>
      <c r="B29" s="14"/>
      <c r="C29" s="14"/>
      <c r="D29" s="14"/>
      <c r="E29" s="15"/>
    </row>
    <row r="30" spans="1:55" x14ac:dyDescent="0.3">
      <c r="A30" s="13"/>
      <c r="B30" s="14"/>
      <c r="C30" s="14"/>
      <c r="D30" s="14"/>
      <c r="E30" s="15"/>
    </row>
    <row r="31" spans="1:55" x14ac:dyDescent="0.3">
      <c r="A31" s="13"/>
      <c r="B31" s="14"/>
      <c r="C31" s="14"/>
      <c r="D31" s="14"/>
      <c r="E31" s="15"/>
      <c r="F31" s="54" t="s">
        <v>47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16"/>
      <c r="Z31" s="16"/>
      <c r="AA31" s="16"/>
      <c r="AB31" s="16"/>
      <c r="AC31" s="16"/>
      <c r="AD31" s="16"/>
      <c r="AE31" s="16"/>
      <c r="AF31" s="54" t="str">
        <f>C3</f>
        <v>Sr. Wilfredo Perez Ochoa</v>
      </c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</row>
    <row r="32" spans="1:55" x14ac:dyDescent="0.3">
      <c r="A32" s="13"/>
      <c r="B32" s="14"/>
      <c r="C32" s="14"/>
      <c r="D32" s="14"/>
      <c r="E32" s="15"/>
      <c r="AF32" s="55" t="s">
        <v>48</v>
      </c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</row>
    <row r="33" spans="1:55" x14ac:dyDescent="0.3">
      <c r="A33" s="13"/>
      <c r="B33" s="14"/>
      <c r="C33" s="14"/>
      <c r="D33" s="14"/>
      <c r="E33" s="15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</row>
    <row r="34" spans="1:55" x14ac:dyDescent="0.3">
      <c r="A34" s="13"/>
      <c r="B34" s="14"/>
      <c r="C34" s="14"/>
      <c r="D34" s="14"/>
      <c r="E34" s="15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</row>
    <row r="35" spans="1:55" ht="30" customHeight="1" x14ac:dyDescent="0.3">
      <c r="A35" s="56" t="s">
        <v>0</v>
      </c>
      <c r="B35" s="57"/>
      <c r="C35" s="57"/>
      <c r="D35" s="57"/>
      <c r="E35" s="1">
        <v>2</v>
      </c>
      <c r="F35" s="58" t="s">
        <v>1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</row>
    <row r="36" spans="1:55" ht="15" customHeight="1" x14ac:dyDescent="0.3">
      <c r="A36" s="65" t="s">
        <v>2</v>
      </c>
      <c r="B36" s="66"/>
      <c r="C36" s="3">
        <f>VLOOKUP(BUS_02,[1]DATOS!$B$9:$G$28,5)</f>
        <v>2</v>
      </c>
      <c r="D36" s="59" t="str">
        <f>VLOOKUP(BUS_02,[1]DATOS!$B$9:$G$28,6)</f>
        <v>FEBRERO</v>
      </c>
      <c r="E36" s="59"/>
      <c r="F36" s="60" t="str">
        <f>$F$2</f>
        <v>MARZO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</row>
    <row r="37" spans="1:55" ht="15" customHeight="1" x14ac:dyDescent="0.3">
      <c r="A37" s="61" t="s">
        <v>3</v>
      </c>
      <c r="B37" s="59"/>
      <c r="C37" s="59" t="str">
        <f>VLOOKUP(BUS_02,[1]DATOS!$B$9:$G$28,2)</f>
        <v>Sr. Nelson Hidalgo Quispe</v>
      </c>
      <c r="D37" s="59"/>
      <c r="E37" s="4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 x14ac:dyDescent="0.3">
      <c r="A38" s="61" t="s">
        <v>4</v>
      </c>
      <c r="B38" s="59"/>
      <c r="C38" s="59">
        <f>VLOOKUP(BUS_02,[1]DATOS!$B$9:$G$28,4)</f>
        <v>79659109</v>
      </c>
      <c r="D38" s="59"/>
      <c r="E38" s="4"/>
      <c r="F38" s="64" t="s">
        <v>5</v>
      </c>
      <c r="G38" s="64"/>
      <c r="H38" s="64" t="s">
        <v>6</v>
      </c>
      <c r="I38" s="64"/>
      <c r="J38" s="64" t="s">
        <v>6</v>
      </c>
      <c r="K38" s="64"/>
      <c r="L38" s="64" t="s">
        <v>7</v>
      </c>
      <c r="M38" s="64"/>
      <c r="N38" s="64" t="s">
        <v>8</v>
      </c>
      <c r="O38" s="64"/>
      <c r="P38" s="64" t="s">
        <v>5</v>
      </c>
      <c r="Q38" s="64"/>
      <c r="R38" s="64" t="s">
        <v>6</v>
      </c>
      <c r="S38" s="64"/>
      <c r="T38" s="64" t="s">
        <v>6</v>
      </c>
      <c r="U38" s="64"/>
      <c r="V38" s="64" t="s">
        <v>7</v>
      </c>
      <c r="W38" s="64"/>
      <c r="X38" s="64" t="s">
        <v>8</v>
      </c>
      <c r="Y38" s="64"/>
      <c r="Z38" s="64" t="s">
        <v>5</v>
      </c>
      <c r="AA38" s="64"/>
      <c r="AB38" s="64" t="s">
        <v>6</v>
      </c>
      <c r="AC38" s="64"/>
      <c r="AD38" s="64" t="s">
        <v>6</v>
      </c>
      <c r="AE38" s="64"/>
      <c r="AF38" s="64" t="s">
        <v>7</v>
      </c>
      <c r="AG38" s="64"/>
      <c r="AH38" s="64" t="s">
        <v>8</v>
      </c>
      <c r="AI38" s="64"/>
      <c r="AJ38" s="64" t="s">
        <v>5</v>
      </c>
      <c r="AK38" s="64"/>
      <c r="AL38" s="64" t="s">
        <v>6</v>
      </c>
      <c r="AM38" s="64"/>
      <c r="AN38" s="64" t="s">
        <v>6</v>
      </c>
      <c r="AO38" s="64"/>
      <c r="AP38" s="64" t="s">
        <v>7</v>
      </c>
      <c r="AQ38" s="64"/>
      <c r="AR38" s="64" t="s">
        <v>8</v>
      </c>
      <c r="AS38" s="64"/>
      <c r="AT38" s="64" t="s">
        <v>5</v>
      </c>
      <c r="AU38" s="64"/>
      <c r="AV38" s="64" t="s">
        <v>6</v>
      </c>
      <c r="AW38" s="64"/>
      <c r="AX38" s="64" t="s">
        <v>6</v>
      </c>
      <c r="AY38" s="64"/>
      <c r="AZ38" s="64" t="s">
        <v>7</v>
      </c>
      <c r="BA38" s="64"/>
      <c r="BB38" s="64" t="s">
        <v>8</v>
      </c>
      <c r="BC38" s="64"/>
    </row>
    <row r="39" spans="1:55" x14ac:dyDescent="0.3">
      <c r="A39" s="62" t="s">
        <v>9</v>
      </c>
      <c r="B39" s="62" t="s">
        <v>10</v>
      </c>
      <c r="C39" s="62" t="s">
        <v>11</v>
      </c>
      <c r="D39" s="62" t="s">
        <v>12</v>
      </c>
      <c r="E39" s="62" t="s">
        <v>13</v>
      </c>
      <c r="F39" s="63">
        <f>$F$5</f>
        <v>2</v>
      </c>
      <c r="G39" s="63"/>
      <c r="H39" s="52">
        <f>$H$5</f>
        <v>3</v>
      </c>
      <c r="I39" s="53"/>
      <c r="J39" s="52">
        <f>$J$5</f>
        <v>4</v>
      </c>
      <c r="K39" s="53"/>
      <c r="L39" s="52">
        <f>$L$5</f>
        <v>5</v>
      </c>
      <c r="M39" s="53"/>
      <c r="N39" s="52">
        <f>$N$5</f>
        <v>6</v>
      </c>
      <c r="O39" s="53"/>
      <c r="P39" s="52">
        <f>$P$5</f>
        <v>9</v>
      </c>
      <c r="Q39" s="53"/>
      <c r="R39" s="52">
        <f>$R$5</f>
        <v>10</v>
      </c>
      <c r="S39" s="53"/>
      <c r="T39" s="52">
        <f>$T$5</f>
        <v>11</v>
      </c>
      <c r="U39" s="53"/>
      <c r="V39" s="52">
        <f>$V$5</f>
        <v>12</v>
      </c>
      <c r="W39" s="53"/>
      <c r="X39" s="52">
        <f>$X$5</f>
        <v>13</v>
      </c>
      <c r="Y39" s="53"/>
      <c r="Z39" s="52">
        <f>$Z$5</f>
        <v>16</v>
      </c>
      <c r="AA39" s="53"/>
      <c r="AB39" s="52">
        <f>$AB$5</f>
        <v>17</v>
      </c>
      <c r="AC39" s="53"/>
      <c r="AD39" s="52">
        <f>$AD$5</f>
        <v>18</v>
      </c>
      <c r="AE39" s="53"/>
      <c r="AF39" s="52">
        <f>$AF$5</f>
        <v>19</v>
      </c>
      <c r="AG39" s="53"/>
      <c r="AH39" s="52">
        <f>$AH$5</f>
        <v>20</v>
      </c>
      <c r="AI39" s="53"/>
      <c r="AJ39" s="52">
        <f>$AJ$5</f>
        <v>23</v>
      </c>
      <c r="AK39" s="53"/>
      <c r="AL39" s="52">
        <f>$AL$5</f>
        <v>24</v>
      </c>
      <c r="AM39" s="53"/>
      <c r="AN39" s="52">
        <f>$AN$5</f>
        <v>25</v>
      </c>
      <c r="AO39" s="53"/>
      <c r="AP39" s="52">
        <f>$AP$5</f>
        <v>26</v>
      </c>
      <c r="AQ39" s="53"/>
      <c r="AR39" s="52">
        <f>$AR$5</f>
        <v>27</v>
      </c>
      <c r="AS39" s="53"/>
      <c r="AT39" s="52">
        <f>$AT$5</f>
        <v>0</v>
      </c>
      <c r="AU39" s="53"/>
      <c r="AV39" s="52">
        <f>$AV$5</f>
        <v>0</v>
      </c>
      <c r="AW39" s="53"/>
      <c r="AX39" s="52">
        <f>$AX$5</f>
        <v>0</v>
      </c>
      <c r="AY39" s="53"/>
      <c r="AZ39" s="52">
        <f>$AZ$5</f>
        <v>0</v>
      </c>
      <c r="BA39" s="53"/>
      <c r="BB39" s="52">
        <f>$BB$5</f>
        <v>0</v>
      </c>
      <c r="BC39" s="53"/>
    </row>
    <row r="40" spans="1:55" x14ac:dyDescent="0.3">
      <c r="A40" s="62"/>
      <c r="B40" s="62"/>
      <c r="C40" s="62"/>
      <c r="D40" s="62"/>
      <c r="E40" s="62"/>
      <c r="F40" s="5" t="s">
        <v>14</v>
      </c>
      <c r="G40" s="5" t="s">
        <v>15</v>
      </c>
      <c r="H40" s="5" t="s">
        <v>14</v>
      </c>
      <c r="I40" s="5" t="s">
        <v>15</v>
      </c>
      <c r="J40" s="5" t="s">
        <v>14</v>
      </c>
      <c r="K40" s="5" t="s">
        <v>15</v>
      </c>
      <c r="L40" s="5" t="s">
        <v>14</v>
      </c>
      <c r="M40" s="5" t="s">
        <v>15</v>
      </c>
      <c r="N40" s="5" t="s">
        <v>14</v>
      </c>
      <c r="O40" s="5" t="s">
        <v>15</v>
      </c>
      <c r="P40" s="5" t="s">
        <v>14</v>
      </c>
      <c r="Q40" s="5" t="s">
        <v>15</v>
      </c>
      <c r="R40" s="5" t="s">
        <v>14</v>
      </c>
      <c r="S40" s="5" t="s">
        <v>15</v>
      </c>
      <c r="T40" s="5" t="s">
        <v>14</v>
      </c>
      <c r="U40" s="5" t="s">
        <v>15</v>
      </c>
      <c r="V40" s="5" t="s">
        <v>14</v>
      </c>
      <c r="W40" s="5" t="s">
        <v>15</v>
      </c>
      <c r="X40" s="5" t="s">
        <v>14</v>
      </c>
      <c r="Y40" s="5" t="s">
        <v>15</v>
      </c>
      <c r="Z40" s="5" t="s">
        <v>14</v>
      </c>
      <c r="AA40" s="5" t="s">
        <v>15</v>
      </c>
      <c r="AB40" s="5" t="s">
        <v>14</v>
      </c>
      <c r="AC40" s="5" t="s">
        <v>15</v>
      </c>
      <c r="AD40" s="5" t="s">
        <v>14</v>
      </c>
      <c r="AE40" s="5" t="s">
        <v>15</v>
      </c>
      <c r="AF40" s="5" t="s">
        <v>14</v>
      </c>
      <c r="AG40" s="5" t="s">
        <v>15</v>
      </c>
      <c r="AH40" s="5" t="s">
        <v>14</v>
      </c>
      <c r="AI40" s="5" t="s">
        <v>15</v>
      </c>
      <c r="AJ40" s="5" t="s">
        <v>14</v>
      </c>
      <c r="AK40" s="5" t="s">
        <v>15</v>
      </c>
      <c r="AL40" s="5" t="s">
        <v>14</v>
      </c>
      <c r="AM40" s="5" t="s">
        <v>15</v>
      </c>
      <c r="AN40" s="5" t="s">
        <v>14</v>
      </c>
      <c r="AO40" s="5" t="s">
        <v>15</v>
      </c>
      <c r="AP40" s="5" t="s">
        <v>14</v>
      </c>
      <c r="AQ40" s="5" t="s">
        <v>15</v>
      </c>
      <c r="AR40" s="5" t="s">
        <v>14</v>
      </c>
      <c r="AS40" s="5" t="s">
        <v>15</v>
      </c>
      <c r="AT40" s="5" t="s">
        <v>14</v>
      </c>
      <c r="AU40" s="5" t="s">
        <v>15</v>
      </c>
      <c r="AV40" s="5" t="s">
        <v>14</v>
      </c>
      <c r="AW40" s="5" t="s">
        <v>15</v>
      </c>
      <c r="AX40" s="5" t="s">
        <v>14</v>
      </c>
      <c r="AY40" s="5" t="s">
        <v>15</v>
      </c>
      <c r="AZ40" s="5" t="s">
        <v>14</v>
      </c>
      <c r="BA40" s="5" t="s">
        <v>15</v>
      </c>
      <c r="BB40" s="5" t="s">
        <v>14</v>
      </c>
      <c r="BC40" s="5" t="s">
        <v>15</v>
      </c>
    </row>
    <row r="41" spans="1:55" ht="17.25" customHeight="1" x14ac:dyDescent="0.3">
      <c r="A41" s="38">
        <v>1</v>
      </c>
      <c r="B41" s="39" t="s">
        <v>16</v>
      </c>
      <c r="C41" s="39" t="s">
        <v>50</v>
      </c>
      <c r="D41" s="39" t="s">
        <v>51</v>
      </c>
      <c r="E41" s="40" t="s">
        <v>49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</row>
    <row r="42" spans="1:55" ht="17.25" customHeight="1" x14ac:dyDescent="0.3">
      <c r="A42" s="38">
        <v>2</v>
      </c>
      <c r="B42" s="39" t="s">
        <v>302</v>
      </c>
      <c r="C42" s="39" t="s">
        <v>303</v>
      </c>
      <c r="D42" s="39" t="s">
        <v>304</v>
      </c>
      <c r="E42" s="40" t="s">
        <v>29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</row>
    <row r="43" spans="1:55" ht="17.25" customHeight="1" x14ac:dyDescent="0.3">
      <c r="A43" s="38">
        <v>3</v>
      </c>
      <c r="B43" s="39" t="s">
        <v>302</v>
      </c>
      <c r="C43" s="39" t="s">
        <v>303</v>
      </c>
      <c r="D43" s="39" t="s">
        <v>580</v>
      </c>
      <c r="E43" s="40" t="s">
        <v>19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</row>
    <row r="44" spans="1:55" ht="17.25" customHeight="1" x14ac:dyDescent="0.3">
      <c r="A44" s="38">
        <v>4</v>
      </c>
      <c r="B44" s="39" t="s">
        <v>209</v>
      </c>
      <c r="C44" s="39" t="s">
        <v>50</v>
      </c>
      <c r="D44" s="39" t="s">
        <v>308</v>
      </c>
      <c r="E44" s="40" t="s">
        <v>92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</row>
    <row r="45" spans="1:55" ht="17.25" customHeight="1" x14ac:dyDescent="0.3">
      <c r="A45" s="38">
        <v>5</v>
      </c>
      <c r="B45" s="39" t="s">
        <v>55</v>
      </c>
      <c r="C45" s="39" t="s">
        <v>56</v>
      </c>
      <c r="D45" s="39" t="s">
        <v>57</v>
      </c>
      <c r="E45" s="40" t="s">
        <v>92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</row>
    <row r="46" spans="1:55" ht="17.25" customHeight="1" x14ac:dyDescent="0.3">
      <c r="A46" s="38">
        <v>6</v>
      </c>
      <c r="B46" s="39" t="s">
        <v>211</v>
      </c>
      <c r="C46" s="39" t="s">
        <v>32</v>
      </c>
      <c r="D46" s="39" t="s">
        <v>212</v>
      </c>
      <c r="E46" s="40" t="s">
        <v>92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</row>
    <row r="47" spans="1:55" ht="17.25" customHeight="1" x14ac:dyDescent="0.3">
      <c r="A47" s="38">
        <v>7</v>
      </c>
      <c r="B47" s="39" t="s">
        <v>211</v>
      </c>
      <c r="C47" s="39" t="s">
        <v>32</v>
      </c>
      <c r="D47" s="39" t="s">
        <v>31</v>
      </c>
      <c r="E47" s="40" t="s">
        <v>29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</row>
    <row r="48" spans="1:55" ht="17.25" customHeight="1" x14ac:dyDescent="0.3">
      <c r="A48" s="38">
        <v>8</v>
      </c>
      <c r="B48" s="39" t="s">
        <v>309</v>
      </c>
      <c r="C48" s="39" t="s">
        <v>310</v>
      </c>
      <c r="D48" s="39" t="s">
        <v>311</v>
      </c>
      <c r="E48" s="39" t="s">
        <v>19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</row>
    <row r="49" spans="1:55" ht="17.25" customHeight="1" x14ac:dyDescent="0.3">
      <c r="A49" s="38">
        <v>9</v>
      </c>
      <c r="B49" s="39" t="s">
        <v>22</v>
      </c>
      <c r="C49" s="39" t="s">
        <v>312</v>
      </c>
      <c r="D49" s="39" t="s">
        <v>313</v>
      </c>
      <c r="E49" s="40" t="s">
        <v>54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</row>
    <row r="50" spans="1:55" ht="17.25" customHeight="1" x14ac:dyDescent="0.3">
      <c r="A50" s="38">
        <v>10</v>
      </c>
      <c r="B50" s="39" t="s">
        <v>45</v>
      </c>
      <c r="C50" s="39" t="s">
        <v>67</v>
      </c>
      <c r="D50" s="39" t="s">
        <v>68</v>
      </c>
      <c r="E50" s="40" t="s">
        <v>92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</row>
    <row r="51" spans="1:55" ht="17.25" customHeight="1" x14ac:dyDescent="0.3">
      <c r="A51" s="38">
        <v>11</v>
      </c>
      <c r="B51" s="39" t="s">
        <v>39</v>
      </c>
      <c r="C51" s="39" t="s">
        <v>69</v>
      </c>
      <c r="D51" s="39" t="s">
        <v>70</v>
      </c>
      <c r="E51" s="40" t="s">
        <v>54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</row>
    <row r="52" spans="1:55" ht="17.25" customHeight="1" x14ac:dyDescent="0.3">
      <c r="A52" s="38">
        <v>12</v>
      </c>
      <c r="B52" s="39" t="s">
        <v>106</v>
      </c>
      <c r="C52" s="39" t="s">
        <v>314</v>
      </c>
      <c r="D52" s="39" t="s">
        <v>315</v>
      </c>
      <c r="E52" s="40" t="s">
        <v>52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</row>
    <row r="53" spans="1:55" ht="17.25" customHeight="1" x14ac:dyDescent="0.3">
      <c r="A53" s="38">
        <v>13</v>
      </c>
      <c r="B53" s="39" t="s">
        <v>316</v>
      </c>
      <c r="C53" s="39" t="s">
        <v>22</v>
      </c>
      <c r="D53" s="39" t="s">
        <v>317</v>
      </c>
      <c r="E53" s="40" t="s">
        <v>92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</row>
    <row r="54" spans="1:55" ht="17.25" customHeight="1" x14ac:dyDescent="0.3">
      <c r="A54" s="38">
        <v>14</v>
      </c>
      <c r="B54" s="39" t="s">
        <v>316</v>
      </c>
      <c r="C54" s="39" t="s">
        <v>22</v>
      </c>
      <c r="D54" s="39" t="s">
        <v>318</v>
      </c>
      <c r="E54" s="40" t="s">
        <v>49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</row>
    <row r="55" spans="1:55" ht="17.25" customHeight="1" x14ac:dyDescent="0.3">
      <c r="A55" s="38">
        <v>15</v>
      </c>
      <c r="B55" s="39" t="s">
        <v>316</v>
      </c>
      <c r="C55" s="39" t="s">
        <v>22</v>
      </c>
      <c r="D55" s="39" t="s">
        <v>319</v>
      </c>
      <c r="E55" s="40" t="s">
        <v>44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</row>
    <row r="56" spans="1:55" ht="17.25" customHeight="1" x14ac:dyDescent="0.3">
      <c r="A56" s="11"/>
      <c r="B56" s="14"/>
      <c r="C56" s="14"/>
      <c r="D56" s="14"/>
      <c r="E56" s="15"/>
    </row>
    <row r="57" spans="1:55" x14ac:dyDescent="0.3">
      <c r="A57" s="18"/>
      <c r="B57" s="19"/>
      <c r="C57" s="19"/>
      <c r="D57" s="19"/>
      <c r="E57" s="20"/>
    </row>
    <row r="58" spans="1:55" x14ac:dyDescent="0.3">
      <c r="A58" s="18"/>
      <c r="B58" s="19"/>
      <c r="C58" s="19"/>
      <c r="D58" s="19"/>
      <c r="E58" s="20"/>
    </row>
    <row r="59" spans="1:55" x14ac:dyDescent="0.3">
      <c r="A59" s="18"/>
      <c r="B59" s="19"/>
      <c r="C59" s="19"/>
      <c r="D59" s="19"/>
      <c r="E59" s="20"/>
    </row>
    <row r="60" spans="1:55" x14ac:dyDescent="0.3">
      <c r="A60" s="18"/>
      <c r="B60" s="19"/>
      <c r="C60" s="19"/>
      <c r="D60" s="19"/>
      <c r="E60" s="20"/>
    </row>
    <row r="61" spans="1:55" x14ac:dyDescent="0.3">
      <c r="A61" s="18"/>
      <c r="B61" s="19"/>
      <c r="C61" s="19"/>
      <c r="D61" s="19"/>
      <c r="E61" s="20"/>
    </row>
    <row r="62" spans="1:55" x14ac:dyDescent="0.3">
      <c r="A62" s="18"/>
      <c r="B62" s="19"/>
      <c r="C62" s="19"/>
      <c r="D62" s="19"/>
      <c r="E62" s="20"/>
    </row>
    <row r="63" spans="1:55" x14ac:dyDescent="0.3">
      <c r="A63" s="18"/>
      <c r="B63" s="19"/>
      <c r="C63" s="19"/>
      <c r="D63" s="19"/>
      <c r="E63" s="20"/>
    </row>
    <row r="64" spans="1:55" x14ac:dyDescent="0.3">
      <c r="A64" s="18"/>
      <c r="B64" s="19"/>
      <c r="C64" s="19"/>
      <c r="D64" s="19"/>
      <c r="E64" s="20"/>
    </row>
    <row r="65" spans="1:55" x14ac:dyDescent="0.3">
      <c r="A65" s="18"/>
      <c r="B65" s="19"/>
      <c r="C65" s="19"/>
      <c r="D65" s="19"/>
      <c r="E65" s="20"/>
    </row>
    <row r="66" spans="1:55" x14ac:dyDescent="0.3">
      <c r="A66" s="18"/>
      <c r="B66" s="19"/>
      <c r="C66" s="19"/>
      <c r="D66" s="19"/>
      <c r="E66" s="20"/>
      <c r="F66" s="54" t="s">
        <v>47</v>
      </c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16"/>
      <c r="Z66" s="16"/>
      <c r="AA66" s="16"/>
      <c r="AB66" s="16"/>
      <c r="AC66" s="16"/>
      <c r="AD66" s="16"/>
      <c r="AE66" s="16"/>
      <c r="AF66" s="54" t="str">
        <f>C37</f>
        <v>Sr. Nelson Hidalgo Quispe</v>
      </c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</row>
    <row r="67" spans="1:55" x14ac:dyDescent="0.3">
      <c r="A67" s="18"/>
      <c r="B67" s="19"/>
      <c r="C67" s="19"/>
      <c r="D67" s="19"/>
      <c r="E67" s="20"/>
      <c r="AF67" s="55" t="s">
        <v>71</v>
      </c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</row>
    <row r="68" spans="1:55" x14ac:dyDescent="0.3">
      <c r="A68" s="18"/>
      <c r="B68" s="19"/>
      <c r="C68" s="19"/>
      <c r="D68" s="19"/>
      <c r="E68" s="20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1:55" x14ac:dyDescent="0.3">
      <c r="A69" s="18"/>
      <c r="B69" s="19"/>
      <c r="C69" s="19"/>
      <c r="D69" s="19"/>
      <c r="E69" s="20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1:55" ht="30" customHeight="1" x14ac:dyDescent="0.3">
      <c r="A70" s="56" t="s">
        <v>0</v>
      </c>
      <c r="B70" s="57"/>
      <c r="C70" s="57"/>
      <c r="D70" s="57"/>
      <c r="E70" s="21">
        <v>3</v>
      </c>
      <c r="F70" s="58" t="s">
        <v>1</v>
      </c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</row>
    <row r="71" spans="1:55" ht="15" customHeight="1" x14ac:dyDescent="0.3">
      <c r="A71" s="71" t="s">
        <v>2</v>
      </c>
      <c r="B71" s="72"/>
      <c r="C71" s="3">
        <f>VLOOKUP(BUS_03,[1]DATOS!$B$9:$G$28,5)</f>
        <v>2</v>
      </c>
      <c r="D71" s="59" t="str">
        <f>VLOOKUP(BUS_03,[1]DATOS!$B$9:$G$28,6)</f>
        <v>FEBRERO</v>
      </c>
      <c r="E71" s="59"/>
      <c r="F71" s="60" t="str">
        <f>$F$2</f>
        <v>MARZO</v>
      </c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</row>
    <row r="72" spans="1:55" ht="15" customHeight="1" x14ac:dyDescent="0.3">
      <c r="A72" s="61" t="s">
        <v>3</v>
      </c>
      <c r="B72" s="59"/>
      <c r="C72" s="59" t="str">
        <f>VLOOKUP(BUS_03,[1]DATOS!$B$9:$G$28,2)</f>
        <v>Sr. Edving Perez Ochoa</v>
      </c>
      <c r="D72" s="59"/>
      <c r="E72" s="4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</row>
    <row r="73" spans="1:55" x14ac:dyDescent="0.3">
      <c r="A73" s="61" t="s">
        <v>4</v>
      </c>
      <c r="B73" s="59"/>
      <c r="C73" s="59">
        <f>VLOOKUP(BUS_03,[1]DATOS!$B$9:$G$28,4)</f>
        <v>67325159</v>
      </c>
      <c r="D73" s="59"/>
      <c r="E73" s="4"/>
      <c r="F73" s="64" t="s">
        <v>5</v>
      </c>
      <c r="G73" s="64"/>
      <c r="H73" s="64" t="s">
        <v>6</v>
      </c>
      <c r="I73" s="64"/>
      <c r="J73" s="64" t="s">
        <v>6</v>
      </c>
      <c r="K73" s="64"/>
      <c r="L73" s="64" t="s">
        <v>7</v>
      </c>
      <c r="M73" s="64"/>
      <c r="N73" s="64" t="s">
        <v>8</v>
      </c>
      <c r="O73" s="64"/>
      <c r="P73" s="64" t="s">
        <v>5</v>
      </c>
      <c r="Q73" s="64"/>
      <c r="R73" s="64" t="s">
        <v>6</v>
      </c>
      <c r="S73" s="64"/>
      <c r="T73" s="64" t="s">
        <v>6</v>
      </c>
      <c r="U73" s="64"/>
      <c r="V73" s="64" t="s">
        <v>7</v>
      </c>
      <c r="W73" s="64"/>
      <c r="X73" s="64" t="s">
        <v>8</v>
      </c>
      <c r="Y73" s="64"/>
      <c r="Z73" s="64" t="s">
        <v>5</v>
      </c>
      <c r="AA73" s="64"/>
      <c r="AB73" s="64" t="s">
        <v>6</v>
      </c>
      <c r="AC73" s="64"/>
      <c r="AD73" s="64" t="s">
        <v>6</v>
      </c>
      <c r="AE73" s="64"/>
      <c r="AF73" s="64" t="s">
        <v>7</v>
      </c>
      <c r="AG73" s="64"/>
      <c r="AH73" s="64" t="s">
        <v>8</v>
      </c>
      <c r="AI73" s="64"/>
      <c r="AJ73" s="64" t="s">
        <v>5</v>
      </c>
      <c r="AK73" s="64"/>
      <c r="AL73" s="64" t="s">
        <v>6</v>
      </c>
      <c r="AM73" s="64"/>
      <c r="AN73" s="64" t="s">
        <v>6</v>
      </c>
      <c r="AO73" s="64"/>
      <c r="AP73" s="64" t="s">
        <v>7</v>
      </c>
      <c r="AQ73" s="64"/>
      <c r="AR73" s="64" t="s">
        <v>8</v>
      </c>
      <c r="AS73" s="64"/>
      <c r="AT73" s="64" t="s">
        <v>5</v>
      </c>
      <c r="AU73" s="64"/>
      <c r="AV73" s="64" t="s">
        <v>6</v>
      </c>
      <c r="AW73" s="64"/>
      <c r="AX73" s="64" t="s">
        <v>6</v>
      </c>
      <c r="AY73" s="64"/>
      <c r="AZ73" s="64" t="s">
        <v>7</v>
      </c>
      <c r="BA73" s="64"/>
      <c r="BB73" s="64" t="s">
        <v>8</v>
      </c>
      <c r="BC73" s="64"/>
    </row>
    <row r="74" spans="1:55" x14ac:dyDescent="0.3">
      <c r="A74" s="62" t="s">
        <v>9</v>
      </c>
      <c r="B74" s="62" t="s">
        <v>10</v>
      </c>
      <c r="C74" s="62" t="s">
        <v>11</v>
      </c>
      <c r="D74" s="62" t="s">
        <v>12</v>
      </c>
      <c r="E74" s="62" t="s">
        <v>13</v>
      </c>
      <c r="F74" s="63">
        <f>$F$5</f>
        <v>2</v>
      </c>
      <c r="G74" s="63"/>
      <c r="H74" s="52">
        <f>$H$5</f>
        <v>3</v>
      </c>
      <c r="I74" s="53"/>
      <c r="J74" s="52">
        <f>$J$5</f>
        <v>4</v>
      </c>
      <c r="K74" s="53"/>
      <c r="L74" s="52">
        <f>$L$5</f>
        <v>5</v>
      </c>
      <c r="M74" s="53"/>
      <c r="N74" s="52">
        <f>$N$5</f>
        <v>6</v>
      </c>
      <c r="O74" s="53"/>
      <c r="P74" s="52">
        <f>$P$5</f>
        <v>9</v>
      </c>
      <c r="Q74" s="53"/>
      <c r="R74" s="52">
        <f>$R$5</f>
        <v>10</v>
      </c>
      <c r="S74" s="53"/>
      <c r="T74" s="52">
        <f>$T$5</f>
        <v>11</v>
      </c>
      <c r="U74" s="53"/>
      <c r="V74" s="52">
        <f>$V$5</f>
        <v>12</v>
      </c>
      <c r="W74" s="53"/>
      <c r="X74" s="52">
        <f>$X$5</f>
        <v>13</v>
      </c>
      <c r="Y74" s="53"/>
      <c r="Z74" s="52">
        <f>$Z$5</f>
        <v>16</v>
      </c>
      <c r="AA74" s="53"/>
      <c r="AB74" s="52">
        <f>$AB$5</f>
        <v>17</v>
      </c>
      <c r="AC74" s="53"/>
      <c r="AD74" s="52">
        <f>$AD$5</f>
        <v>18</v>
      </c>
      <c r="AE74" s="53"/>
      <c r="AF74" s="52">
        <f>$AF$5</f>
        <v>19</v>
      </c>
      <c r="AG74" s="53"/>
      <c r="AH74" s="52">
        <f>$AH$5</f>
        <v>20</v>
      </c>
      <c r="AI74" s="53"/>
      <c r="AJ74" s="52">
        <f>$AJ$5</f>
        <v>23</v>
      </c>
      <c r="AK74" s="53"/>
      <c r="AL74" s="52">
        <f>$AL$5</f>
        <v>24</v>
      </c>
      <c r="AM74" s="53"/>
      <c r="AN74" s="52">
        <f>$AN$5</f>
        <v>25</v>
      </c>
      <c r="AO74" s="53"/>
      <c r="AP74" s="52">
        <f>$AP$5</f>
        <v>26</v>
      </c>
      <c r="AQ74" s="53"/>
      <c r="AR74" s="52">
        <f>$AR$5</f>
        <v>27</v>
      </c>
      <c r="AS74" s="53"/>
      <c r="AT74" s="52">
        <f>$AT$5</f>
        <v>0</v>
      </c>
      <c r="AU74" s="53"/>
      <c r="AV74" s="52">
        <f>$AV$5</f>
        <v>0</v>
      </c>
      <c r="AW74" s="53"/>
      <c r="AX74" s="52">
        <f>$AX$5</f>
        <v>0</v>
      </c>
      <c r="AY74" s="53"/>
      <c r="AZ74" s="52">
        <f>$AZ$5</f>
        <v>0</v>
      </c>
      <c r="BA74" s="53"/>
      <c r="BB74" s="52">
        <f>$BB$5</f>
        <v>0</v>
      </c>
      <c r="BC74" s="53"/>
    </row>
    <row r="75" spans="1:55" x14ac:dyDescent="0.3">
      <c r="A75" s="62"/>
      <c r="B75" s="62"/>
      <c r="C75" s="62"/>
      <c r="D75" s="62"/>
      <c r="E75" s="62"/>
      <c r="F75" s="5" t="s">
        <v>14</v>
      </c>
      <c r="G75" s="5" t="s">
        <v>15</v>
      </c>
      <c r="H75" s="5" t="s">
        <v>14</v>
      </c>
      <c r="I75" s="5" t="s">
        <v>15</v>
      </c>
      <c r="J75" s="5" t="s">
        <v>14</v>
      </c>
      <c r="K75" s="5" t="s">
        <v>15</v>
      </c>
      <c r="L75" s="5" t="s">
        <v>14</v>
      </c>
      <c r="M75" s="5" t="s">
        <v>15</v>
      </c>
      <c r="N75" s="5" t="s">
        <v>14</v>
      </c>
      <c r="O75" s="5" t="s">
        <v>15</v>
      </c>
      <c r="P75" s="5" t="s">
        <v>14</v>
      </c>
      <c r="Q75" s="5" t="s">
        <v>15</v>
      </c>
      <c r="R75" s="5" t="s">
        <v>14</v>
      </c>
      <c r="S75" s="5" t="s">
        <v>15</v>
      </c>
      <c r="T75" s="5" t="s">
        <v>14</v>
      </c>
      <c r="U75" s="5" t="s">
        <v>15</v>
      </c>
      <c r="V75" s="5" t="s">
        <v>14</v>
      </c>
      <c r="W75" s="5" t="s">
        <v>15</v>
      </c>
      <c r="X75" s="5" t="s">
        <v>14</v>
      </c>
      <c r="Y75" s="5" t="s">
        <v>15</v>
      </c>
      <c r="Z75" s="5" t="s">
        <v>14</v>
      </c>
      <c r="AA75" s="5" t="s">
        <v>15</v>
      </c>
      <c r="AB75" s="5" t="s">
        <v>14</v>
      </c>
      <c r="AC75" s="5" t="s">
        <v>15</v>
      </c>
      <c r="AD75" s="5" t="s">
        <v>14</v>
      </c>
      <c r="AE75" s="5" t="s">
        <v>15</v>
      </c>
      <c r="AF75" s="5" t="s">
        <v>14</v>
      </c>
      <c r="AG75" s="5" t="s">
        <v>15</v>
      </c>
      <c r="AH75" s="5" t="s">
        <v>14</v>
      </c>
      <c r="AI75" s="5" t="s">
        <v>15</v>
      </c>
      <c r="AJ75" s="5" t="s">
        <v>14</v>
      </c>
      <c r="AK75" s="5" t="s">
        <v>15</v>
      </c>
      <c r="AL75" s="5" t="s">
        <v>14</v>
      </c>
      <c r="AM75" s="5" t="s">
        <v>15</v>
      </c>
      <c r="AN75" s="5" t="s">
        <v>14</v>
      </c>
      <c r="AO75" s="5" t="s">
        <v>15</v>
      </c>
      <c r="AP75" s="5" t="s">
        <v>14</v>
      </c>
      <c r="AQ75" s="5" t="s">
        <v>15</v>
      </c>
      <c r="AR75" s="5" t="s">
        <v>14</v>
      </c>
      <c r="AS75" s="5" t="s">
        <v>15</v>
      </c>
      <c r="AT75" s="5" t="s">
        <v>14</v>
      </c>
      <c r="AU75" s="5" t="s">
        <v>15</v>
      </c>
      <c r="AV75" s="5" t="s">
        <v>14</v>
      </c>
      <c r="AW75" s="5" t="s">
        <v>15</v>
      </c>
      <c r="AX75" s="5" t="s">
        <v>14</v>
      </c>
      <c r="AY75" s="5" t="s">
        <v>15</v>
      </c>
      <c r="AZ75" s="5" t="s">
        <v>14</v>
      </c>
      <c r="BA75" s="5" t="s">
        <v>15</v>
      </c>
      <c r="BB75" s="5" t="s">
        <v>14</v>
      </c>
      <c r="BC75" s="5" t="s">
        <v>15</v>
      </c>
    </row>
    <row r="76" spans="1:55" s="23" customFormat="1" ht="17.25" customHeight="1" x14ac:dyDescent="0.3">
      <c r="A76" s="6">
        <v>1</v>
      </c>
      <c r="B76" s="7" t="s">
        <v>16</v>
      </c>
      <c r="C76" s="7" t="s">
        <v>100</v>
      </c>
      <c r="D76" s="7" t="s">
        <v>320</v>
      </c>
      <c r="E76" s="8" t="s">
        <v>148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</row>
    <row r="77" spans="1:55" s="23" customFormat="1" ht="17.25" customHeight="1" x14ac:dyDescent="0.3">
      <c r="A77" s="6">
        <v>2</v>
      </c>
      <c r="B77" s="7" t="s">
        <v>321</v>
      </c>
      <c r="C77" s="7" t="s">
        <v>69</v>
      </c>
      <c r="D77" s="7" t="s">
        <v>322</v>
      </c>
      <c r="E77" s="8" t="s">
        <v>323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</row>
    <row r="78" spans="1:55" s="23" customFormat="1" ht="17.25" customHeight="1" x14ac:dyDescent="0.3">
      <c r="A78" s="6">
        <v>3</v>
      </c>
      <c r="B78" s="7" t="s">
        <v>321</v>
      </c>
      <c r="C78" s="7" t="s">
        <v>69</v>
      </c>
      <c r="D78" s="7" t="s">
        <v>324</v>
      </c>
      <c r="E78" s="8" t="s">
        <v>325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</row>
    <row r="79" spans="1:55" s="23" customFormat="1" ht="17.25" customHeight="1" x14ac:dyDescent="0.3">
      <c r="A79" s="6">
        <v>4</v>
      </c>
      <c r="B79" s="7" t="s">
        <v>213</v>
      </c>
      <c r="C79" s="7" t="s">
        <v>159</v>
      </c>
      <c r="D79" s="7" t="s">
        <v>214</v>
      </c>
      <c r="E79" s="8" t="s">
        <v>92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</row>
    <row r="80" spans="1:55" s="23" customFormat="1" ht="17.25" customHeight="1" x14ac:dyDescent="0.3">
      <c r="A80" s="6">
        <v>5</v>
      </c>
      <c r="B80" s="7" t="s">
        <v>299</v>
      </c>
      <c r="C80" s="7" t="s">
        <v>125</v>
      </c>
      <c r="D80" s="7" t="s">
        <v>300</v>
      </c>
      <c r="E80" s="8" t="s">
        <v>323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</row>
    <row r="81" spans="1:55" s="23" customFormat="1" ht="17.25" customHeight="1" x14ac:dyDescent="0.3">
      <c r="A81" s="6">
        <v>6</v>
      </c>
      <c r="B81" s="7" t="s">
        <v>215</v>
      </c>
      <c r="C81" s="7" t="s">
        <v>147</v>
      </c>
      <c r="D81" s="7" t="s">
        <v>216</v>
      </c>
      <c r="E81" s="8" t="s">
        <v>326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</row>
    <row r="82" spans="1:55" s="23" customFormat="1" ht="17.25" customHeight="1" x14ac:dyDescent="0.3">
      <c r="A82" s="6">
        <v>7</v>
      </c>
      <c r="B82" s="7" t="s">
        <v>178</v>
      </c>
      <c r="C82" s="7" t="s">
        <v>179</v>
      </c>
      <c r="D82" s="7" t="s">
        <v>327</v>
      </c>
      <c r="E82" s="8" t="s">
        <v>148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</row>
    <row r="83" spans="1:55" s="23" customFormat="1" ht="17.25" customHeight="1" x14ac:dyDescent="0.3">
      <c r="A83" s="6">
        <v>8</v>
      </c>
      <c r="B83" s="7" t="s">
        <v>178</v>
      </c>
      <c r="C83" s="7" t="s">
        <v>179</v>
      </c>
      <c r="D83" s="7" t="s">
        <v>328</v>
      </c>
      <c r="E83" s="8" t="s">
        <v>329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</row>
    <row r="84" spans="1:55" s="23" customFormat="1" ht="17.25" customHeight="1" x14ac:dyDescent="0.3">
      <c r="A84" s="6">
        <v>9</v>
      </c>
      <c r="B84" s="7" t="s">
        <v>30</v>
      </c>
      <c r="C84" s="7" t="s">
        <v>139</v>
      </c>
      <c r="D84" s="7" t="s">
        <v>217</v>
      </c>
      <c r="E84" s="8" t="s">
        <v>92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</row>
    <row r="85" spans="1:55" s="23" customFormat="1" ht="17.25" customHeight="1" x14ac:dyDescent="0.3">
      <c r="A85" s="6">
        <v>10</v>
      </c>
      <c r="B85" s="7" t="s">
        <v>330</v>
      </c>
      <c r="C85" s="7" t="s">
        <v>236</v>
      </c>
      <c r="D85" s="7" t="s">
        <v>331</v>
      </c>
      <c r="E85" s="8" t="s">
        <v>187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</row>
    <row r="86" spans="1:55" s="23" customFormat="1" ht="17.25" customHeight="1" x14ac:dyDescent="0.3">
      <c r="A86" s="6">
        <v>11</v>
      </c>
      <c r="B86" s="7" t="s">
        <v>38</v>
      </c>
      <c r="C86" s="7" t="s">
        <v>72</v>
      </c>
      <c r="D86" s="7" t="s">
        <v>73</v>
      </c>
      <c r="E86" s="8" t="s">
        <v>58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</row>
    <row r="87" spans="1:55" ht="17.25" customHeight="1" x14ac:dyDescent="0.3">
      <c r="A87" s="6">
        <v>12</v>
      </c>
      <c r="B87" s="7" t="s">
        <v>104</v>
      </c>
      <c r="C87" s="7" t="s">
        <v>62</v>
      </c>
      <c r="D87" s="7" t="s">
        <v>161</v>
      </c>
      <c r="E87" s="8" t="s">
        <v>325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</row>
    <row r="88" spans="1:55" ht="17.25" customHeight="1" x14ac:dyDescent="0.3">
      <c r="A88" s="6">
        <v>13</v>
      </c>
      <c r="B88" s="7" t="s">
        <v>218</v>
      </c>
      <c r="C88" s="7" t="s">
        <v>219</v>
      </c>
      <c r="D88" s="7" t="s">
        <v>220</v>
      </c>
      <c r="E88" s="8" t="s">
        <v>54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</row>
    <row r="89" spans="1:55" ht="17.25" customHeight="1" x14ac:dyDescent="0.3">
      <c r="A89" s="10">
        <v>14</v>
      </c>
      <c r="B89" s="7" t="s">
        <v>143</v>
      </c>
      <c r="C89" s="7" t="s">
        <v>219</v>
      </c>
      <c r="D89" s="7" t="s">
        <v>222</v>
      </c>
      <c r="E89" s="7" t="s">
        <v>329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</row>
    <row r="90" spans="1:55" x14ac:dyDescent="0.3">
      <c r="A90" s="37"/>
      <c r="B90" s="12"/>
      <c r="C90" s="12"/>
      <c r="D90" s="12"/>
      <c r="E90" s="12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3">
      <c r="A91" s="18"/>
      <c r="B91" s="19"/>
      <c r="C91" s="19"/>
      <c r="D91" s="19"/>
      <c r="E91" s="20"/>
    </row>
    <row r="92" spans="1:55" x14ac:dyDescent="0.3">
      <c r="A92" s="18"/>
      <c r="B92" s="19"/>
      <c r="C92" s="19"/>
      <c r="D92" s="19"/>
      <c r="E92" s="20"/>
    </row>
    <row r="93" spans="1:55" x14ac:dyDescent="0.3">
      <c r="A93" s="18"/>
      <c r="B93" s="19"/>
      <c r="C93" s="19"/>
      <c r="D93" s="19"/>
      <c r="E93" s="20"/>
    </row>
    <row r="94" spans="1:55" x14ac:dyDescent="0.3">
      <c r="A94" s="18"/>
      <c r="B94" s="19"/>
      <c r="C94" s="19"/>
      <c r="D94" s="19"/>
      <c r="E94" s="20"/>
    </row>
    <row r="95" spans="1:55" x14ac:dyDescent="0.3">
      <c r="A95" s="18"/>
      <c r="B95" s="19"/>
      <c r="C95" s="19"/>
      <c r="D95" s="19"/>
      <c r="E95" s="20"/>
    </row>
    <row r="96" spans="1:55" x14ac:dyDescent="0.3">
      <c r="A96" s="18"/>
      <c r="B96" s="19"/>
      <c r="C96" s="19"/>
      <c r="D96" s="19"/>
      <c r="E96" s="20"/>
    </row>
    <row r="97" spans="1:55" x14ac:dyDescent="0.3">
      <c r="A97" s="18"/>
      <c r="B97" s="19"/>
      <c r="C97" s="19"/>
      <c r="D97" s="19"/>
      <c r="E97" s="20"/>
    </row>
    <row r="98" spans="1:55" x14ac:dyDescent="0.3">
      <c r="A98" s="18"/>
      <c r="B98" s="19"/>
      <c r="C98" s="19"/>
      <c r="D98" s="19"/>
      <c r="E98" s="20"/>
    </row>
    <row r="99" spans="1:55" x14ac:dyDescent="0.3">
      <c r="A99" s="18"/>
      <c r="B99" s="19"/>
      <c r="C99" s="19"/>
      <c r="D99" s="19"/>
      <c r="E99" s="20"/>
    </row>
    <row r="100" spans="1:55" x14ac:dyDescent="0.3">
      <c r="A100" s="18"/>
      <c r="B100" s="19"/>
      <c r="C100" s="19"/>
      <c r="D100" s="19"/>
      <c r="E100" s="20"/>
    </row>
    <row r="101" spans="1:55" x14ac:dyDescent="0.3">
      <c r="A101" s="18"/>
      <c r="B101" s="19"/>
      <c r="C101" s="19"/>
      <c r="D101" s="19"/>
      <c r="E101" s="20"/>
      <c r="F101" s="54" t="s">
        <v>47</v>
      </c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16"/>
      <c r="Z101" s="16"/>
      <c r="AA101" s="16"/>
      <c r="AB101" s="16"/>
      <c r="AC101" s="16"/>
      <c r="AD101" s="16"/>
      <c r="AE101" s="16"/>
      <c r="AF101" s="54" t="str">
        <f>C72</f>
        <v>Sr. Edving Perez Ochoa</v>
      </c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</row>
    <row r="102" spans="1:55" x14ac:dyDescent="0.3">
      <c r="A102" s="18"/>
      <c r="B102" s="19"/>
      <c r="C102" s="19"/>
      <c r="D102" s="19"/>
      <c r="E102" s="20"/>
      <c r="AF102" s="55" t="s">
        <v>74</v>
      </c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</row>
    <row r="103" spans="1:55" x14ac:dyDescent="0.3">
      <c r="A103" s="18"/>
      <c r="B103" s="19"/>
      <c r="C103" s="19"/>
      <c r="D103" s="19"/>
      <c r="E103" s="20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</row>
    <row r="104" spans="1:55" x14ac:dyDescent="0.3">
      <c r="A104" s="18"/>
      <c r="B104" s="19"/>
      <c r="C104" s="19"/>
      <c r="D104" s="19"/>
      <c r="E104" s="20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</row>
    <row r="105" spans="1:55" ht="30" customHeight="1" x14ac:dyDescent="0.3">
      <c r="A105" s="56" t="s">
        <v>0</v>
      </c>
      <c r="B105" s="57"/>
      <c r="C105" s="57"/>
      <c r="D105" s="57"/>
      <c r="E105" s="24">
        <v>4</v>
      </c>
      <c r="F105" s="58" t="s">
        <v>1</v>
      </c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</row>
    <row r="106" spans="1:55" x14ac:dyDescent="0.3">
      <c r="A106" s="65" t="s">
        <v>2</v>
      </c>
      <c r="B106" s="66"/>
      <c r="C106" s="3">
        <f>VLOOKUP(BUS_04,[1]DATOS!$B$9:$G$28,5)</f>
        <v>2</v>
      </c>
      <c r="D106" s="59" t="str">
        <f>VLOOKUP(BUS_04,[1]DATOS!$B$9:$G$28,6)</f>
        <v>FEBRERO</v>
      </c>
      <c r="E106" s="59"/>
      <c r="F106" s="67" t="str">
        <f>$F$2</f>
        <v>MARZO</v>
      </c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</row>
    <row r="107" spans="1:55" x14ac:dyDescent="0.3">
      <c r="A107" s="61" t="s">
        <v>3</v>
      </c>
      <c r="B107" s="59"/>
      <c r="C107" s="59" t="str">
        <f>VLOOKUP(BUS_04,[1]DATOS!$B$9:$G$28,2)</f>
        <v xml:space="preserve">Sr. Juan Carlos Callisaya </v>
      </c>
      <c r="D107" s="59"/>
      <c r="E107" s="4"/>
      <c r="F107" s="69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</row>
    <row r="108" spans="1:55" x14ac:dyDescent="0.3">
      <c r="A108" s="61" t="s">
        <v>4</v>
      </c>
      <c r="B108" s="59"/>
      <c r="C108" s="59">
        <f>VLOOKUP(BUS_04,[1]DATOS!$B$9:$G$28,4)</f>
        <v>69870177</v>
      </c>
      <c r="D108" s="59"/>
      <c r="E108" s="4"/>
      <c r="F108" s="64" t="s">
        <v>5</v>
      </c>
      <c r="G108" s="64"/>
      <c r="H108" s="64" t="s">
        <v>6</v>
      </c>
      <c r="I108" s="64"/>
      <c r="J108" s="64" t="s">
        <v>6</v>
      </c>
      <c r="K108" s="64"/>
      <c r="L108" s="64" t="s">
        <v>7</v>
      </c>
      <c r="M108" s="64"/>
      <c r="N108" s="64" t="s">
        <v>8</v>
      </c>
      <c r="O108" s="64"/>
      <c r="P108" s="64" t="s">
        <v>5</v>
      </c>
      <c r="Q108" s="64"/>
      <c r="R108" s="64" t="s">
        <v>6</v>
      </c>
      <c r="S108" s="64"/>
      <c r="T108" s="64" t="s">
        <v>6</v>
      </c>
      <c r="U108" s="64"/>
      <c r="V108" s="64" t="s">
        <v>7</v>
      </c>
      <c r="W108" s="64"/>
      <c r="X108" s="64" t="s">
        <v>8</v>
      </c>
      <c r="Y108" s="64"/>
      <c r="Z108" s="64" t="s">
        <v>5</v>
      </c>
      <c r="AA108" s="64"/>
      <c r="AB108" s="64" t="s">
        <v>6</v>
      </c>
      <c r="AC108" s="64"/>
      <c r="AD108" s="64" t="s">
        <v>6</v>
      </c>
      <c r="AE108" s="64"/>
      <c r="AF108" s="64" t="s">
        <v>7</v>
      </c>
      <c r="AG108" s="64"/>
      <c r="AH108" s="64" t="s">
        <v>8</v>
      </c>
      <c r="AI108" s="64"/>
      <c r="AJ108" s="64" t="s">
        <v>5</v>
      </c>
      <c r="AK108" s="64"/>
      <c r="AL108" s="64" t="s">
        <v>6</v>
      </c>
      <c r="AM108" s="64"/>
      <c r="AN108" s="64" t="s">
        <v>6</v>
      </c>
      <c r="AO108" s="64"/>
      <c r="AP108" s="64" t="s">
        <v>7</v>
      </c>
      <c r="AQ108" s="64"/>
      <c r="AR108" s="64" t="s">
        <v>8</v>
      </c>
      <c r="AS108" s="64"/>
      <c r="AT108" s="64" t="s">
        <v>5</v>
      </c>
      <c r="AU108" s="64"/>
      <c r="AV108" s="64" t="s">
        <v>6</v>
      </c>
      <c r="AW108" s="64"/>
      <c r="AX108" s="64" t="s">
        <v>6</v>
      </c>
      <c r="AY108" s="64"/>
      <c r="AZ108" s="64" t="s">
        <v>7</v>
      </c>
      <c r="BA108" s="64"/>
      <c r="BB108" s="64" t="s">
        <v>8</v>
      </c>
      <c r="BC108" s="64"/>
    </row>
    <row r="109" spans="1:55" x14ac:dyDescent="0.3">
      <c r="A109" s="62" t="s">
        <v>9</v>
      </c>
      <c r="B109" s="62" t="s">
        <v>10</v>
      </c>
      <c r="C109" s="62" t="s">
        <v>11</v>
      </c>
      <c r="D109" s="62" t="s">
        <v>12</v>
      </c>
      <c r="E109" s="62" t="s">
        <v>13</v>
      </c>
      <c r="F109" s="63">
        <f>$F$5</f>
        <v>2</v>
      </c>
      <c r="G109" s="63"/>
      <c r="H109" s="52">
        <f>$H$5</f>
        <v>3</v>
      </c>
      <c r="I109" s="53"/>
      <c r="J109" s="52">
        <f>$J$5</f>
        <v>4</v>
      </c>
      <c r="K109" s="53"/>
      <c r="L109" s="52">
        <f>$L$5</f>
        <v>5</v>
      </c>
      <c r="M109" s="53"/>
      <c r="N109" s="52">
        <f>$N$5</f>
        <v>6</v>
      </c>
      <c r="O109" s="53"/>
      <c r="P109" s="52">
        <f>$P$5</f>
        <v>9</v>
      </c>
      <c r="Q109" s="53"/>
      <c r="R109" s="52">
        <f>$R$5</f>
        <v>10</v>
      </c>
      <c r="S109" s="53"/>
      <c r="T109" s="52">
        <f>$T$5</f>
        <v>11</v>
      </c>
      <c r="U109" s="53"/>
      <c r="V109" s="52">
        <f>$V$5</f>
        <v>12</v>
      </c>
      <c r="W109" s="53"/>
      <c r="X109" s="52">
        <f>$X$5</f>
        <v>13</v>
      </c>
      <c r="Y109" s="53"/>
      <c r="Z109" s="52">
        <f>$Z$5</f>
        <v>16</v>
      </c>
      <c r="AA109" s="53"/>
      <c r="AB109" s="52">
        <f>$AB$5</f>
        <v>17</v>
      </c>
      <c r="AC109" s="53"/>
      <c r="AD109" s="52">
        <f>$AD$5</f>
        <v>18</v>
      </c>
      <c r="AE109" s="53"/>
      <c r="AF109" s="52">
        <f>$AF$5</f>
        <v>19</v>
      </c>
      <c r="AG109" s="53"/>
      <c r="AH109" s="52">
        <f>$AH$5</f>
        <v>20</v>
      </c>
      <c r="AI109" s="53"/>
      <c r="AJ109" s="52">
        <f>$AJ$5</f>
        <v>23</v>
      </c>
      <c r="AK109" s="53"/>
      <c r="AL109" s="52">
        <f>$AL$5</f>
        <v>24</v>
      </c>
      <c r="AM109" s="53"/>
      <c r="AN109" s="52">
        <f>$AN$5</f>
        <v>25</v>
      </c>
      <c r="AO109" s="53"/>
      <c r="AP109" s="52">
        <f>$AP$5</f>
        <v>26</v>
      </c>
      <c r="AQ109" s="53"/>
      <c r="AR109" s="52">
        <f>$AR$5</f>
        <v>27</v>
      </c>
      <c r="AS109" s="53"/>
      <c r="AT109" s="52">
        <f>$AT$5</f>
        <v>0</v>
      </c>
      <c r="AU109" s="53"/>
      <c r="AV109" s="52">
        <f>$AV$5</f>
        <v>0</v>
      </c>
      <c r="AW109" s="53"/>
      <c r="AX109" s="52">
        <f>$AX$5</f>
        <v>0</v>
      </c>
      <c r="AY109" s="53"/>
      <c r="AZ109" s="52">
        <f>$AZ$5</f>
        <v>0</v>
      </c>
      <c r="BA109" s="53"/>
      <c r="BB109" s="52">
        <f>$BB$5</f>
        <v>0</v>
      </c>
      <c r="BC109" s="53"/>
    </row>
    <row r="110" spans="1:55" x14ac:dyDescent="0.3">
      <c r="A110" s="62"/>
      <c r="B110" s="62"/>
      <c r="C110" s="62"/>
      <c r="D110" s="62"/>
      <c r="E110" s="62"/>
      <c r="F110" s="5" t="s">
        <v>14</v>
      </c>
      <c r="G110" s="5" t="s">
        <v>15</v>
      </c>
      <c r="H110" s="5" t="s">
        <v>14</v>
      </c>
      <c r="I110" s="5" t="s">
        <v>15</v>
      </c>
      <c r="J110" s="5" t="s">
        <v>14</v>
      </c>
      <c r="K110" s="5" t="s">
        <v>15</v>
      </c>
      <c r="L110" s="5" t="s">
        <v>14</v>
      </c>
      <c r="M110" s="5" t="s">
        <v>15</v>
      </c>
      <c r="N110" s="5" t="s">
        <v>14</v>
      </c>
      <c r="O110" s="5" t="s">
        <v>15</v>
      </c>
      <c r="P110" s="5" t="s">
        <v>14</v>
      </c>
      <c r="Q110" s="5" t="s">
        <v>15</v>
      </c>
      <c r="R110" s="5" t="s">
        <v>14</v>
      </c>
      <c r="S110" s="5" t="s">
        <v>15</v>
      </c>
      <c r="T110" s="5" t="s">
        <v>14</v>
      </c>
      <c r="U110" s="5" t="s">
        <v>15</v>
      </c>
      <c r="V110" s="5" t="s">
        <v>14</v>
      </c>
      <c r="W110" s="5" t="s">
        <v>15</v>
      </c>
      <c r="X110" s="5" t="s">
        <v>14</v>
      </c>
      <c r="Y110" s="5" t="s">
        <v>15</v>
      </c>
      <c r="Z110" s="5" t="s">
        <v>14</v>
      </c>
      <c r="AA110" s="5" t="s">
        <v>15</v>
      </c>
      <c r="AB110" s="5" t="s">
        <v>14</v>
      </c>
      <c r="AC110" s="5" t="s">
        <v>15</v>
      </c>
      <c r="AD110" s="5" t="s">
        <v>14</v>
      </c>
      <c r="AE110" s="5" t="s">
        <v>15</v>
      </c>
      <c r="AF110" s="5" t="s">
        <v>14</v>
      </c>
      <c r="AG110" s="5" t="s">
        <v>15</v>
      </c>
      <c r="AH110" s="5" t="s">
        <v>14</v>
      </c>
      <c r="AI110" s="5" t="s">
        <v>15</v>
      </c>
      <c r="AJ110" s="5" t="s">
        <v>14</v>
      </c>
      <c r="AK110" s="5" t="s">
        <v>15</v>
      </c>
      <c r="AL110" s="5" t="s">
        <v>14</v>
      </c>
      <c r="AM110" s="5" t="s">
        <v>15</v>
      </c>
      <c r="AN110" s="5" t="s">
        <v>14</v>
      </c>
      <c r="AO110" s="5" t="s">
        <v>15</v>
      </c>
      <c r="AP110" s="5" t="s">
        <v>14</v>
      </c>
      <c r="AQ110" s="5" t="s">
        <v>15</v>
      </c>
      <c r="AR110" s="5" t="s">
        <v>14</v>
      </c>
      <c r="AS110" s="5" t="s">
        <v>15</v>
      </c>
      <c r="AT110" s="5" t="s">
        <v>14</v>
      </c>
      <c r="AU110" s="5" t="s">
        <v>15</v>
      </c>
      <c r="AV110" s="5" t="s">
        <v>14</v>
      </c>
      <c r="AW110" s="5" t="s">
        <v>15</v>
      </c>
      <c r="AX110" s="5" t="s">
        <v>14</v>
      </c>
      <c r="AY110" s="5" t="s">
        <v>15</v>
      </c>
      <c r="AZ110" s="5" t="s">
        <v>14</v>
      </c>
      <c r="BA110" s="5" t="s">
        <v>15</v>
      </c>
      <c r="BB110" s="5" t="s">
        <v>14</v>
      </c>
      <c r="BC110" s="5" t="s">
        <v>15</v>
      </c>
    </row>
    <row r="111" spans="1:55" s="23" customFormat="1" ht="17.25" customHeight="1" x14ac:dyDescent="0.3">
      <c r="A111" s="6">
        <v>1</v>
      </c>
      <c r="B111" s="7" t="s">
        <v>30</v>
      </c>
      <c r="C111" s="7" t="s">
        <v>177</v>
      </c>
      <c r="D111" s="7" t="s">
        <v>601</v>
      </c>
      <c r="E111" s="8" t="s">
        <v>232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</row>
    <row r="112" spans="1:55" s="23" customFormat="1" ht="17.25" customHeight="1" x14ac:dyDescent="0.3">
      <c r="A112" s="6">
        <v>2</v>
      </c>
      <c r="B112" s="7" t="s">
        <v>244</v>
      </c>
      <c r="C112" s="7" t="s">
        <v>332</v>
      </c>
      <c r="D112" s="43" t="s">
        <v>333</v>
      </c>
      <c r="E112" s="8" t="s">
        <v>334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</row>
    <row r="113" spans="1:55" s="23" customFormat="1" ht="17.25" customHeight="1" x14ac:dyDescent="0.3">
      <c r="A113" s="47">
        <v>3</v>
      </c>
      <c r="B113" s="22" t="s">
        <v>163</v>
      </c>
      <c r="C113" s="45" t="s">
        <v>20</v>
      </c>
      <c r="D113" s="22" t="s">
        <v>602</v>
      </c>
      <c r="E113" s="45" t="s">
        <v>335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</row>
    <row r="114" spans="1:55" s="23" customFormat="1" ht="17.25" customHeight="1" x14ac:dyDescent="0.3">
      <c r="A114" s="47">
        <v>4</v>
      </c>
      <c r="B114" s="22" t="s">
        <v>163</v>
      </c>
      <c r="C114" s="45" t="s">
        <v>20</v>
      </c>
      <c r="D114" s="22" t="s">
        <v>603</v>
      </c>
      <c r="E114" s="46" t="s">
        <v>343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</row>
    <row r="115" spans="1:55" s="23" customFormat="1" ht="17.25" customHeight="1" x14ac:dyDescent="0.3">
      <c r="A115" s="6">
        <v>5</v>
      </c>
      <c r="B115" s="7" t="s">
        <v>20</v>
      </c>
      <c r="C115" s="44" t="s">
        <v>22</v>
      </c>
      <c r="D115" s="44" t="s">
        <v>154</v>
      </c>
      <c r="E115" s="8" t="s">
        <v>335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</row>
    <row r="116" spans="1:55" s="23" customFormat="1" ht="17.25" customHeight="1" x14ac:dyDescent="0.3">
      <c r="A116" s="6">
        <v>6</v>
      </c>
      <c r="B116" s="7" t="s">
        <v>284</v>
      </c>
      <c r="C116" s="7" t="s">
        <v>285</v>
      </c>
      <c r="D116" s="7" t="s">
        <v>286</v>
      </c>
      <c r="E116" s="8" t="s">
        <v>336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</row>
    <row r="117" spans="1:55" s="23" customFormat="1" ht="17.25" customHeight="1" x14ac:dyDescent="0.3">
      <c r="A117" s="6">
        <v>7</v>
      </c>
      <c r="B117" s="7" t="s">
        <v>64</v>
      </c>
      <c r="C117" s="7" t="s">
        <v>22</v>
      </c>
      <c r="D117" s="7" t="s">
        <v>65</v>
      </c>
      <c r="E117" s="8" t="s">
        <v>224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</row>
    <row r="118" spans="1:55" s="23" customFormat="1" ht="17.25" customHeight="1" x14ac:dyDescent="0.3">
      <c r="A118" s="6">
        <v>8</v>
      </c>
      <c r="B118" s="7" t="s">
        <v>64</v>
      </c>
      <c r="C118" s="7" t="s">
        <v>22</v>
      </c>
      <c r="D118" s="7" t="s">
        <v>66</v>
      </c>
      <c r="E118" s="8" t="s">
        <v>337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</row>
    <row r="119" spans="1:55" s="23" customFormat="1" ht="17.25" customHeight="1" x14ac:dyDescent="0.3">
      <c r="A119" s="6">
        <v>9</v>
      </c>
      <c r="B119" s="25" t="s">
        <v>287</v>
      </c>
      <c r="C119" s="25" t="s">
        <v>288</v>
      </c>
      <c r="D119" s="25" t="s">
        <v>289</v>
      </c>
      <c r="E119" s="8" t="s">
        <v>232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</row>
    <row r="120" spans="1:55" s="23" customFormat="1" ht="17.25" customHeight="1" x14ac:dyDescent="0.3">
      <c r="A120" s="6">
        <v>10</v>
      </c>
      <c r="B120" s="7" t="s">
        <v>338</v>
      </c>
      <c r="C120" s="7" t="s">
        <v>296</v>
      </c>
      <c r="D120" s="7" t="s">
        <v>297</v>
      </c>
      <c r="E120" s="8" t="s">
        <v>232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</row>
    <row r="121" spans="1:55" s="23" customFormat="1" ht="17.25" customHeight="1" x14ac:dyDescent="0.3">
      <c r="A121" s="6">
        <v>11</v>
      </c>
      <c r="B121" s="7" t="s">
        <v>338</v>
      </c>
      <c r="C121" s="7" t="s">
        <v>296</v>
      </c>
      <c r="D121" s="7" t="s">
        <v>339</v>
      </c>
      <c r="E121" s="8" t="s">
        <v>340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</row>
    <row r="122" spans="1:55" ht="17.25" customHeight="1" x14ac:dyDescent="0.3">
      <c r="A122" s="6">
        <v>12</v>
      </c>
      <c r="B122" s="7" t="s">
        <v>341</v>
      </c>
      <c r="C122" s="7" t="s">
        <v>77</v>
      </c>
      <c r="D122" s="7" t="s">
        <v>342</v>
      </c>
      <c r="E122" s="8" t="s">
        <v>343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</row>
    <row r="123" spans="1:55" ht="17.25" customHeight="1" x14ac:dyDescent="0.3">
      <c r="A123" s="6">
        <v>13</v>
      </c>
      <c r="B123" s="7" t="s">
        <v>344</v>
      </c>
      <c r="C123" s="7" t="s">
        <v>233</v>
      </c>
      <c r="D123" s="7" t="s">
        <v>345</v>
      </c>
      <c r="E123" s="7" t="s">
        <v>96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</row>
    <row r="124" spans="1:55" ht="17.25" customHeight="1" x14ac:dyDescent="0.3">
      <c r="A124" s="6">
        <v>14</v>
      </c>
      <c r="B124" s="7" t="s">
        <v>344</v>
      </c>
      <c r="C124" s="7" t="s">
        <v>233</v>
      </c>
      <c r="D124" s="7" t="s">
        <v>346</v>
      </c>
      <c r="E124" s="7" t="s">
        <v>227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</row>
    <row r="125" spans="1:55" ht="17.25" customHeight="1" x14ac:dyDescent="0.3">
      <c r="A125" s="6">
        <v>15</v>
      </c>
      <c r="B125" s="7" t="s">
        <v>143</v>
      </c>
      <c r="C125" s="7" t="s">
        <v>298</v>
      </c>
      <c r="D125" s="7" t="s">
        <v>277</v>
      </c>
      <c r="E125" s="7" t="s">
        <v>334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</row>
    <row r="126" spans="1:55" x14ac:dyDescent="0.3">
      <c r="A126" s="26"/>
      <c r="B126" s="19"/>
      <c r="C126" s="19"/>
      <c r="D126" s="19"/>
      <c r="E126" s="20"/>
    </row>
    <row r="127" spans="1:55" x14ac:dyDescent="0.3">
      <c r="A127" s="26"/>
      <c r="B127" s="19"/>
      <c r="C127" s="19"/>
      <c r="D127" s="19"/>
      <c r="E127" s="20"/>
    </row>
    <row r="128" spans="1:55" x14ac:dyDescent="0.3">
      <c r="A128" s="26"/>
      <c r="B128" s="19"/>
      <c r="C128" s="19"/>
      <c r="D128" s="19"/>
      <c r="E128" s="20"/>
    </row>
    <row r="129" spans="1:55" x14ac:dyDescent="0.3">
      <c r="A129" s="26"/>
      <c r="B129" s="19"/>
      <c r="C129" s="19"/>
      <c r="D129" s="19"/>
      <c r="E129" s="20"/>
    </row>
    <row r="130" spans="1:55" x14ac:dyDescent="0.3">
      <c r="A130" s="26"/>
      <c r="B130" s="19"/>
      <c r="C130" s="19"/>
      <c r="D130" s="19"/>
      <c r="E130" s="20"/>
    </row>
    <row r="131" spans="1:55" x14ac:dyDescent="0.3">
      <c r="A131" s="26"/>
      <c r="B131" s="19"/>
      <c r="C131" s="19"/>
      <c r="D131" s="19"/>
      <c r="E131" s="20"/>
    </row>
    <row r="132" spans="1:55" x14ac:dyDescent="0.3">
      <c r="A132" s="26"/>
      <c r="B132" s="19"/>
      <c r="C132" s="19"/>
      <c r="D132" s="19"/>
      <c r="E132" s="20"/>
    </row>
    <row r="133" spans="1:55" x14ac:dyDescent="0.3">
      <c r="A133" s="26"/>
      <c r="B133" s="19"/>
      <c r="C133" s="19"/>
      <c r="D133" s="19"/>
      <c r="E133" s="20"/>
    </row>
    <row r="134" spans="1:55" x14ac:dyDescent="0.3">
      <c r="A134" s="26"/>
      <c r="B134" s="19"/>
      <c r="C134" s="19"/>
      <c r="D134" s="19"/>
      <c r="E134" s="20"/>
    </row>
    <row r="135" spans="1:55" x14ac:dyDescent="0.3">
      <c r="A135" s="26"/>
      <c r="B135" s="19"/>
      <c r="C135" s="19"/>
      <c r="D135" s="19"/>
      <c r="E135" s="20"/>
      <c r="F135" s="54" t="s">
        <v>47</v>
      </c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16"/>
      <c r="Z135" s="16"/>
      <c r="AA135" s="16"/>
      <c r="AB135" s="16"/>
      <c r="AC135" s="16"/>
      <c r="AD135" s="16"/>
      <c r="AE135" s="16"/>
      <c r="AF135" s="54" t="str">
        <f>C107</f>
        <v xml:space="preserve">Sr. Juan Carlos Callisaya </v>
      </c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</row>
    <row r="136" spans="1:55" ht="15.75" customHeight="1" x14ac:dyDescent="0.3">
      <c r="A136" s="26"/>
      <c r="B136" s="19"/>
      <c r="C136" s="19"/>
      <c r="D136" s="19"/>
      <c r="E136" s="20"/>
      <c r="AF136" s="55" t="s">
        <v>86</v>
      </c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</row>
    <row r="137" spans="1:55" ht="15.75" customHeight="1" x14ac:dyDescent="0.3">
      <c r="A137" s="26"/>
      <c r="B137" s="19"/>
      <c r="C137" s="19"/>
      <c r="D137" s="19"/>
      <c r="E137" s="20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</row>
    <row r="138" spans="1:55" x14ac:dyDescent="0.3">
      <c r="A138" s="26"/>
      <c r="B138" s="19"/>
      <c r="C138" s="19"/>
      <c r="D138" s="19"/>
      <c r="E138" s="20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</row>
    <row r="139" spans="1:55" x14ac:dyDescent="0.3">
      <c r="A139" s="26"/>
      <c r="B139" s="19"/>
      <c r="C139" s="19"/>
      <c r="D139" s="19"/>
      <c r="E139" s="20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</row>
    <row r="140" spans="1:55" ht="30" customHeight="1" x14ac:dyDescent="0.3">
      <c r="A140" s="56" t="s">
        <v>0</v>
      </c>
      <c r="B140" s="57"/>
      <c r="C140" s="57"/>
      <c r="D140" s="57"/>
      <c r="E140" s="21">
        <v>5</v>
      </c>
      <c r="F140" s="58" t="s">
        <v>1</v>
      </c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</row>
    <row r="141" spans="1:55" ht="15" customHeight="1" x14ac:dyDescent="0.3">
      <c r="A141" s="65" t="s">
        <v>2</v>
      </c>
      <c r="B141" s="66"/>
      <c r="C141" s="3">
        <f>VLOOKUP(BUS_05,[1]DATOS!$B$9:$G$28,5)</f>
        <v>2</v>
      </c>
      <c r="D141" s="59" t="str">
        <f>VLOOKUP(BUS_05,[1]DATOS!$B$9:$G$28,6)</f>
        <v>FEBRERO</v>
      </c>
      <c r="E141" s="59"/>
      <c r="F141" s="60" t="str">
        <f>$F$2</f>
        <v>MARZO</v>
      </c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</row>
    <row r="142" spans="1:55" ht="15" customHeight="1" x14ac:dyDescent="0.3">
      <c r="A142" s="61" t="s">
        <v>3</v>
      </c>
      <c r="B142" s="59"/>
      <c r="C142" s="59" t="str">
        <f>VLOOKUP(BUS_05,[1]DATOS!$B$9:$G$28,2)</f>
        <v>Sr. Jose Luis Gamboa Mendoza</v>
      </c>
      <c r="D142" s="59"/>
      <c r="E142" s="4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</row>
    <row r="143" spans="1:55" x14ac:dyDescent="0.3">
      <c r="A143" s="61" t="s">
        <v>4</v>
      </c>
      <c r="B143" s="59"/>
      <c r="C143" s="59">
        <f>VLOOKUP(BUS_05,[1]DATOS!$B$9:$G$28,4)</f>
        <v>73232725</v>
      </c>
      <c r="D143" s="59"/>
      <c r="E143" s="4"/>
      <c r="F143" s="64" t="s">
        <v>5</v>
      </c>
      <c r="G143" s="64"/>
      <c r="H143" s="64" t="s">
        <v>6</v>
      </c>
      <c r="I143" s="64"/>
      <c r="J143" s="64" t="s">
        <v>6</v>
      </c>
      <c r="K143" s="64"/>
      <c r="L143" s="64" t="s">
        <v>7</v>
      </c>
      <c r="M143" s="64"/>
      <c r="N143" s="64" t="s">
        <v>8</v>
      </c>
      <c r="O143" s="64"/>
      <c r="P143" s="64" t="s">
        <v>5</v>
      </c>
      <c r="Q143" s="64"/>
      <c r="R143" s="64" t="s">
        <v>6</v>
      </c>
      <c r="S143" s="64"/>
      <c r="T143" s="64" t="s">
        <v>6</v>
      </c>
      <c r="U143" s="64"/>
      <c r="V143" s="64" t="s">
        <v>7</v>
      </c>
      <c r="W143" s="64"/>
      <c r="X143" s="64" t="s">
        <v>8</v>
      </c>
      <c r="Y143" s="64"/>
      <c r="Z143" s="64" t="s">
        <v>5</v>
      </c>
      <c r="AA143" s="64"/>
      <c r="AB143" s="64" t="s">
        <v>6</v>
      </c>
      <c r="AC143" s="64"/>
      <c r="AD143" s="64" t="s">
        <v>6</v>
      </c>
      <c r="AE143" s="64"/>
      <c r="AF143" s="64" t="s">
        <v>7</v>
      </c>
      <c r="AG143" s="64"/>
      <c r="AH143" s="64" t="s">
        <v>8</v>
      </c>
      <c r="AI143" s="64"/>
      <c r="AJ143" s="64" t="s">
        <v>5</v>
      </c>
      <c r="AK143" s="64"/>
      <c r="AL143" s="64" t="s">
        <v>6</v>
      </c>
      <c r="AM143" s="64"/>
      <c r="AN143" s="64" t="s">
        <v>6</v>
      </c>
      <c r="AO143" s="64"/>
      <c r="AP143" s="64" t="s">
        <v>7</v>
      </c>
      <c r="AQ143" s="64"/>
      <c r="AR143" s="64" t="s">
        <v>8</v>
      </c>
      <c r="AS143" s="64"/>
      <c r="AT143" s="64" t="s">
        <v>5</v>
      </c>
      <c r="AU143" s="64"/>
      <c r="AV143" s="64" t="s">
        <v>6</v>
      </c>
      <c r="AW143" s="64"/>
      <c r="AX143" s="64" t="s">
        <v>6</v>
      </c>
      <c r="AY143" s="64"/>
      <c r="AZ143" s="64" t="s">
        <v>7</v>
      </c>
      <c r="BA143" s="64"/>
      <c r="BB143" s="64" t="s">
        <v>8</v>
      </c>
      <c r="BC143" s="64"/>
    </row>
    <row r="144" spans="1:55" x14ac:dyDescent="0.3">
      <c r="A144" s="62" t="s">
        <v>9</v>
      </c>
      <c r="B144" s="62" t="s">
        <v>10</v>
      </c>
      <c r="C144" s="62" t="s">
        <v>11</v>
      </c>
      <c r="D144" s="62" t="s">
        <v>12</v>
      </c>
      <c r="E144" s="62" t="s">
        <v>13</v>
      </c>
      <c r="F144" s="63">
        <f>$F$5</f>
        <v>2</v>
      </c>
      <c r="G144" s="63"/>
      <c r="H144" s="52">
        <f>$H$5</f>
        <v>3</v>
      </c>
      <c r="I144" s="53"/>
      <c r="J144" s="52">
        <f>$J$5</f>
        <v>4</v>
      </c>
      <c r="K144" s="53"/>
      <c r="L144" s="52">
        <f>$L$5</f>
        <v>5</v>
      </c>
      <c r="M144" s="53"/>
      <c r="N144" s="52">
        <f>$N$5</f>
        <v>6</v>
      </c>
      <c r="O144" s="53"/>
      <c r="P144" s="52">
        <f>$P$5</f>
        <v>9</v>
      </c>
      <c r="Q144" s="53"/>
      <c r="R144" s="52">
        <f>$R$5</f>
        <v>10</v>
      </c>
      <c r="S144" s="53"/>
      <c r="T144" s="52">
        <f>$T$5</f>
        <v>11</v>
      </c>
      <c r="U144" s="53"/>
      <c r="V144" s="52">
        <f>$V$5</f>
        <v>12</v>
      </c>
      <c r="W144" s="53"/>
      <c r="X144" s="52">
        <f>$X$5</f>
        <v>13</v>
      </c>
      <c r="Y144" s="53"/>
      <c r="Z144" s="52">
        <f>$Z$5</f>
        <v>16</v>
      </c>
      <c r="AA144" s="53"/>
      <c r="AB144" s="52">
        <f>$AB$5</f>
        <v>17</v>
      </c>
      <c r="AC144" s="53"/>
      <c r="AD144" s="52">
        <f>$AD$5</f>
        <v>18</v>
      </c>
      <c r="AE144" s="53"/>
      <c r="AF144" s="52">
        <f>$AF$5</f>
        <v>19</v>
      </c>
      <c r="AG144" s="53"/>
      <c r="AH144" s="52">
        <f>$AH$5</f>
        <v>20</v>
      </c>
      <c r="AI144" s="53"/>
      <c r="AJ144" s="52">
        <f>$AJ$5</f>
        <v>23</v>
      </c>
      <c r="AK144" s="53"/>
      <c r="AL144" s="52">
        <f>$AL$5</f>
        <v>24</v>
      </c>
      <c r="AM144" s="53"/>
      <c r="AN144" s="52">
        <f>$AN$5</f>
        <v>25</v>
      </c>
      <c r="AO144" s="53"/>
      <c r="AP144" s="52">
        <f>$AP$5</f>
        <v>26</v>
      </c>
      <c r="AQ144" s="53"/>
      <c r="AR144" s="52">
        <f>$AR$5</f>
        <v>27</v>
      </c>
      <c r="AS144" s="53"/>
      <c r="AT144" s="52">
        <f>$AT$5</f>
        <v>0</v>
      </c>
      <c r="AU144" s="53"/>
      <c r="AV144" s="52">
        <f>$AV$5</f>
        <v>0</v>
      </c>
      <c r="AW144" s="53"/>
      <c r="AX144" s="52">
        <f>$AX$5</f>
        <v>0</v>
      </c>
      <c r="AY144" s="53"/>
      <c r="AZ144" s="52">
        <f>$AZ$5</f>
        <v>0</v>
      </c>
      <c r="BA144" s="53"/>
      <c r="BB144" s="52">
        <f>$BB$5</f>
        <v>0</v>
      </c>
      <c r="BC144" s="53"/>
    </row>
    <row r="145" spans="1:55" x14ac:dyDescent="0.3">
      <c r="A145" s="62"/>
      <c r="B145" s="62"/>
      <c r="C145" s="62"/>
      <c r="D145" s="62"/>
      <c r="E145" s="62"/>
      <c r="F145" s="5" t="s">
        <v>14</v>
      </c>
      <c r="G145" s="5" t="s">
        <v>15</v>
      </c>
      <c r="H145" s="5" t="s">
        <v>14</v>
      </c>
      <c r="I145" s="5" t="s">
        <v>15</v>
      </c>
      <c r="J145" s="5" t="s">
        <v>14</v>
      </c>
      <c r="K145" s="5" t="s">
        <v>15</v>
      </c>
      <c r="L145" s="5" t="s">
        <v>14</v>
      </c>
      <c r="M145" s="5" t="s">
        <v>15</v>
      </c>
      <c r="N145" s="5" t="s">
        <v>14</v>
      </c>
      <c r="O145" s="5" t="s">
        <v>15</v>
      </c>
      <c r="P145" s="5" t="s">
        <v>14</v>
      </c>
      <c r="Q145" s="5" t="s">
        <v>15</v>
      </c>
      <c r="R145" s="5" t="s">
        <v>14</v>
      </c>
      <c r="S145" s="5" t="s">
        <v>15</v>
      </c>
      <c r="T145" s="5" t="s">
        <v>14</v>
      </c>
      <c r="U145" s="5" t="s">
        <v>15</v>
      </c>
      <c r="V145" s="5" t="s">
        <v>14</v>
      </c>
      <c r="W145" s="5" t="s">
        <v>15</v>
      </c>
      <c r="X145" s="5" t="s">
        <v>14</v>
      </c>
      <c r="Y145" s="5" t="s">
        <v>15</v>
      </c>
      <c r="Z145" s="5" t="s">
        <v>14</v>
      </c>
      <c r="AA145" s="5" t="s">
        <v>15</v>
      </c>
      <c r="AB145" s="5" t="s">
        <v>14</v>
      </c>
      <c r="AC145" s="5" t="s">
        <v>15</v>
      </c>
      <c r="AD145" s="5" t="s">
        <v>14</v>
      </c>
      <c r="AE145" s="5" t="s">
        <v>15</v>
      </c>
      <c r="AF145" s="5" t="s">
        <v>14</v>
      </c>
      <c r="AG145" s="5" t="s">
        <v>15</v>
      </c>
      <c r="AH145" s="5" t="s">
        <v>14</v>
      </c>
      <c r="AI145" s="5" t="s">
        <v>15</v>
      </c>
      <c r="AJ145" s="5" t="s">
        <v>14</v>
      </c>
      <c r="AK145" s="5" t="s">
        <v>15</v>
      </c>
      <c r="AL145" s="5" t="s">
        <v>14</v>
      </c>
      <c r="AM145" s="5" t="s">
        <v>15</v>
      </c>
      <c r="AN145" s="5" t="s">
        <v>14</v>
      </c>
      <c r="AO145" s="5" t="s">
        <v>15</v>
      </c>
      <c r="AP145" s="5" t="s">
        <v>14</v>
      </c>
      <c r="AQ145" s="5" t="s">
        <v>15</v>
      </c>
      <c r="AR145" s="5" t="s">
        <v>14</v>
      </c>
      <c r="AS145" s="5" t="s">
        <v>15</v>
      </c>
      <c r="AT145" s="5" t="s">
        <v>14</v>
      </c>
      <c r="AU145" s="5" t="s">
        <v>15</v>
      </c>
      <c r="AV145" s="5" t="s">
        <v>14</v>
      </c>
      <c r="AW145" s="5" t="s">
        <v>15</v>
      </c>
      <c r="AX145" s="5" t="s">
        <v>14</v>
      </c>
      <c r="AY145" s="5" t="s">
        <v>15</v>
      </c>
      <c r="AZ145" s="5" t="s">
        <v>14</v>
      </c>
      <c r="BA145" s="5" t="s">
        <v>15</v>
      </c>
      <c r="BB145" s="5" t="s">
        <v>14</v>
      </c>
      <c r="BC145" s="5" t="s">
        <v>15</v>
      </c>
    </row>
    <row r="146" spans="1:55" s="23" customFormat="1" ht="17.25" customHeight="1" x14ac:dyDescent="0.3">
      <c r="A146" s="6">
        <v>1</v>
      </c>
      <c r="B146" s="7" t="s">
        <v>16</v>
      </c>
      <c r="C146" s="7" t="s">
        <v>16</v>
      </c>
      <c r="D146" s="7" t="s">
        <v>87</v>
      </c>
      <c r="E146" s="8" t="s">
        <v>96</v>
      </c>
      <c r="F146" s="30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</row>
    <row r="147" spans="1:55" s="23" customFormat="1" ht="17.25" customHeight="1" x14ac:dyDescent="0.3">
      <c r="A147" s="6">
        <v>2</v>
      </c>
      <c r="B147" s="7" t="s">
        <v>88</v>
      </c>
      <c r="C147" s="7" t="s">
        <v>80</v>
      </c>
      <c r="D147" s="7" t="s">
        <v>89</v>
      </c>
      <c r="E147" s="8" t="s">
        <v>59</v>
      </c>
      <c r="F147" s="30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</row>
    <row r="148" spans="1:55" s="23" customFormat="1" ht="17.25" customHeight="1" x14ac:dyDescent="0.3">
      <c r="A148" s="6">
        <v>3</v>
      </c>
      <c r="B148" s="7" t="s">
        <v>88</v>
      </c>
      <c r="C148" s="7" t="s">
        <v>80</v>
      </c>
      <c r="D148" s="7" t="s">
        <v>90</v>
      </c>
      <c r="E148" s="8" t="s">
        <v>58</v>
      </c>
      <c r="F148" s="30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</row>
    <row r="149" spans="1:55" s="23" customFormat="1" ht="17.25" customHeight="1" x14ac:dyDescent="0.3">
      <c r="A149" s="6">
        <v>4</v>
      </c>
      <c r="B149" s="7" t="s">
        <v>88</v>
      </c>
      <c r="C149" s="7" t="s">
        <v>80</v>
      </c>
      <c r="D149" s="7" t="s">
        <v>91</v>
      </c>
      <c r="E149" s="8" t="s">
        <v>60</v>
      </c>
      <c r="F149" s="30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</row>
    <row r="150" spans="1:55" s="23" customFormat="1" ht="17.25" customHeight="1" x14ac:dyDescent="0.3">
      <c r="A150" s="6">
        <v>5</v>
      </c>
      <c r="B150" s="7" t="s">
        <v>88</v>
      </c>
      <c r="C150" s="7" t="s">
        <v>80</v>
      </c>
      <c r="D150" s="7" t="s">
        <v>167</v>
      </c>
      <c r="E150" s="8" t="s">
        <v>204</v>
      </c>
      <c r="F150" s="30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</row>
    <row r="151" spans="1:55" s="23" customFormat="1" ht="17.25" customHeight="1" x14ac:dyDescent="0.3">
      <c r="A151" s="6">
        <v>6</v>
      </c>
      <c r="B151" s="7" t="s">
        <v>69</v>
      </c>
      <c r="C151" s="7" t="s">
        <v>69</v>
      </c>
      <c r="D151" s="7" t="s">
        <v>347</v>
      </c>
      <c r="E151" s="8" t="s">
        <v>54</v>
      </c>
      <c r="F151" s="30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</row>
    <row r="152" spans="1:55" s="23" customFormat="1" ht="17.25" customHeight="1" x14ac:dyDescent="0.3">
      <c r="A152" s="6">
        <v>7</v>
      </c>
      <c r="B152" s="7" t="s">
        <v>93</v>
      </c>
      <c r="C152" s="7" t="s">
        <v>94</v>
      </c>
      <c r="D152" s="7" t="s">
        <v>95</v>
      </c>
      <c r="E152" s="8" t="s">
        <v>78</v>
      </c>
      <c r="F152" s="30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</row>
    <row r="153" spans="1:55" s="23" customFormat="1" ht="17.25" customHeight="1" x14ac:dyDescent="0.3">
      <c r="A153" s="6">
        <v>8</v>
      </c>
      <c r="B153" s="7" t="s">
        <v>93</v>
      </c>
      <c r="C153" s="7" t="s">
        <v>94</v>
      </c>
      <c r="D153" s="7" t="s">
        <v>97</v>
      </c>
      <c r="E153" s="8" t="s">
        <v>59</v>
      </c>
      <c r="F153" s="30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</row>
    <row r="154" spans="1:55" s="23" customFormat="1" ht="17.25" customHeight="1" x14ac:dyDescent="0.3">
      <c r="A154" s="6">
        <v>9</v>
      </c>
      <c r="B154" s="7" t="s">
        <v>348</v>
      </c>
      <c r="C154" s="7" t="s">
        <v>113</v>
      </c>
      <c r="D154" s="7" t="s">
        <v>349</v>
      </c>
      <c r="E154" s="8" t="s">
        <v>166</v>
      </c>
      <c r="F154" s="30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</row>
    <row r="155" spans="1:55" s="23" customFormat="1" ht="17.25" customHeight="1" x14ac:dyDescent="0.3">
      <c r="A155" s="6">
        <v>10</v>
      </c>
      <c r="B155" s="7" t="s">
        <v>98</v>
      </c>
      <c r="C155" s="7" t="s">
        <v>16</v>
      </c>
      <c r="D155" s="7" t="s">
        <v>99</v>
      </c>
      <c r="E155" s="27" t="s">
        <v>60</v>
      </c>
      <c r="F155" s="30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</row>
    <row r="156" spans="1:55" s="23" customFormat="1" ht="17.25" customHeight="1" x14ac:dyDescent="0.3">
      <c r="A156" s="6">
        <v>11</v>
      </c>
      <c r="B156" s="7" t="s">
        <v>100</v>
      </c>
      <c r="C156" s="7" t="s">
        <v>101</v>
      </c>
      <c r="D156" s="7" t="s">
        <v>102</v>
      </c>
      <c r="E156" s="27" t="s">
        <v>60</v>
      </c>
      <c r="F156" s="30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</row>
    <row r="157" spans="1:55" s="23" customFormat="1" ht="17.25" customHeight="1" x14ac:dyDescent="0.3">
      <c r="A157" s="6">
        <v>12</v>
      </c>
      <c r="B157" s="7" t="s">
        <v>234</v>
      </c>
      <c r="C157" s="7" t="s">
        <v>350</v>
      </c>
      <c r="D157" s="7" t="s">
        <v>235</v>
      </c>
      <c r="E157" s="27" t="s">
        <v>75</v>
      </c>
      <c r="F157" s="30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</row>
    <row r="158" spans="1:55" ht="17.25" customHeight="1" x14ac:dyDescent="0.3">
      <c r="A158" s="6">
        <v>13</v>
      </c>
      <c r="B158" s="7" t="s">
        <v>104</v>
      </c>
      <c r="C158" s="28" t="s">
        <v>77</v>
      </c>
      <c r="D158" s="7" t="s">
        <v>105</v>
      </c>
      <c r="E158" s="28" t="s">
        <v>92</v>
      </c>
      <c r="F158" s="30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</row>
    <row r="159" spans="1:55" ht="17.25" customHeight="1" x14ac:dyDescent="0.3">
      <c r="A159" s="6">
        <v>14</v>
      </c>
      <c r="B159" s="7" t="s">
        <v>119</v>
      </c>
      <c r="C159" s="28" t="s">
        <v>21</v>
      </c>
      <c r="D159" s="7" t="s">
        <v>351</v>
      </c>
      <c r="E159" s="28" t="s">
        <v>352</v>
      </c>
      <c r="F159" s="30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</row>
    <row r="160" spans="1:55" ht="17.25" customHeight="1" x14ac:dyDescent="0.3">
      <c r="A160" s="6">
        <v>15</v>
      </c>
      <c r="B160" s="7" t="s">
        <v>119</v>
      </c>
      <c r="C160" s="7" t="s">
        <v>21</v>
      </c>
      <c r="D160" s="7" t="s">
        <v>168</v>
      </c>
      <c r="E160" s="7" t="s">
        <v>353</v>
      </c>
      <c r="F160" s="30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</row>
    <row r="161" spans="1:55" x14ac:dyDescent="0.3">
      <c r="A161" s="11"/>
      <c r="B161" s="12"/>
      <c r="C161" s="33"/>
      <c r="D161" s="12"/>
      <c r="E161" s="3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3">
      <c r="A162" s="18"/>
      <c r="B162" s="19"/>
      <c r="C162" s="19"/>
      <c r="D162" s="19"/>
      <c r="E162" s="29"/>
    </row>
    <row r="163" spans="1:55" x14ac:dyDescent="0.3">
      <c r="A163" s="18"/>
      <c r="B163" s="19"/>
      <c r="C163" s="19"/>
      <c r="D163" s="19"/>
      <c r="E163" s="29"/>
    </row>
    <row r="164" spans="1:55" x14ac:dyDescent="0.3">
      <c r="A164" s="18"/>
      <c r="B164" s="19"/>
      <c r="C164" s="19"/>
      <c r="D164" s="19"/>
      <c r="E164" s="29"/>
    </row>
    <row r="165" spans="1:55" x14ac:dyDescent="0.3">
      <c r="A165" s="18"/>
      <c r="B165" s="19"/>
      <c r="C165" s="19"/>
      <c r="D165" s="19"/>
      <c r="E165" s="29"/>
    </row>
    <row r="166" spans="1:55" x14ac:dyDescent="0.3">
      <c r="A166" s="18"/>
      <c r="B166" s="19"/>
      <c r="C166" s="19"/>
      <c r="D166" s="19"/>
      <c r="E166" s="29"/>
    </row>
    <row r="167" spans="1:55" x14ac:dyDescent="0.3">
      <c r="A167" s="18"/>
      <c r="B167" s="19"/>
      <c r="C167" s="19"/>
      <c r="D167" s="19"/>
      <c r="E167" s="29"/>
    </row>
    <row r="168" spans="1:55" x14ac:dyDescent="0.3">
      <c r="A168" s="18"/>
      <c r="B168" s="19"/>
      <c r="C168" s="19"/>
      <c r="D168" s="19"/>
      <c r="E168" s="29"/>
    </row>
    <row r="169" spans="1:55" x14ac:dyDescent="0.3">
      <c r="A169" s="18"/>
      <c r="B169" s="19"/>
      <c r="C169" s="19"/>
      <c r="D169" s="19"/>
      <c r="E169" s="29"/>
    </row>
    <row r="170" spans="1:55" x14ac:dyDescent="0.3">
      <c r="A170" s="18"/>
      <c r="B170" s="19"/>
      <c r="C170" s="19"/>
      <c r="D170" s="19"/>
      <c r="E170" s="29"/>
    </row>
    <row r="171" spans="1:55" x14ac:dyDescent="0.3">
      <c r="A171" s="18"/>
      <c r="B171" s="19"/>
      <c r="C171" s="19"/>
      <c r="D171" s="19"/>
      <c r="E171" s="29"/>
      <c r="F171" s="54" t="s">
        <v>47</v>
      </c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16"/>
      <c r="Z171" s="16"/>
      <c r="AA171" s="16"/>
      <c r="AB171" s="16"/>
      <c r="AC171" s="16"/>
      <c r="AD171" s="16"/>
      <c r="AE171" s="16"/>
      <c r="AF171" s="54" t="str">
        <f>C142</f>
        <v>Sr. Jose Luis Gamboa Mendoza</v>
      </c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</row>
    <row r="172" spans="1:55" x14ac:dyDescent="0.3">
      <c r="A172" s="18"/>
      <c r="B172" s="19"/>
      <c r="C172" s="19"/>
      <c r="D172" s="19"/>
      <c r="E172" s="29"/>
      <c r="AF172" s="55" t="s">
        <v>107</v>
      </c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</row>
    <row r="173" spans="1:55" x14ac:dyDescent="0.3">
      <c r="A173" s="18"/>
      <c r="B173" s="19"/>
      <c r="C173" s="19"/>
      <c r="D173" s="19"/>
      <c r="E173" s="29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</row>
    <row r="174" spans="1:55" x14ac:dyDescent="0.3">
      <c r="A174" s="18"/>
      <c r="B174" s="19"/>
      <c r="C174" s="19"/>
      <c r="D174" s="19"/>
      <c r="E174" s="29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</row>
    <row r="175" spans="1:55" x14ac:dyDescent="0.3">
      <c r="A175" s="18"/>
      <c r="B175" s="19"/>
      <c r="C175" s="19"/>
      <c r="D175" s="19"/>
      <c r="E175" s="29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</row>
    <row r="176" spans="1:55" ht="30" customHeight="1" x14ac:dyDescent="0.3">
      <c r="A176" s="56" t="s">
        <v>0</v>
      </c>
      <c r="B176" s="57"/>
      <c r="C176" s="57"/>
      <c r="D176" s="57"/>
      <c r="E176" s="21">
        <v>6</v>
      </c>
      <c r="F176" s="58" t="s">
        <v>1</v>
      </c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</row>
    <row r="177" spans="1:55" ht="15" customHeight="1" x14ac:dyDescent="0.3">
      <c r="A177" s="65" t="s">
        <v>2</v>
      </c>
      <c r="B177" s="66"/>
      <c r="C177" s="3">
        <f>VLOOKUP(BUS_06,[1]DATOS!$B$9:$G$28,5)</f>
        <v>2</v>
      </c>
      <c r="D177" s="59" t="str">
        <f>VLOOKUP(BUS_06,[1]DATOS!$B$9:$G$28,6)</f>
        <v>FEBRERO</v>
      </c>
      <c r="E177" s="59"/>
      <c r="F177" s="60" t="str">
        <f>$F$2</f>
        <v>MARZO</v>
      </c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</row>
    <row r="178" spans="1:55" ht="15" customHeight="1" x14ac:dyDescent="0.3">
      <c r="A178" s="61" t="s">
        <v>3</v>
      </c>
      <c r="B178" s="59"/>
      <c r="C178" s="59" t="str">
        <f>VLOOKUP(BUS_06,[1]DATOS!$B$9:$G$28,2)</f>
        <v>Sr. Feliciano Mamani Poma</v>
      </c>
      <c r="D178" s="59"/>
      <c r="E178" s="4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</row>
    <row r="179" spans="1:55" x14ac:dyDescent="0.3">
      <c r="A179" s="61" t="s">
        <v>4</v>
      </c>
      <c r="B179" s="59"/>
      <c r="C179" s="59">
        <f>VLOOKUP(BUS_06,[1]DATOS!$B$9:$G$28,4)</f>
        <v>68141350</v>
      </c>
      <c r="D179" s="59"/>
      <c r="E179" s="4"/>
      <c r="F179" s="64" t="s">
        <v>5</v>
      </c>
      <c r="G179" s="64"/>
      <c r="H179" s="64" t="s">
        <v>6</v>
      </c>
      <c r="I179" s="64"/>
      <c r="J179" s="64" t="s">
        <v>6</v>
      </c>
      <c r="K179" s="64"/>
      <c r="L179" s="64" t="s">
        <v>7</v>
      </c>
      <c r="M179" s="64"/>
      <c r="N179" s="64" t="s">
        <v>8</v>
      </c>
      <c r="O179" s="64"/>
      <c r="P179" s="64" t="s">
        <v>5</v>
      </c>
      <c r="Q179" s="64"/>
      <c r="R179" s="64" t="s">
        <v>6</v>
      </c>
      <c r="S179" s="64"/>
      <c r="T179" s="64" t="s">
        <v>6</v>
      </c>
      <c r="U179" s="64"/>
      <c r="V179" s="64" t="s">
        <v>7</v>
      </c>
      <c r="W179" s="64"/>
      <c r="X179" s="64" t="s">
        <v>8</v>
      </c>
      <c r="Y179" s="64"/>
      <c r="Z179" s="64" t="s">
        <v>5</v>
      </c>
      <c r="AA179" s="64"/>
      <c r="AB179" s="64" t="s">
        <v>6</v>
      </c>
      <c r="AC179" s="64"/>
      <c r="AD179" s="64" t="s">
        <v>6</v>
      </c>
      <c r="AE179" s="64"/>
      <c r="AF179" s="64" t="s">
        <v>7</v>
      </c>
      <c r="AG179" s="64"/>
      <c r="AH179" s="64" t="s">
        <v>8</v>
      </c>
      <c r="AI179" s="64"/>
      <c r="AJ179" s="64" t="s">
        <v>5</v>
      </c>
      <c r="AK179" s="64"/>
      <c r="AL179" s="64" t="s">
        <v>6</v>
      </c>
      <c r="AM179" s="64"/>
      <c r="AN179" s="64" t="s">
        <v>6</v>
      </c>
      <c r="AO179" s="64"/>
      <c r="AP179" s="64" t="s">
        <v>7</v>
      </c>
      <c r="AQ179" s="64"/>
      <c r="AR179" s="64" t="s">
        <v>8</v>
      </c>
      <c r="AS179" s="64"/>
      <c r="AT179" s="64" t="s">
        <v>5</v>
      </c>
      <c r="AU179" s="64"/>
      <c r="AV179" s="64" t="s">
        <v>6</v>
      </c>
      <c r="AW179" s="64"/>
      <c r="AX179" s="64" t="s">
        <v>6</v>
      </c>
      <c r="AY179" s="64"/>
      <c r="AZ179" s="64" t="s">
        <v>7</v>
      </c>
      <c r="BA179" s="64"/>
      <c r="BB179" s="64" t="s">
        <v>8</v>
      </c>
      <c r="BC179" s="64"/>
    </row>
    <row r="180" spans="1:55" x14ac:dyDescent="0.3">
      <c r="A180" s="62" t="s">
        <v>9</v>
      </c>
      <c r="B180" s="62" t="s">
        <v>10</v>
      </c>
      <c r="C180" s="62" t="s">
        <v>11</v>
      </c>
      <c r="D180" s="62" t="s">
        <v>12</v>
      </c>
      <c r="E180" s="62" t="s">
        <v>13</v>
      </c>
      <c r="F180" s="63">
        <f>$F$5</f>
        <v>2</v>
      </c>
      <c r="G180" s="63"/>
      <c r="H180" s="52">
        <f>$H$5</f>
        <v>3</v>
      </c>
      <c r="I180" s="53"/>
      <c r="J180" s="52">
        <f>$J$5</f>
        <v>4</v>
      </c>
      <c r="K180" s="53"/>
      <c r="L180" s="52">
        <f>$L$5</f>
        <v>5</v>
      </c>
      <c r="M180" s="53"/>
      <c r="N180" s="52">
        <f>$N$5</f>
        <v>6</v>
      </c>
      <c r="O180" s="53"/>
      <c r="P180" s="52">
        <f>$P$5</f>
        <v>9</v>
      </c>
      <c r="Q180" s="53"/>
      <c r="R180" s="52">
        <f>$R$5</f>
        <v>10</v>
      </c>
      <c r="S180" s="53"/>
      <c r="T180" s="52">
        <f>$T$5</f>
        <v>11</v>
      </c>
      <c r="U180" s="53"/>
      <c r="V180" s="52">
        <f>$V$5</f>
        <v>12</v>
      </c>
      <c r="W180" s="53"/>
      <c r="X180" s="52">
        <f>$X$5</f>
        <v>13</v>
      </c>
      <c r="Y180" s="53"/>
      <c r="Z180" s="52">
        <f>$Z$5</f>
        <v>16</v>
      </c>
      <c r="AA180" s="53"/>
      <c r="AB180" s="52">
        <f>$AB$5</f>
        <v>17</v>
      </c>
      <c r="AC180" s="53"/>
      <c r="AD180" s="52">
        <f>$AD$5</f>
        <v>18</v>
      </c>
      <c r="AE180" s="53"/>
      <c r="AF180" s="52">
        <f>$AF$5</f>
        <v>19</v>
      </c>
      <c r="AG180" s="53"/>
      <c r="AH180" s="52">
        <f>$AH$5</f>
        <v>20</v>
      </c>
      <c r="AI180" s="53"/>
      <c r="AJ180" s="52">
        <f>$AJ$5</f>
        <v>23</v>
      </c>
      <c r="AK180" s="53"/>
      <c r="AL180" s="52">
        <f>$AL$5</f>
        <v>24</v>
      </c>
      <c r="AM180" s="53"/>
      <c r="AN180" s="52">
        <f>$AN$5</f>
        <v>25</v>
      </c>
      <c r="AO180" s="53"/>
      <c r="AP180" s="52">
        <f>$AP$5</f>
        <v>26</v>
      </c>
      <c r="AQ180" s="53"/>
      <c r="AR180" s="52">
        <f>$AR$5</f>
        <v>27</v>
      </c>
      <c r="AS180" s="53"/>
      <c r="AT180" s="52">
        <f>$AT$5</f>
        <v>0</v>
      </c>
      <c r="AU180" s="53"/>
      <c r="AV180" s="52">
        <f>$AV$5</f>
        <v>0</v>
      </c>
      <c r="AW180" s="53"/>
      <c r="AX180" s="52">
        <f>$AX$5</f>
        <v>0</v>
      </c>
      <c r="AY180" s="53"/>
      <c r="AZ180" s="52">
        <f>$AZ$5</f>
        <v>0</v>
      </c>
      <c r="BA180" s="53"/>
      <c r="BB180" s="52">
        <f>$BB$5</f>
        <v>0</v>
      </c>
      <c r="BC180" s="53"/>
    </row>
    <row r="181" spans="1:55" x14ac:dyDescent="0.3">
      <c r="A181" s="62"/>
      <c r="B181" s="62"/>
      <c r="C181" s="62"/>
      <c r="D181" s="62"/>
      <c r="E181" s="62"/>
      <c r="F181" s="5" t="s">
        <v>14</v>
      </c>
      <c r="G181" s="5" t="s">
        <v>15</v>
      </c>
      <c r="H181" s="5" t="s">
        <v>14</v>
      </c>
      <c r="I181" s="5" t="s">
        <v>15</v>
      </c>
      <c r="J181" s="5" t="s">
        <v>14</v>
      </c>
      <c r="K181" s="5" t="s">
        <v>15</v>
      </c>
      <c r="L181" s="5" t="s">
        <v>14</v>
      </c>
      <c r="M181" s="5" t="s">
        <v>15</v>
      </c>
      <c r="N181" s="5" t="s">
        <v>14</v>
      </c>
      <c r="O181" s="5" t="s">
        <v>15</v>
      </c>
      <c r="P181" s="5" t="s">
        <v>14</v>
      </c>
      <c r="Q181" s="5" t="s">
        <v>15</v>
      </c>
      <c r="R181" s="5" t="s">
        <v>14</v>
      </c>
      <c r="S181" s="5" t="s">
        <v>15</v>
      </c>
      <c r="T181" s="5" t="s">
        <v>14</v>
      </c>
      <c r="U181" s="5" t="s">
        <v>15</v>
      </c>
      <c r="V181" s="5" t="s">
        <v>14</v>
      </c>
      <c r="W181" s="5" t="s">
        <v>15</v>
      </c>
      <c r="X181" s="5" t="s">
        <v>14</v>
      </c>
      <c r="Y181" s="5" t="s">
        <v>15</v>
      </c>
      <c r="Z181" s="5" t="s">
        <v>14</v>
      </c>
      <c r="AA181" s="5" t="s">
        <v>15</v>
      </c>
      <c r="AB181" s="5" t="s">
        <v>14</v>
      </c>
      <c r="AC181" s="5" t="s">
        <v>15</v>
      </c>
      <c r="AD181" s="5" t="s">
        <v>14</v>
      </c>
      <c r="AE181" s="5" t="s">
        <v>15</v>
      </c>
      <c r="AF181" s="5" t="s">
        <v>14</v>
      </c>
      <c r="AG181" s="5" t="s">
        <v>15</v>
      </c>
      <c r="AH181" s="5" t="s">
        <v>14</v>
      </c>
      <c r="AI181" s="5" t="s">
        <v>15</v>
      </c>
      <c r="AJ181" s="5" t="s">
        <v>14</v>
      </c>
      <c r="AK181" s="5" t="s">
        <v>15</v>
      </c>
      <c r="AL181" s="5" t="s">
        <v>14</v>
      </c>
      <c r="AM181" s="5" t="s">
        <v>15</v>
      </c>
      <c r="AN181" s="5" t="s">
        <v>14</v>
      </c>
      <c r="AO181" s="5" t="s">
        <v>15</v>
      </c>
      <c r="AP181" s="5" t="s">
        <v>14</v>
      </c>
      <c r="AQ181" s="5" t="s">
        <v>15</v>
      </c>
      <c r="AR181" s="5" t="s">
        <v>14</v>
      </c>
      <c r="AS181" s="5" t="s">
        <v>15</v>
      </c>
      <c r="AT181" s="5" t="s">
        <v>14</v>
      </c>
      <c r="AU181" s="5" t="s">
        <v>15</v>
      </c>
      <c r="AV181" s="5" t="s">
        <v>14</v>
      </c>
      <c r="AW181" s="5" t="s">
        <v>15</v>
      </c>
      <c r="AX181" s="5" t="s">
        <v>14</v>
      </c>
      <c r="AY181" s="5" t="s">
        <v>15</v>
      </c>
      <c r="AZ181" s="5" t="s">
        <v>14</v>
      </c>
      <c r="BA181" s="5" t="s">
        <v>15</v>
      </c>
      <c r="BB181" s="5" t="s">
        <v>14</v>
      </c>
      <c r="BC181" s="5" t="s">
        <v>15</v>
      </c>
    </row>
    <row r="182" spans="1:55" s="23" customFormat="1" ht="17.25" customHeight="1" x14ac:dyDescent="0.3">
      <c r="A182" s="38">
        <v>1</v>
      </c>
      <c r="B182" s="39" t="s">
        <v>236</v>
      </c>
      <c r="C182" s="39" t="s">
        <v>43</v>
      </c>
      <c r="D182" s="39" t="s">
        <v>237</v>
      </c>
      <c r="E182" s="40" t="s">
        <v>354</v>
      </c>
      <c r="F182" s="30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</row>
    <row r="183" spans="1:55" s="23" customFormat="1" ht="17.25" customHeight="1" x14ac:dyDescent="0.3">
      <c r="A183" s="38">
        <v>2</v>
      </c>
      <c r="B183" s="39" t="s">
        <v>236</v>
      </c>
      <c r="C183" s="39" t="s">
        <v>43</v>
      </c>
      <c r="D183" s="39" t="s">
        <v>264</v>
      </c>
      <c r="E183" s="40" t="s">
        <v>355</v>
      </c>
      <c r="F183" s="30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</row>
    <row r="184" spans="1:55" s="23" customFormat="1" ht="17.25" customHeight="1" x14ac:dyDescent="0.3">
      <c r="A184" s="38">
        <v>3</v>
      </c>
      <c r="B184" s="39" t="s">
        <v>356</v>
      </c>
      <c r="C184" s="39" t="s">
        <v>357</v>
      </c>
      <c r="D184" s="39" t="s">
        <v>358</v>
      </c>
      <c r="E184" s="40" t="s">
        <v>359</v>
      </c>
      <c r="F184" s="30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</row>
    <row r="185" spans="1:55" s="23" customFormat="1" ht="17.25" customHeight="1" x14ac:dyDescent="0.3">
      <c r="A185" s="38">
        <v>4</v>
      </c>
      <c r="B185" s="39" t="s">
        <v>157</v>
      </c>
      <c r="C185" s="39" t="s">
        <v>169</v>
      </c>
      <c r="D185" s="39" t="s">
        <v>360</v>
      </c>
      <c r="E185" s="40" t="s">
        <v>354</v>
      </c>
      <c r="F185" s="30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</row>
    <row r="186" spans="1:55" s="23" customFormat="1" ht="17.25" customHeight="1" x14ac:dyDescent="0.3">
      <c r="A186" s="38">
        <v>5</v>
      </c>
      <c r="B186" s="39" t="s">
        <v>157</v>
      </c>
      <c r="C186" s="39" t="s">
        <v>169</v>
      </c>
      <c r="D186" s="39" t="s">
        <v>361</v>
      </c>
      <c r="E186" s="40" t="s">
        <v>362</v>
      </c>
      <c r="F186" s="30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</row>
    <row r="187" spans="1:55" s="23" customFormat="1" ht="17.25" customHeight="1" x14ac:dyDescent="0.3">
      <c r="A187" s="38">
        <v>6</v>
      </c>
      <c r="B187" s="39" t="s">
        <v>79</v>
      </c>
      <c r="C187" s="39" t="s">
        <v>100</v>
      </c>
      <c r="D187" s="39" t="s">
        <v>581</v>
      </c>
      <c r="E187" s="40" t="s">
        <v>363</v>
      </c>
      <c r="F187" s="30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</row>
    <row r="188" spans="1:55" s="23" customFormat="1" ht="17.25" customHeight="1" x14ac:dyDescent="0.3">
      <c r="A188" s="38">
        <v>7</v>
      </c>
      <c r="B188" s="39" t="s">
        <v>43</v>
      </c>
      <c r="C188" s="39" t="s">
        <v>238</v>
      </c>
      <c r="D188" s="39" t="s">
        <v>364</v>
      </c>
      <c r="E188" s="40" t="s">
        <v>365</v>
      </c>
      <c r="F188" s="30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</row>
    <row r="189" spans="1:55" s="23" customFormat="1" ht="17.25" customHeight="1" x14ac:dyDescent="0.3">
      <c r="A189" s="38">
        <v>8</v>
      </c>
      <c r="B189" s="39" t="s">
        <v>366</v>
      </c>
      <c r="C189" s="39" t="s">
        <v>367</v>
      </c>
      <c r="D189" s="39" t="s">
        <v>368</v>
      </c>
      <c r="E189" s="40" t="s">
        <v>369</v>
      </c>
      <c r="F189" s="30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</row>
    <row r="190" spans="1:55" s="23" customFormat="1" ht="17.25" customHeight="1" x14ac:dyDescent="0.3">
      <c r="A190" s="38">
        <v>9</v>
      </c>
      <c r="B190" s="39" t="s">
        <v>20</v>
      </c>
      <c r="C190" s="39" t="s">
        <v>130</v>
      </c>
      <c r="D190" s="39" t="s">
        <v>370</v>
      </c>
      <c r="E190" s="40" t="s">
        <v>363</v>
      </c>
      <c r="F190" s="30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</row>
    <row r="191" spans="1:55" s="23" customFormat="1" ht="17.25" customHeight="1" x14ac:dyDescent="0.3">
      <c r="A191" s="38">
        <v>10</v>
      </c>
      <c r="B191" s="39" t="s">
        <v>20</v>
      </c>
      <c r="C191" s="39" t="s">
        <v>130</v>
      </c>
      <c r="D191" s="39" t="s">
        <v>131</v>
      </c>
      <c r="E191" s="40" t="s">
        <v>371</v>
      </c>
      <c r="F191" s="30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</row>
    <row r="192" spans="1:55" s="23" customFormat="1" ht="17.25" customHeight="1" x14ac:dyDescent="0.3">
      <c r="A192" s="38">
        <v>11</v>
      </c>
      <c r="B192" s="39" t="s">
        <v>34</v>
      </c>
      <c r="C192" s="39" t="s">
        <v>43</v>
      </c>
      <c r="D192" s="39" t="s">
        <v>372</v>
      </c>
      <c r="E192" s="40" t="s">
        <v>373</v>
      </c>
      <c r="F192" s="30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</row>
    <row r="193" spans="1:55" s="23" customFormat="1" ht="17.25" customHeight="1" x14ac:dyDescent="0.3">
      <c r="A193" s="38">
        <v>12</v>
      </c>
      <c r="B193" s="39" t="s">
        <v>34</v>
      </c>
      <c r="C193" s="39" t="s">
        <v>43</v>
      </c>
      <c r="D193" s="39" t="s">
        <v>374</v>
      </c>
      <c r="E193" s="40" t="s">
        <v>375</v>
      </c>
      <c r="F193" s="30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</row>
    <row r="194" spans="1:55" s="23" customFormat="1" ht="17.25" customHeight="1" x14ac:dyDescent="0.3">
      <c r="A194" s="38">
        <v>13</v>
      </c>
      <c r="B194" s="39" t="s">
        <v>22</v>
      </c>
      <c r="C194" s="39" t="s">
        <v>136</v>
      </c>
      <c r="D194" s="39" t="s">
        <v>376</v>
      </c>
      <c r="E194" s="40" t="s">
        <v>355</v>
      </c>
      <c r="F194" s="30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</row>
    <row r="195" spans="1:55" s="23" customFormat="1" ht="17.25" customHeight="1" x14ac:dyDescent="0.3">
      <c r="A195" s="38">
        <v>14</v>
      </c>
      <c r="B195" s="39" t="s">
        <v>239</v>
      </c>
      <c r="C195" s="39" t="s">
        <v>240</v>
      </c>
      <c r="D195" s="39" t="s">
        <v>241</v>
      </c>
      <c r="E195" s="40" t="s">
        <v>359</v>
      </c>
      <c r="F195" s="30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</row>
    <row r="196" spans="1:55" x14ac:dyDescent="0.3">
      <c r="A196" s="18"/>
      <c r="B196" s="19"/>
      <c r="C196" s="19"/>
      <c r="D196" s="19"/>
      <c r="E196" s="20"/>
    </row>
    <row r="197" spans="1:55" x14ac:dyDescent="0.3">
      <c r="A197" s="18"/>
      <c r="B197" s="19"/>
      <c r="C197" s="19"/>
      <c r="D197" s="19"/>
      <c r="E197" s="20"/>
    </row>
    <row r="198" spans="1:55" x14ac:dyDescent="0.3">
      <c r="A198" s="18"/>
      <c r="B198" s="19"/>
      <c r="C198" s="19"/>
      <c r="D198" s="19"/>
      <c r="E198" s="20"/>
    </row>
    <row r="199" spans="1:55" x14ac:dyDescent="0.3">
      <c r="A199" s="18"/>
      <c r="B199" s="19"/>
      <c r="C199" s="19"/>
      <c r="D199" s="19"/>
      <c r="E199" s="20"/>
    </row>
    <row r="200" spans="1:55" x14ac:dyDescent="0.3">
      <c r="A200" s="18"/>
      <c r="B200" s="19"/>
      <c r="C200" s="19"/>
      <c r="D200" s="19"/>
      <c r="E200" s="20"/>
    </row>
    <row r="201" spans="1:55" x14ac:dyDescent="0.3">
      <c r="A201" s="18"/>
      <c r="B201" s="19"/>
      <c r="C201" s="19"/>
      <c r="D201" s="19"/>
      <c r="E201" s="20"/>
    </row>
    <row r="202" spans="1:55" x14ac:dyDescent="0.3">
      <c r="A202" s="18"/>
      <c r="B202" s="19"/>
      <c r="C202" s="19"/>
      <c r="D202" s="19"/>
      <c r="E202" s="20"/>
    </row>
    <row r="203" spans="1:55" x14ac:dyDescent="0.3">
      <c r="A203" s="18"/>
      <c r="B203" s="19"/>
      <c r="C203" s="19"/>
      <c r="D203" s="19"/>
      <c r="E203" s="20"/>
    </row>
    <row r="204" spans="1:55" x14ac:dyDescent="0.3">
      <c r="A204" s="18"/>
      <c r="B204" s="19"/>
      <c r="C204" s="19"/>
      <c r="D204" s="19"/>
      <c r="E204" s="20"/>
    </row>
    <row r="205" spans="1:55" x14ac:dyDescent="0.3">
      <c r="A205" s="18"/>
      <c r="B205" s="19"/>
      <c r="C205" s="19"/>
      <c r="D205" s="19"/>
      <c r="E205" s="20"/>
    </row>
    <row r="206" spans="1:55" x14ac:dyDescent="0.3">
      <c r="A206" s="18"/>
      <c r="B206" s="19"/>
      <c r="C206" s="19"/>
      <c r="D206" s="19"/>
      <c r="E206" s="20"/>
      <c r="F206" s="54" t="s">
        <v>47</v>
      </c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16"/>
      <c r="Z206" s="16"/>
      <c r="AA206" s="16"/>
      <c r="AB206" s="16"/>
      <c r="AC206" s="16"/>
      <c r="AD206" s="16"/>
      <c r="AE206" s="16"/>
      <c r="AF206" s="54" t="str">
        <f>C178</f>
        <v>Sr. Feliciano Mamani Poma</v>
      </c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</row>
    <row r="207" spans="1:55" x14ac:dyDescent="0.3">
      <c r="A207" s="18"/>
      <c r="B207" s="19"/>
      <c r="C207" s="19"/>
      <c r="D207" s="19"/>
      <c r="E207" s="20"/>
      <c r="AF207" s="55" t="s">
        <v>115</v>
      </c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</row>
    <row r="208" spans="1:55" x14ac:dyDescent="0.3">
      <c r="A208" s="18"/>
      <c r="B208" s="19"/>
      <c r="C208" s="19"/>
      <c r="D208" s="19"/>
      <c r="E208" s="20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</row>
    <row r="209" spans="1:55" x14ac:dyDescent="0.3">
      <c r="A209" s="18"/>
      <c r="B209" s="19"/>
      <c r="C209" s="19"/>
      <c r="D209" s="19"/>
      <c r="E209" s="20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</row>
    <row r="210" spans="1:55" x14ac:dyDescent="0.3">
      <c r="A210" s="18"/>
      <c r="B210" s="19"/>
      <c r="C210" s="19"/>
      <c r="D210" s="19"/>
      <c r="E210" s="20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</row>
    <row r="211" spans="1:55" ht="30" customHeight="1" x14ac:dyDescent="0.3">
      <c r="A211" s="56" t="s">
        <v>0</v>
      </c>
      <c r="B211" s="57"/>
      <c r="C211" s="57"/>
      <c r="D211" s="57"/>
      <c r="E211" s="21">
        <v>7</v>
      </c>
      <c r="F211" s="58" t="s">
        <v>1</v>
      </c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</row>
    <row r="212" spans="1:55" x14ac:dyDescent="0.3">
      <c r="A212" s="65" t="s">
        <v>2</v>
      </c>
      <c r="B212" s="66"/>
      <c r="C212" s="3">
        <f>VLOOKUP(BUS_07,[1]DATOS!$B$9:$G$28,5)</f>
        <v>2</v>
      </c>
      <c r="D212" s="59" t="str">
        <f>VLOOKUP(BUS_07,[1]DATOS!$B$9:$G$28,6)</f>
        <v>FEBRERO</v>
      </c>
      <c r="E212" s="59"/>
      <c r="F212" s="67" t="str">
        <f>$F$2</f>
        <v>MARZO</v>
      </c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</row>
    <row r="213" spans="1:55" x14ac:dyDescent="0.3">
      <c r="A213" s="61" t="s">
        <v>3</v>
      </c>
      <c r="B213" s="59"/>
      <c r="C213" s="59" t="str">
        <f>VLOOKUP(BUS_07,[1]DATOS!$B$9:$G$28,2)</f>
        <v>Sr. Juan Carlos Chamaca Nina</v>
      </c>
      <c r="D213" s="59"/>
      <c r="E213" s="4"/>
      <c r="F213" s="69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</row>
    <row r="214" spans="1:55" x14ac:dyDescent="0.3">
      <c r="A214" s="61" t="s">
        <v>4</v>
      </c>
      <c r="B214" s="59"/>
      <c r="C214" s="59">
        <f>VLOOKUP(BUS_07,[1]DATOS!$B$9:$G$28,4)</f>
        <v>63041394</v>
      </c>
      <c r="D214" s="59"/>
      <c r="E214" s="4"/>
      <c r="F214" s="64" t="s">
        <v>5</v>
      </c>
      <c r="G214" s="64"/>
      <c r="H214" s="64" t="s">
        <v>6</v>
      </c>
      <c r="I214" s="64"/>
      <c r="J214" s="64" t="s">
        <v>6</v>
      </c>
      <c r="K214" s="64"/>
      <c r="L214" s="64" t="s">
        <v>7</v>
      </c>
      <c r="M214" s="64"/>
      <c r="N214" s="64" t="s">
        <v>8</v>
      </c>
      <c r="O214" s="64"/>
      <c r="P214" s="64" t="s">
        <v>5</v>
      </c>
      <c r="Q214" s="64"/>
      <c r="R214" s="64" t="s">
        <v>6</v>
      </c>
      <c r="S214" s="64"/>
      <c r="T214" s="64" t="s">
        <v>6</v>
      </c>
      <c r="U214" s="64"/>
      <c r="V214" s="64" t="s">
        <v>7</v>
      </c>
      <c r="W214" s="64"/>
      <c r="X214" s="64" t="s">
        <v>8</v>
      </c>
      <c r="Y214" s="64"/>
      <c r="Z214" s="64" t="s">
        <v>5</v>
      </c>
      <c r="AA214" s="64"/>
      <c r="AB214" s="64" t="s">
        <v>6</v>
      </c>
      <c r="AC214" s="64"/>
      <c r="AD214" s="64" t="s">
        <v>6</v>
      </c>
      <c r="AE214" s="64"/>
      <c r="AF214" s="64" t="s">
        <v>7</v>
      </c>
      <c r="AG214" s="64"/>
      <c r="AH214" s="64" t="s">
        <v>8</v>
      </c>
      <c r="AI214" s="64"/>
      <c r="AJ214" s="64" t="s">
        <v>5</v>
      </c>
      <c r="AK214" s="64"/>
      <c r="AL214" s="64" t="s">
        <v>6</v>
      </c>
      <c r="AM214" s="64"/>
      <c r="AN214" s="64" t="s">
        <v>6</v>
      </c>
      <c r="AO214" s="64"/>
      <c r="AP214" s="64" t="s">
        <v>7</v>
      </c>
      <c r="AQ214" s="64"/>
      <c r="AR214" s="64" t="s">
        <v>8</v>
      </c>
      <c r="AS214" s="64"/>
      <c r="AT214" s="64" t="s">
        <v>5</v>
      </c>
      <c r="AU214" s="64"/>
      <c r="AV214" s="64" t="s">
        <v>6</v>
      </c>
      <c r="AW214" s="64"/>
      <c r="AX214" s="64" t="s">
        <v>6</v>
      </c>
      <c r="AY214" s="64"/>
      <c r="AZ214" s="64" t="s">
        <v>7</v>
      </c>
      <c r="BA214" s="64"/>
      <c r="BB214" s="64" t="s">
        <v>8</v>
      </c>
      <c r="BC214" s="64"/>
    </row>
    <row r="215" spans="1:55" x14ac:dyDescent="0.3">
      <c r="A215" s="62" t="s">
        <v>9</v>
      </c>
      <c r="B215" s="62" t="s">
        <v>10</v>
      </c>
      <c r="C215" s="62" t="s">
        <v>11</v>
      </c>
      <c r="D215" s="62" t="s">
        <v>12</v>
      </c>
      <c r="E215" s="62" t="s">
        <v>13</v>
      </c>
      <c r="F215" s="63">
        <f>$F$5</f>
        <v>2</v>
      </c>
      <c r="G215" s="63"/>
      <c r="H215" s="52">
        <f>$H$5</f>
        <v>3</v>
      </c>
      <c r="I215" s="53"/>
      <c r="J215" s="52">
        <f>$J$5</f>
        <v>4</v>
      </c>
      <c r="K215" s="53"/>
      <c r="L215" s="52">
        <f>$L$5</f>
        <v>5</v>
      </c>
      <c r="M215" s="53"/>
      <c r="N215" s="52">
        <f>$N$5</f>
        <v>6</v>
      </c>
      <c r="O215" s="53"/>
      <c r="P215" s="52">
        <f>$P$5</f>
        <v>9</v>
      </c>
      <c r="Q215" s="53"/>
      <c r="R215" s="52">
        <f>$R$5</f>
        <v>10</v>
      </c>
      <c r="S215" s="53"/>
      <c r="T215" s="52">
        <f>$T$5</f>
        <v>11</v>
      </c>
      <c r="U215" s="53"/>
      <c r="V215" s="52">
        <f>$V$5</f>
        <v>12</v>
      </c>
      <c r="W215" s="53"/>
      <c r="X215" s="52">
        <f>$X$5</f>
        <v>13</v>
      </c>
      <c r="Y215" s="53"/>
      <c r="Z215" s="52">
        <f>$Z$5</f>
        <v>16</v>
      </c>
      <c r="AA215" s="53"/>
      <c r="AB215" s="52">
        <f>$AB$5</f>
        <v>17</v>
      </c>
      <c r="AC215" s="53"/>
      <c r="AD215" s="52">
        <f>$AD$5</f>
        <v>18</v>
      </c>
      <c r="AE215" s="53"/>
      <c r="AF215" s="52">
        <f>$AF$5</f>
        <v>19</v>
      </c>
      <c r="AG215" s="53"/>
      <c r="AH215" s="52">
        <f>$AH$5</f>
        <v>20</v>
      </c>
      <c r="AI215" s="53"/>
      <c r="AJ215" s="52">
        <f>$AJ$5</f>
        <v>23</v>
      </c>
      <c r="AK215" s="53"/>
      <c r="AL215" s="52">
        <f>$AL$5</f>
        <v>24</v>
      </c>
      <c r="AM215" s="53"/>
      <c r="AN215" s="52">
        <f>$AN$5</f>
        <v>25</v>
      </c>
      <c r="AO215" s="53"/>
      <c r="AP215" s="52">
        <f>$AP$5</f>
        <v>26</v>
      </c>
      <c r="AQ215" s="53"/>
      <c r="AR215" s="52">
        <f>$AR$5</f>
        <v>27</v>
      </c>
      <c r="AS215" s="53"/>
      <c r="AT215" s="52">
        <f>$AT$5</f>
        <v>0</v>
      </c>
      <c r="AU215" s="53"/>
      <c r="AV215" s="52">
        <f>$AV$5</f>
        <v>0</v>
      </c>
      <c r="AW215" s="53"/>
      <c r="AX215" s="52">
        <f>$AX$5</f>
        <v>0</v>
      </c>
      <c r="AY215" s="53"/>
      <c r="AZ215" s="52">
        <f>$AZ$5</f>
        <v>0</v>
      </c>
      <c r="BA215" s="53"/>
      <c r="BB215" s="52">
        <f>$BB$5</f>
        <v>0</v>
      </c>
      <c r="BC215" s="53"/>
    </row>
    <row r="216" spans="1:55" x14ac:dyDescent="0.3">
      <c r="A216" s="62"/>
      <c r="B216" s="62"/>
      <c r="C216" s="62"/>
      <c r="D216" s="62"/>
      <c r="E216" s="62"/>
      <c r="F216" s="5" t="s">
        <v>14</v>
      </c>
      <c r="G216" s="5" t="s">
        <v>15</v>
      </c>
      <c r="H216" s="5" t="s">
        <v>14</v>
      </c>
      <c r="I216" s="5" t="s">
        <v>15</v>
      </c>
      <c r="J216" s="5" t="s">
        <v>14</v>
      </c>
      <c r="K216" s="5" t="s">
        <v>15</v>
      </c>
      <c r="L216" s="5" t="s">
        <v>14</v>
      </c>
      <c r="M216" s="5" t="s">
        <v>15</v>
      </c>
      <c r="N216" s="5" t="s">
        <v>14</v>
      </c>
      <c r="O216" s="5" t="s">
        <v>15</v>
      </c>
      <c r="P216" s="5" t="s">
        <v>14</v>
      </c>
      <c r="Q216" s="5" t="s">
        <v>15</v>
      </c>
      <c r="R216" s="5" t="s">
        <v>14</v>
      </c>
      <c r="S216" s="5" t="s">
        <v>15</v>
      </c>
      <c r="T216" s="5" t="s">
        <v>14</v>
      </c>
      <c r="U216" s="5" t="s">
        <v>15</v>
      </c>
      <c r="V216" s="5" t="s">
        <v>14</v>
      </c>
      <c r="W216" s="5" t="s">
        <v>15</v>
      </c>
      <c r="X216" s="5" t="s">
        <v>14</v>
      </c>
      <c r="Y216" s="5" t="s">
        <v>15</v>
      </c>
      <c r="Z216" s="5" t="s">
        <v>14</v>
      </c>
      <c r="AA216" s="5" t="s">
        <v>15</v>
      </c>
      <c r="AB216" s="5" t="s">
        <v>14</v>
      </c>
      <c r="AC216" s="5" t="s">
        <v>15</v>
      </c>
      <c r="AD216" s="5" t="s">
        <v>14</v>
      </c>
      <c r="AE216" s="5" t="s">
        <v>15</v>
      </c>
      <c r="AF216" s="5" t="s">
        <v>14</v>
      </c>
      <c r="AG216" s="5" t="s">
        <v>15</v>
      </c>
      <c r="AH216" s="5" t="s">
        <v>14</v>
      </c>
      <c r="AI216" s="5" t="s">
        <v>15</v>
      </c>
      <c r="AJ216" s="5" t="s">
        <v>14</v>
      </c>
      <c r="AK216" s="5" t="s">
        <v>15</v>
      </c>
      <c r="AL216" s="5" t="s">
        <v>14</v>
      </c>
      <c r="AM216" s="5" t="s">
        <v>15</v>
      </c>
      <c r="AN216" s="5" t="s">
        <v>14</v>
      </c>
      <c r="AO216" s="5" t="s">
        <v>15</v>
      </c>
      <c r="AP216" s="5" t="s">
        <v>14</v>
      </c>
      <c r="AQ216" s="5" t="s">
        <v>15</v>
      </c>
      <c r="AR216" s="5" t="s">
        <v>14</v>
      </c>
      <c r="AS216" s="5" t="s">
        <v>15</v>
      </c>
      <c r="AT216" s="5" t="s">
        <v>14</v>
      </c>
      <c r="AU216" s="5" t="s">
        <v>15</v>
      </c>
      <c r="AV216" s="5" t="s">
        <v>14</v>
      </c>
      <c r="AW216" s="5" t="s">
        <v>15</v>
      </c>
      <c r="AX216" s="5" t="s">
        <v>14</v>
      </c>
      <c r="AY216" s="5" t="s">
        <v>15</v>
      </c>
      <c r="AZ216" s="5" t="s">
        <v>14</v>
      </c>
      <c r="BA216" s="5" t="s">
        <v>15</v>
      </c>
      <c r="BB216" s="5" t="s">
        <v>14</v>
      </c>
      <c r="BC216" s="5" t="s">
        <v>15</v>
      </c>
    </row>
    <row r="217" spans="1:55" ht="17.25" customHeight="1" x14ac:dyDescent="0.3">
      <c r="A217" s="38">
        <v>1</v>
      </c>
      <c r="B217" s="39" t="s">
        <v>43</v>
      </c>
      <c r="C217" s="39" t="s">
        <v>109</v>
      </c>
      <c r="D217" s="39" t="s">
        <v>110</v>
      </c>
      <c r="E217" s="40" t="s">
        <v>49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</row>
    <row r="218" spans="1:55" ht="17.25" customHeight="1" x14ac:dyDescent="0.3">
      <c r="A218" s="38">
        <v>2</v>
      </c>
      <c r="B218" s="39" t="s">
        <v>43</v>
      </c>
      <c r="C218" s="39" t="s">
        <v>109</v>
      </c>
      <c r="D218" s="39" t="s">
        <v>170</v>
      </c>
      <c r="E218" s="40" t="s">
        <v>204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</row>
    <row r="219" spans="1:55" ht="17.25" customHeight="1" x14ac:dyDescent="0.3">
      <c r="A219" s="38">
        <v>3</v>
      </c>
      <c r="B219" s="39" t="s">
        <v>377</v>
      </c>
      <c r="C219" s="39" t="s">
        <v>378</v>
      </c>
      <c r="D219" s="39" t="s">
        <v>582</v>
      </c>
      <c r="E219" s="40" t="s">
        <v>379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</row>
    <row r="220" spans="1:55" ht="17.25" customHeight="1" x14ac:dyDescent="0.3">
      <c r="A220" s="38">
        <v>4</v>
      </c>
      <c r="B220" s="39" t="s">
        <v>377</v>
      </c>
      <c r="C220" s="39" t="s">
        <v>378</v>
      </c>
      <c r="D220" s="39" t="s">
        <v>380</v>
      </c>
      <c r="E220" s="40" t="s">
        <v>381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</row>
    <row r="221" spans="1:55" ht="17.25" customHeight="1" x14ac:dyDescent="0.3">
      <c r="A221" s="38">
        <v>5</v>
      </c>
      <c r="B221" s="39" t="s">
        <v>24</v>
      </c>
      <c r="C221" s="39" t="s">
        <v>172</v>
      </c>
      <c r="D221" s="39" t="s">
        <v>173</v>
      </c>
      <c r="E221" s="40" t="s">
        <v>382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</row>
    <row r="222" spans="1:55" ht="17.25" customHeight="1" x14ac:dyDescent="0.3">
      <c r="A222" s="38">
        <v>6</v>
      </c>
      <c r="B222" s="39" t="s">
        <v>24</v>
      </c>
      <c r="C222" s="39" t="s">
        <v>172</v>
      </c>
      <c r="D222" s="39" t="s">
        <v>174</v>
      </c>
      <c r="E222" s="40" t="s">
        <v>383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</row>
    <row r="223" spans="1:55" ht="17.25" customHeight="1" x14ac:dyDescent="0.3">
      <c r="A223" s="38">
        <v>7</v>
      </c>
      <c r="B223" s="39" t="s">
        <v>121</v>
      </c>
      <c r="C223" s="39" t="s">
        <v>30</v>
      </c>
      <c r="D223" s="39" t="s">
        <v>175</v>
      </c>
      <c r="E223" s="40" t="s">
        <v>384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</row>
    <row r="224" spans="1:55" ht="17.25" customHeight="1" x14ac:dyDescent="0.3">
      <c r="A224" s="38">
        <v>8</v>
      </c>
      <c r="B224" s="39" t="s">
        <v>243</v>
      </c>
      <c r="C224" s="39" t="s">
        <v>119</v>
      </c>
      <c r="D224" s="39" t="s">
        <v>385</v>
      </c>
      <c r="E224" s="40" t="s">
        <v>381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</row>
    <row r="225" spans="1:55" ht="17.25" customHeight="1" x14ac:dyDescent="0.3">
      <c r="A225" s="38">
        <v>9</v>
      </c>
      <c r="B225" s="39" t="s">
        <v>386</v>
      </c>
      <c r="C225" s="39" t="s">
        <v>119</v>
      </c>
      <c r="D225" s="39" t="s">
        <v>387</v>
      </c>
      <c r="E225" s="40" t="s">
        <v>379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</row>
    <row r="226" spans="1:55" ht="17.25" customHeight="1" x14ac:dyDescent="0.3">
      <c r="A226" s="38">
        <v>10</v>
      </c>
      <c r="B226" s="39" t="s">
        <v>388</v>
      </c>
      <c r="C226" s="39" t="s">
        <v>389</v>
      </c>
      <c r="D226" s="39" t="s">
        <v>583</v>
      </c>
      <c r="E226" s="40" t="s">
        <v>390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</row>
    <row r="227" spans="1:55" ht="17.25" customHeight="1" x14ac:dyDescent="0.3">
      <c r="A227" s="38">
        <v>11</v>
      </c>
      <c r="B227" s="39" t="s">
        <v>32</v>
      </c>
      <c r="C227" s="39" t="s">
        <v>391</v>
      </c>
      <c r="D227" s="39" t="s">
        <v>392</v>
      </c>
      <c r="E227" s="40" t="s">
        <v>393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</row>
    <row r="228" spans="1:55" ht="17.25" customHeight="1" x14ac:dyDescent="0.3">
      <c r="A228" s="38">
        <v>12</v>
      </c>
      <c r="B228" s="39" t="s">
        <v>32</v>
      </c>
      <c r="C228" s="39" t="s">
        <v>391</v>
      </c>
      <c r="D228" s="39" t="s">
        <v>394</v>
      </c>
      <c r="E228" s="40" t="s">
        <v>395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</row>
    <row r="229" spans="1:55" ht="17.25" customHeight="1" x14ac:dyDescent="0.3">
      <c r="A229" s="38">
        <v>13</v>
      </c>
      <c r="B229" s="39" t="s">
        <v>32</v>
      </c>
      <c r="C229" s="39" t="s">
        <v>396</v>
      </c>
      <c r="D229" s="39" t="s">
        <v>245</v>
      </c>
      <c r="E229" s="40" t="s">
        <v>384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</row>
    <row r="230" spans="1:55" ht="17.25" customHeight="1" x14ac:dyDescent="0.3">
      <c r="A230" s="38">
        <v>14</v>
      </c>
      <c r="B230" s="39" t="s">
        <v>397</v>
      </c>
      <c r="C230" s="39" t="s">
        <v>378</v>
      </c>
      <c r="D230" s="39" t="s">
        <v>398</v>
      </c>
      <c r="E230" s="40" t="s">
        <v>399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</row>
    <row r="231" spans="1:55" ht="17.25" customHeight="1" x14ac:dyDescent="0.3">
      <c r="A231" s="38">
        <v>15</v>
      </c>
      <c r="B231" s="39" t="s">
        <v>400</v>
      </c>
      <c r="C231" s="39" t="s">
        <v>396</v>
      </c>
      <c r="D231" s="39" t="s">
        <v>401</v>
      </c>
      <c r="E231" s="40" t="s">
        <v>402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</row>
    <row r="232" spans="1:55" x14ac:dyDescent="0.3">
      <c r="A232" s="18"/>
      <c r="B232" s="19"/>
      <c r="C232" s="19"/>
      <c r="D232" s="19"/>
      <c r="E232" s="31"/>
    </row>
    <row r="233" spans="1:55" x14ac:dyDescent="0.3">
      <c r="A233" s="18"/>
      <c r="B233" s="19"/>
      <c r="C233" s="19"/>
      <c r="D233" s="19"/>
      <c r="E233" s="31"/>
    </row>
    <row r="234" spans="1:55" x14ac:dyDescent="0.3">
      <c r="A234" s="18"/>
      <c r="B234" s="19"/>
      <c r="C234" s="19"/>
      <c r="D234" s="19"/>
      <c r="E234" s="31"/>
    </row>
    <row r="235" spans="1:55" x14ac:dyDescent="0.3">
      <c r="A235" s="18"/>
      <c r="B235" s="19"/>
      <c r="C235" s="19"/>
      <c r="D235" s="19"/>
      <c r="E235" s="31"/>
    </row>
    <row r="236" spans="1:55" x14ac:dyDescent="0.3">
      <c r="A236" s="18"/>
      <c r="B236" s="19"/>
      <c r="C236" s="19"/>
      <c r="D236" s="19"/>
      <c r="E236" s="31"/>
    </row>
    <row r="237" spans="1:55" x14ac:dyDescent="0.3">
      <c r="A237" s="18"/>
      <c r="B237" s="19"/>
      <c r="C237" s="19"/>
      <c r="D237" s="19"/>
      <c r="E237" s="31"/>
    </row>
    <row r="238" spans="1:55" x14ac:dyDescent="0.3">
      <c r="A238" s="18"/>
      <c r="B238" s="19"/>
      <c r="C238" s="19"/>
      <c r="D238" s="19"/>
      <c r="E238" s="31"/>
    </row>
    <row r="239" spans="1:55" x14ac:dyDescent="0.3">
      <c r="A239" s="18"/>
      <c r="B239" s="19"/>
      <c r="C239" s="19"/>
      <c r="D239" s="19"/>
      <c r="E239" s="31"/>
    </row>
    <row r="240" spans="1:55" x14ac:dyDescent="0.3">
      <c r="A240" s="18"/>
      <c r="B240" s="19"/>
      <c r="C240" s="19"/>
      <c r="D240" s="19"/>
      <c r="E240" s="31"/>
    </row>
    <row r="241" spans="1:55" x14ac:dyDescent="0.3">
      <c r="A241" s="18"/>
      <c r="B241" s="19"/>
      <c r="C241" s="19"/>
      <c r="D241" s="19"/>
      <c r="E241" s="31"/>
    </row>
    <row r="242" spans="1:55" x14ac:dyDescent="0.3">
      <c r="A242" s="18"/>
      <c r="B242" s="19"/>
      <c r="C242" s="19"/>
      <c r="D242" s="19"/>
      <c r="E242" s="31"/>
      <c r="F242" s="54" t="s">
        <v>47</v>
      </c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16"/>
      <c r="Z242" s="16"/>
      <c r="AA242" s="16"/>
      <c r="AB242" s="16"/>
      <c r="AC242" s="16"/>
      <c r="AD242" s="16"/>
      <c r="AE242" s="16"/>
      <c r="AF242" s="54" t="str">
        <f>C213</f>
        <v>Sr. Juan Carlos Chamaca Nina</v>
      </c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</row>
    <row r="243" spans="1:55" x14ac:dyDescent="0.3">
      <c r="A243" s="18"/>
      <c r="B243" s="19"/>
      <c r="C243" s="19"/>
      <c r="D243" s="19"/>
      <c r="E243" s="31"/>
      <c r="AF243" s="55" t="s">
        <v>122</v>
      </c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</row>
    <row r="244" spans="1:55" x14ac:dyDescent="0.3">
      <c r="A244" s="18"/>
      <c r="B244" s="19"/>
      <c r="C244" s="19"/>
      <c r="D244" s="19"/>
      <c r="E244" s="31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</row>
    <row r="245" spans="1:55" x14ac:dyDescent="0.3">
      <c r="A245" s="18"/>
      <c r="B245" s="19"/>
      <c r="C245" s="19"/>
      <c r="D245" s="19"/>
      <c r="E245" s="31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</row>
    <row r="246" spans="1:55" ht="30" customHeight="1" x14ac:dyDescent="0.3">
      <c r="A246" s="56" t="s">
        <v>0</v>
      </c>
      <c r="B246" s="57"/>
      <c r="C246" s="57"/>
      <c r="D246" s="57"/>
      <c r="E246" s="21">
        <v>8</v>
      </c>
      <c r="F246" s="58" t="s">
        <v>1</v>
      </c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</row>
    <row r="247" spans="1:55" x14ac:dyDescent="0.3">
      <c r="A247" s="65" t="s">
        <v>2</v>
      </c>
      <c r="B247" s="66"/>
      <c r="C247" s="3">
        <f>VLOOKUP(BUS_08,[1]DATOS!$B$9:$G$28,5)</f>
        <v>2</v>
      </c>
      <c r="D247" s="59" t="str">
        <f>VLOOKUP(BUS_08,[1]DATOS!$B$9:$G$28,6)</f>
        <v>FEBRERO</v>
      </c>
      <c r="E247" s="59"/>
      <c r="F247" s="67" t="str">
        <f>$F$2</f>
        <v>MARZO</v>
      </c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</row>
    <row r="248" spans="1:55" x14ac:dyDescent="0.3">
      <c r="A248" s="61" t="s">
        <v>3</v>
      </c>
      <c r="B248" s="59"/>
      <c r="C248" s="59" t="str">
        <f>VLOOKUP(BUS_08,[1]DATOS!$B$9:$G$28,2)</f>
        <v>Sr. Joaquin Beto Silva Poma</v>
      </c>
      <c r="D248" s="59"/>
      <c r="E248" s="4"/>
      <c r="F248" s="69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</row>
    <row r="249" spans="1:55" x14ac:dyDescent="0.3">
      <c r="A249" s="61" t="s">
        <v>4</v>
      </c>
      <c r="B249" s="59"/>
      <c r="C249" s="59">
        <f>VLOOKUP(BUS_08,[1]DATOS!$B$9:$G$28,4)</f>
        <v>61220655</v>
      </c>
      <c r="D249" s="59"/>
      <c r="E249" s="4"/>
      <c r="F249" s="64" t="s">
        <v>5</v>
      </c>
      <c r="G249" s="64"/>
      <c r="H249" s="64" t="s">
        <v>6</v>
      </c>
      <c r="I249" s="64"/>
      <c r="J249" s="64" t="s">
        <v>6</v>
      </c>
      <c r="K249" s="64"/>
      <c r="L249" s="64" t="s">
        <v>7</v>
      </c>
      <c r="M249" s="64"/>
      <c r="N249" s="64" t="s">
        <v>8</v>
      </c>
      <c r="O249" s="64"/>
      <c r="P249" s="64" t="s">
        <v>5</v>
      </c>
      <c r="Q249" s="64"/>
      <c r="R249" s="64" t="s">
        <v>6</v>
      </c>
      <c r="S249" s="64"/>
      <c r="T249" s="64" t="s">
        <v>6</v>
      </c>
      <c r="U249" s="64"/>
      <c r="V249" s="64" t="s">
        <v>7</v>
      </c>
      <c r="W249" s="64"/>
      <c r="X249" s="64" t="s">
        <v>8</v>
      </c>
      <c r="Y249" s="64"/>
      <c r="Z249" s="64" t="s">
        <v>5</v>
      </c>
      <c r="AA249" s="64"/>
      <c r="AB249" s="64" t="s">
        <v>6</v>
      </c>
      <c r="AC249" s="64"/>
      <c r="AD249" s="64" t="s">
        <v>6</v>
      </c>
      <c r="AE249" s="64"/>
      <c r="AF249" s="64" t="s">
        <v>7</v>
      </c>
      <c r="AG249" s="64"/>
      <c r="AH249" s="64" t="s">
        <v>8</v>
      </c>
      <c r="AI249" s="64"/>
      <c r="AJ249" s="64" t="s">
        <v>5</v>
      </c>
      <c r="AK249" s="64"/>
      <c r="AL249" s="64" t="s">
        <v>6</v>
      </c>
      <c r="AM249" s="64"/>
      <c r="AN249" s="64" t="s">
        <v>6</v>
      </c>
      <c r="AO249" s="64"/>
      <c r="AP249" s="64" t="s">
        <v>7</v>
      </c>
      <c r="AQ249" s="64"/>
      <c r="AR249" s="64" t="s">
        <v>8</v>
      </c>
      <c r="AS249" s="64"/>
      <c r="AT249" s="64" t="s">
        <v>5</v>
      </c>
      <c r="AU249" s="64"/>
      <c r="AV249" s="64" t="s">
        <v>6</v>
      </c>
      <c r="AW249" s="64"/>
      <c r="AX249" s="64" t="s">
        <v>6</v>
      </c>
      <c r="AY249" s="64"/>
      <c r="AZ249" s="64" t="s">
        <v>7</v>
      </c>
      <c r="BA249" s="64"/>
      <c r="BB249" s="64" t="s">
        <v>8</v>
      </c>
      <c r="BC249" s="64"/>
    </row>
    <row r="250" spans="1:55" x14ac:dyDescent="0.3">
      <c r="A250" s="62" t="s">
        <v>9</v>
      </c>
      <c r="B250" s="62" t="s">
        <v>10</v>
      </c>
      <c r="C250" s="62" t="s">
        <v>11</v>
      </c>
      <c r="D250" s="62" t="s">
        <v>12</v>
      </c>
      <c r="E250" s="62" t="s">
        <v>13</v>
      </c>
      <c r="F250" s="63">
        <f>$F$5</f>
        <v>2</v>
      </c>
      <c r="G250" s="63"/>
      <c r="H250" s="52">
        <f>$H$5</f>
        <v>3</v>
      </c>
      <c r="I250" s="53"/>
      <c r="J250" s="52">
        <f>$J$5</f>
        <v>4</v>
      </c>
      <c r="K250" s="53"/>
      <c r="L250" s="52">
        <f>$L$5</f>
        <v>5</v>
      </c>
      <c r="M250" s="53"/>
      <c r="N250" s="52">
        <f>$N$5</f>
        <v>6</v>
      </c>
      <c r="O250" s="53"/>
      <c r="P250" s="52">
        <f>$P$5</f>
        <v>9</v>
      </c>
      <c r="Q250" s="53"/>
      <c r="R250" s="52">
        <f>$R$5</f>
        <v>10</v>
      </c>
      <c r="S250" s="53"/>
      <c r="T250" s="52">
        <f>$T$5</f>
        <v>11</v>
      </c>
      <c r="U250" s="53"/>
      <c r="V250" s="52">
        <f>$V$5</f>
        <v>12</v>
      </c>
      <c r="W250" s="53"/>
      <c r="X250" s="52">
        <f>$X$5</f>
        <v>13</v>
      </c>
      <c r="Y250" s="53"/>
      <c r="Z250" s="52">
        <f>$Z$5</f>
        <v>16</v>
      </c>
      <c r="AA250" s="53"/>
      <c r="AB250" s="52">
        <f>$AB$5</f>
        <v>17</v>
      </c>
      <c r="AC250" s="53"/>
      <c r="AD250" s="52">
        <f>$AD$5</f>
        <v>18</v>
      </c>
      <c r="AE250" s="53"/>
      <c r="AF250" s="52">
        <f>$AF$5</f>
        <v>19</v>
      </c>
      <c r="AG250" s="53"/>
      <c r="AH250" s="52">
        <f>$AH$5</f>
        <v>20</v>
      </c>
      <c r="AI250" s="53"/>
      <c r="AJ250" s="52">
        <f>$AJ$5</f>
        <v>23</v>
      </c>
      <c r="AK250" s="53"/>
      <c r="AL250" s="52">
        <f>$AL$5</f>
        <v>24</v>
      </c>
      <c r="AM250" s="53"/>
      <c r="AN250" s="52">
        <f>$AN$5</f>
        <v>25</v>
      </c>
      <c r="AO250" s="53"/>
      <c r="AP250" s="52">
        <f>$AP$5</f>
        <v>26</v>
      </c>
      <c r="AQ250" s="53"/>
      <c r="AR250" s="52">
        <f>$AR$5</f>
        <v>27</v>
      </c>
      <c r="AS250" s="53"/>
      <c r="AT250" s="52">
        <f>$AT$5</f>
        <v>0</v>
      </c>
      <c r="AU250" s="53"/>
      <c r="AV250" s="52">
        <f>$AV$5</f>
        <v>0</v>
      </c>
      <c r="AW250" s="53"/>
      <c r="AX250" s="52">
        <f>$AX$5</f>
        <v>0</v>
      </c>
      <c r="AY250" s="53"/>
      <c r="AZ250" s="52">
        <f>$AZ$5</f>
        <v>0</v>
      </c>
      <c r="BA250" s="53"/>
      <c r="BB250" s="52">
        <f>$BB$5</f>
        <v>0</v>
      </c>
      <c r="BC250" s="53"/>
    </row>
    <row r="251" spans="1:55" x14ac:dyDescent="0.3">
      <c r="A251" s="62"/>
      <c r="B251" s="62"/>
      <c r="C251" s="62"/>
      <c r="D251" s="62"/>
      <c r="E251" s="62"/>
      <c r="F251" s="5" t="s">
        <v>14</v>
      </c>
      <c r="G251" s="5" t="s">
        <v>15</v>
      </c>
      <c r="H251" s="5" t="s">
        <v>14</v>
      </c>
      <c r="I251" s="5" t="s">
        <v>15</v>
      </c>
      <c r="J251" s="5" t="s">
        <v>14</v>
      </c>
      <c r="K251" s="5" t="s">
        <v>15</v>
      </c>
      <c r="L251" s="5" t="s">
        <v>14</v>
      </c>
      <c r="M251" s="5" t="s">
        <v>15</v>
      </c>
      <c r="N251" s="5" t="s">
        <v>14</v>
      </c>
      <c r="O251" s="5" t="s">
        <v>15</v>
      </c>
      <c r="P251" s="5" t="s">
        <v>14</v>
      </c>
      <c r="Q251" s="5" t="s">
        <v>15</v>
      </c>
      <c r="R251" s="5" t="s">
        <v>14</v>
      </c>
      <c r="S251" s="5" t="s">
        <v>15</v>
      </c>
      <c r="T251" s="5" t="s">
        <v>14</v>
      </c>
      <c r="U251" s="5" t="s">
        <v>15</v>
      </c>
      <c r="V251" s="5" t="s">
        <v>14</v>
      </c>
      <c r="W251" s="5" t="s">
        <v>15</v>
      </c>
      <c r="X251" s="5" t="s">
        <v>14</v>
      </c>
      <c r="Y251" s="5" t="s">
        <v>15</v>
      </c>
      <c r="Z251" s="5" t="s">
        <v>14</v>
      </c>
      <c r="AA251" s="5" t="s">
        <v>15</v>
      </c>
      <c r="AB251" s="5" t="s">
        <v>14</v>
      </c>
      <c r="AC251" s="5" t="s">
        <v>15</v>
      </c>
      <c r="AD251" s="5" t="s">
        <v>14</v>
      </c>
      <c r="AE251" s="5" t="s">
        <v>15</v>
      </c>
      <c r="AF251" s="5" t="s">
        <v>14</v>
      </c>
      <c r="AG251" s="5" t="s">
        <v>15</v>
      </c>
      <c r="AH251" s="5" t="s">
        <v>14</v>
      </c>
      <c r="AI251" s="5" t="s">
        <v>15</v>
      </c>
      <c r="AJ251" s="5" t="s">
        <v>14</v>
      </c>
      <c r="AK251" s="5" t="s">
        <v>15</v>
      </c>
      <c r="AL251" s="5" t="s">
        <v>14</v>
      </c>
      <c r="AM251" s="5" t="s">
        <v>15</v>
      </c>
      <c r="AN251" s="5" t="s">
        <v>14</v>
      </c>
      <c r="AO251" s="5" t="s">
        <v>15</v>
      </c>
      <c r="AP251" s="5" t="s">
        <v>14</v>
      </c>
      <c r="AQ251" s="5" t="s">
        <v>15</v>
      </c>
      <c r="AR251" s="5" t="s">
        <v>14</v>
      </c>
      <c r="AS251" s="5" t="s">
        <v>15</v>
      </c>
      <c r="AT251" s="5" t="s">
        <v>14</v>
      </c>
      <c r="AU251" s="5" t="s">
        <v>15</v>
      </c>
      <c r="AV251" s="5" t="s">
        <v>14</v>
      </c>
      <c r="AW251" s="5" t="s">
        <v>15</v>
      </c>
      <c r="AX251" s="5" t="s">
        <v>14</v>
      </c>
      <c r="AY251" s="5" t="s">
        <v>15</v>
      </c>
      <c r="AZ251" s="5" t="s">
        <v>14</v>
      </c>
      <c r="BA251" s="5" t="s">
        <v>15</v>
      </c>
      <c r="BB251" s="5" t="s">
        <v>14</v>
      </c>
      <c r="BC251" s="5" t="s">
        <v>15</v>
      </c>
    </row>
    <row r="252" spans="1:55" s="23" customFormat="1" ht="17.25" customHeight="1" x14ac:dyDescent="0.3">
      <c r="A252" s="38">
        <v>1</v>
      </c>
      <c r="B252" s="39" t="s">
        <v>403</v>
      </c>
      <c r="C252" s="39" t="s">
        <v>123</v>
      </c>
      <c r="D252" s="39" t="s">
        <v>404</v>
      </c>
      <c r="E252" s="40" t="s">
        <v>393</v>
      </c>
      <c r="F252" s="30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</row>
    <row r="253" spans="1:55" s="23" customFormat="1" ht="17.25" customHeight="1" x14ac:dyDescent="0.3">
      <c r="A253" s="38">
        <v>2</v>
      </c>
      <c r="B253" s="39" t="s">
        <v>405</v>
      </c>
      <c r="C253" s="39" t="s">
        <v>32</v>
      </c>
      <c r="D253" s="39" t="s">
        <v>584</v>
      </c>
      <c r="E253" s="40" t="s">
        <v>406</v>
      </c>
      <c r="F253" s="30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</row>
    <row r="254" spans="1:55" s="23" customFormat="1" ht="17.25" customHeight="1" x14ac:dyDescent="0.3">
      <c r="A254" s="38">
        <v>3</v>
      </c>
      <c r="B254" s="39" t="s">
        <v>405</v>
      </c>
      <c r="C254" s="39" t="s">
        <v>20</v>
      </c>
      <c r="D254" s="39" t="s">
        <v>407</v>
      </c>
      <c r="E254" s="40" t="s">
        <v>408</v>
      </c>
      <c r="F254" s="30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</row>
    <row r="255" spans="1:55" s="23" customFormat="1" ht="17.25" customHeight="1" x14ac:dyDescent="0.3">
      <c r="A255" s="38">
        <v>4</v>
      </c>
      <c r="B255" s="39" t="s">
        <v>409</v>
      </c>
      <c r="C255" s="39" t="s">
        <v>410</v>
      </c>
      <c r="D255" s="39" t="s">
        <v>411</v>
      </c>
      <c r="E255" s="40" t="s">
        <v>406</v>
      </c>
      <c r="F255" s="30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</row>
    <row r="256" spans="1:55" s="23" customFormat="1" ht="17.25" customHeight="1" x14ac:dyDescent="0.3">
      <c r="A256" s="38">
        <v>5</v>
      </c>
      <c r="B256" s="39" t="s">
        <v>412</v>
      </c>
      <c r="C256" s="39" t="s">
        <v>413</v>
      </c>
      <c r="D256" s="39" t="s">
        <v>414</v>
      </c>
      <c r="E256" s="39" t="s">
        <v>415</v>
      </c>
      <c r="F256" s="30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</row>
    <row r="257" spans="1:55" s="23" customFormat="1" ht="17.25" customHeight="1" x14ac:dyDescent="0.3">
      <c r="A257" s="38">
        <v>6</v>
      </c>
      <c r="B257" s="39" t="s">
        <v>67</v>
      </c>
      <c r="C257" s="39" t="s">
        <v>416</v>
      </c>
      <c r="D257" s="39" t="s">
        <v>598</v>
      </c>
      <c r="E257" s="40" t="s">
        <v>417</v>
      </c>
      <c r="F257" s="30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</row>
    <row r="258" spans="1:55" s="23" customFormat="1" ht="17.25" customHeight="1" x14ac:dyDescent="0.3">
      <c r="A258" s="38">
        <v>7</v>
      </c>
      <c r="B258" s="39" t="s">
        <v>418</v>
      </c>
      <c r="C258" s="39" t="s">
        <v>419</v>
      </c>
      <c r="D258" s="39" t="s">
        <v>420</v>
      </c>
      <c r="E258" s="40" t="s">
        <v>421</v>
      </c>
      <c r="F258" s="30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</row>
    <row r="259" spans="1:55" s="23" customFormat="1" ht="17.25" customHeight="1" x14ac:dyDescent="0.3">
      <c r="A259" s="38">
        <v>8</v>
      </c>
      <c r="B259" s="39" t="s">
        <v>422</v>
      </c>
      <c r="C259" s="39" t="s">
        <v>423</v>
      </c>
      <c r="D259" s="39" t="s">
        <v>127</v>
      </c>
      <c r="E259" s="40" t="s">
        <v>424</v>
      </c>
      <c r="F259" s="30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</row>
    <row r="260" spans="1:55" s="23" customFormat="1" ht="17.25" customHeight="1" x14ac:dyDescent="0.3">
      <c r="A260" s="38">
        <v>9</v>
      </c>
      <c r="B260" s="39" t="s">
        <v>422</v>
      </c>
      <c r="C260" s="39" t="s">
        <v>126</v>
      </c>
      <c r="D260" s="39" t="s">
        <v>585</v>
      </c>
      <c r="E260" s="40" t="s">
        <v>402</v>
      </c>
      <c r="F260" s="30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</row>
    <row r="261" spans="1:55" s="23" customFormat="1" ht="17.25" customHeight="1" x14ac:dyDescent="0.3">
      <c r="A261" s="38">
        <v>10</v>
      </c>
      <c r="B261" s="39" t="s">
        <v>34</v>
      </c>
      <c r="C261" s="39" t="s">
        <v>67</v>
      </c>
      <c r="D261" s="39" t="s">
        <v>128</v>
      </c>
      <c r="E261" s="40" t="s">
        <v>421</v>
      </c>
      <c r="F261" s="30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</row>
    <row r="262" spans="1:55" s="23" customFormat="1" ht="17.25" customHeight="1" x14ac:dyDescent="0.3">
      <c r="A262" s="38">
        <v>11</v>
      </c>
      <c r="B262" s="39" t="s">
        <v>425</v>
      </c>
      <c r="C262" s="39" t="s">
        <v>67</v>
      </c>
      <c r="D262" s="39" t="s">
        <v>599</v>
      </c>
      <c r="E262" s="40" t="s">
        <v>426</v>
      </c>
      <c r="F262" s="30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</row>
    <row r="263" spans="1:55" s="23" customFormat="1" ht="17.25" customHeight="1" x14ac:dyDescent="0.3">
      <c r="A263" s="38">
        <v>12</v>
      </c>
      <c r="B263" s="39" t="s">
        <v>246</v>
      </c>
      <c r="C263" s="39" t="s">
        <v>586</v>
      </c>
      <c r="D263" s="39" t="s">
        <v>247</v>
      </c>
      <c r="E263" s="40" t="s">
        <v>393</v>
      </c>
      <c r="F263" s="30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</row>
    <row r="264" spans="1:55" s="23" customFormat="1" ht="17.25" customHeight="1" x14ac:dyDescent="0.3">
      <c r="A264" s="38">
        <v>13</v>
      </c>
      <c r="B264" s="39" t="s">
        <v>159</v>
      </c>
      <c r="C264" s="39" t="s">
        <v>22</v>
      </c>
      <c r="D264" s="39" t="s">
        <v>427</v>
      </c>
      <c r="E264" s="40" t="s">
        <v>415</v>
      </c>
      <c r="F264" s="30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</row>
    <row r="265" spans="1:55" s="23" customFormat="1" ht="17.25" customHeight="1" x14ac:dyDescent="0.3">
      <c r="A265" s="38">
        <v>14</v>
      </c>
      <c r="B265" s="39" t="s">
        <v>159</v>
      </c>
      <c r="C265" s="39" t="s">
        <v>428</v>
      </c>
      <c r="D265" s="39" t="s">
        <v>429</v>
      </c>
      <c r="E265" s="40" t="s">
        <v>421</v>
      </c>
      <c r="F265" s="30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</row>
    <row r="266" spans="1:55" s="23" customFormat="1" ht="17.25" customHeight="1" x14ac:dyDescent="0.3">
      <c r="A266" s="11"/>
      <c r="B266" s="12"/>
      <c r="C266" s="12"/>
      <c r="D266" s="12"/>
      <c r="E266" s="36"/>
    </row>
    <row r="267" spans="1:55" x14ac:dyDescent="0.3">
      <c r="A267" s="18"/>
      <c r="B267" s="19"/>
      <c r="C267" s="19"/>
      <c r="D267" s="19"/>
      <c r="E267" s="20"/>
    </row>
    <row r="268" spans="1:55" x14ac:dyDescent="0.3">
      <c r="A268" s="18"/>
      <c r="B268" s="19"/>
      <c r="C268" s="19"/>
      <c r="D268" s="19"/>
      <c r="E268" s="20"/>
    </row>
    <row r="269" spans="1:55" x14ac:dyDescent="0.3">
      <c r="A269" s="18"/>
      <c r="B269" s="19"/>
      <c r="C269" s="19"/>
      <c r="D269" s="19"/>
      <c r="E269" s="20"/>
    </row>
    <row r="270" spans="1:55" x14ac:dyDescent="0.3">
      <c r="A270" s="18"/>
      <c r="B270" s="19"/>
      <c r="C270" s="19"/>
      <c r="D270" s="19"/>
      <c r="E270" s="20"/>
    </row>
    <row r="271" spans="1:55" x14ac:dyDescent="0.3">
      <c r="A271" s="18"/>
      <c r="B271" s="19"/>
      <c r="C271" s="19"/>
      <c r="D271" s="19"/>
      <c r="E271" s="20"/>
    </row>
    <row r="272" spans="1:55" x14ac:dyDescent="0.3">
      <c r="A272" s="18"/>
      <c r="B272" s="19"/>
      <c r="C272" s="19"/>
      <c r="D272" s="19"/>
      <c r="E272" s="20"/>
    </row>
    <row r="273" spans="1:55" x14ac:dyDescent="0.3">
      <c r="A273" s="18"/>
      <c r="B273" s="19"/>
      <c r="C273" s="19"/>
      <c r="D273" s="19"/>
      <c r="E273" s="20"/>
    </row>
    <row r="274" spans="1:55" x14ac:dyDescent="0.3">
      <c r="A274" s="18"/>
      <c r="B274" s="19"/>
      <c r="C274" s="19"/>
      <c r="D274" s="19"/>
      <c r="E274" s="20"/>
    </row>
    <row r="275" spans="1:55" x14ac:dyDescent="0.3">
      <c r="A275" s="18"/>
      <c r="B275" s="19"/>
      <c r="C275" s="19"/>
      <c r="D275" s="19"/>
      <c r="E275" s="20"/>
    </row>
    <row r="276" spans="1:55" x14ac:dyDescent="0.3">
      <c r="A276" s="18"/>
      <c r="B276" s="19"/>
      <c r="C276" s="19"/>
      <c r="D276" s="19"/>
      <c r="E276" s="20"/>
    </row>
    <row r="277" spans="1:55" x14ac:dyDescent="0.3">
      <c r="A277" s="18"/>
      <c r="B277" s="19"/>
      <c r="C277" s="19"/>
      <c r="D277" s="19"/>
      <c r="E277" s="20"/>
      <c r="F277" s="54" t="s">
        <v>47</v>
      </c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16"/>
      <c r="Z277" s="16"/>
      <c r="AA277" s="16"/>
      <c r="AB277" s="16"/>
      <c r="AC277" s="16"/>
      <c r="AD277" s="16"/>
      <c r="AE277" s="16"/>
      <c r="AF277" s="54" t="str">
        <f>C248</f>
        <v>Sr. Joaquin Beto Silva Poma</v>
      </c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</row>
    <row r="278" spans="1:55" x14ac:dyDescent="0.3">
      <c r="A278" s="18"/>
      <c r="B278" s="19"/>
      <c r="C278" s="19"/>
      <c r="D278" s="19"/>
      <c r="E278" s="20"/>
      <c r="AF278" s="55" t="s">
        <v>129</v>
      </c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</row>
    <row r="279" spans="1:55" x14ac:dyDescent="0.3">
      <c r="A279" s="18"/>
      <c r="B279" s="19"/>
      <c r="C279" s="19"/>
      <c r="D279" s="19"/>
      <c r="E279" s="20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</row>
    <row r="280" spans="1:55" x14ac:dyDescent="0.3">
      <c r="A280" s="18"/>
      <c r="B280" s="19"/>
      <c r="C280" s="19"/>
      <c r="D280" s="19"/>
      <c r="E280" s="20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</row>
    <row r="281" spans="1:55" ht="30" customHeight="1" x14ac:dyDescent="0.3">
      <c r="A281" s="56" t="s">
        <v>0</v>
      </c>
      <c r="B281" s="57"/>
      <c r="C281" s="57"/>
      <c r="D281" s="57"/>
      <c r="E281" s="21">
        <v>9</v>
      </c>
      <c r="F281" s="58" t="s">
        <v>1</v>
      </c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</row>
    <row r="282" spans="1:55" x14ac:dyDescent="0.3">
      <c r="A282" s="65" t="s">
        <v>2</v>
      </c>
      <c r="B282" s="66"/>
      <c r="C282" s="3">
        <f>VLOOKUP(BUS_09,[1]DATOS!$B$9:$G$28,5)</f>
        <v>2</v>
      </c>
      <c r="D282" s="59" t="str">
        <f>VLOOKUP(BUS_09,[1]DATOS!$B$9:$G$28,6)</f>
        <v>FEBRERO</v>
      </c>
      <c r="E282" s="59"/>
      <c r="F282" s="67" t="str">
        <f>$F$2</f>
        <v>MARZO</v>
      </c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</row>
    <row r="283" spans="1:55" x14ac:dyDescent="0.3">
      <c r="A283" s="61" t="s">
        <v>3</v>
      </c>
      <c r="B283" s="59"/>
      <c r="C283" s="59" t="str">
        <f>VLOOKUP(BUS_09,[1]DATOS!$B$9:$G$28,2)</f>
        <v>Sr. Cesar Sebastian Alcon Choque</v>
      </c>
      <c r="D283" s="59"/>
      <c r="E283" s="4"/>
      <c r="F283" s="69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</row>
    <row r="284" spans="1:55" x14ac:dyDescent="0.3">
      <c r="A284" s="61" t="s">
        <v>4</v>
      </c>
      <c r="B284" s="59"/>
      <c r="C284" s="59">
        <f>VLOOKUP(BUS_09,[1]DATOS!$B$9:$G$28,4)</f>
        <v>67319568</v>
      </c>
      <c r="D284" s="59"/>
      <c r="E284" s="4"/>
      <c r="F284" s="64" t="s">
        <v>5</v>
      </c>
      <c r="G284" s="64"/>
      <c r="H284" s="64" t="s">
        <v>6</v>
      </c>
      <c r="I284" s="64"/>
      <c r="J284" s="64" t="s">
        <v>6</v>
      </c>
      <c r="K284" s="64"/>
      <c r="L284" s="64" t="s">
        <v>7</v>
      </c>
      <c r="M284" s="64"/>
      <c r="N284" s="64" t="s">
        <v>8</v>
      </c>
      <c r="O284" s="64"/>
      <c r="P284" s="64" t="s">
        <v>5</v>
      </c>
      <c r="Q284" s="64"/>
      <c r="R284" s="64" t="s">
        <v>6</v>
      </c>
      <c r="S284" s="64"/>
      <c r="T284" s="64" t="s">
        <v>6</v>
      </c>
      <c r="U284" s="64"/>
      <c r="V284" s="64" t="s">
        <v>7</v>
      </c>
      <c r="W284" s="64"/>
      <c r="X284" s="64" t="s">
        <v>8</v>
      </c>
      <c r="Y284" s="64"/>
      <c r="Z284" s="64" t="s">
        <v>5</v>
      </c>
      <c r="AA284" s="64"/>
      <c r="AB284" s="64" t="s">
        <v>6</v>
      </c>
      <c r="AC284" s="64"/>
      <c r="AD284" s="64" t="s">
        <v>6</v>
      </c>
      <c r="AE284" s="64"/>
      <c r="AF284" s="64" t="s">
        <v>7</v>
      </c>
      <c r="AG284" s="64"/>
      <c r="AH284" s="64" t="s">
        <v>8</v>
      </c>
      <c r="AI284" s="64"/>
      <c r="AJ284" s="64" t="s">
        <v>5</v>
      </c>
      <c r="AK284" s="64"/>
      <c r="AL284" s="64" t="s">
        <v>6</v>
      </c>
      <c r="AM284" s="64"/>
      <c r="AN284" s="64" t="s">
        <v>6</v>
      </c>
      <c r="AO284" s="64"/>
      <c r="AP284" s="64" t="s">
        <v>7</v>
      </c>
      <c r="AQ284" s="64"/>
      <c r="AR284" s="64" t="s">
        <v>8</v>
      </c>
      <c r="AS284" s="64"/>
      <c r="AT284" s="64" t="s">
        <v>5</v>
      </c>
      <c r="AU284" s="64"/>
      <c r="AV284" s="64" t="s">
        <v>6</v>
      </c>
      <c r="AW284" s="64"/>
      <c r="AX284" s="64" t="s">
        <v>6</v>
      </c>
      <c r="AY284" s="64"/>
      <c r="AZ284" s="64" t="s">
        <v>7</v>
      </c>
      <c r="BA284" s="64"/>
      <c r="BB284" s="64" t="s">
        <v>8</v>
      </c>
      <c r="BC284" s="64"/>
    </row>
    <row r="285" spans="1:55" x14ac:dyDescent="0.3">
      <c r="A285" s="62" t="s">
        <v>9</v>
      </c>
      <c r="B285" s="62" t="s">
        <v>10</v>
      </c>
      <c r="C285" s="62" t="s">
        <v>11</v>
      </c>
      <c r="D285" s="62" t="s">
        <v>12</v>
      </c>
      <c r="E285" s="62" t="s">
        <v>13</v>
      </c>
      <c r="F285" s="63">
        <f>$F$5</f>
        <v>2</v>
      </c>
      <c r="G285" s="63"/>
      <c r="H285" s="52">
        <f>$H$5</f>
        <v>3</v>
      </c>
      <c r="I285" s="53"/>
      <c r="J285" s="52">
        <f>$J$5</f>
        <v>4</v>
      </c>
      <c r="K285" s="53"/>
      <c r="L285" s="52">
        <f>$L$5</f>
        <v>5</v>
      </c>
      <c r="M285" s="53"/>
      <c r="N285" s="52">
        <f>$N$5</f>
        <v>6</v>
      </c>
      <c r="O285" s="53"/>
      <c r="P285" s="52">
        <f>$P$5</f>
        <v>9</v>
      </c>
      <c r="Q285" s="53"/>
      <c r="R285" s="52">
        <f>$R$5</f>
        <v>10</v>
      </c>
      <c r="S285" s="53"/>
      <c r="T285" s="52">
        <f>$T$5</f>
        <v>11</v>
      </c>
      <c r="U285" s="53"/>
      <c r="V285" s="52">
        <f>$V$5</f>
        <v>12</v>
      </c>
      <c r="W285" s="53"/>
      <c r="X285" s="52">
        <f>$X$5</f>
        <v>13</v>
      </c>
      <c r="Y285" s="53"/>
      <c r="Z285" s="52">
        <f>$Z$5</f>
        <v>16</v>
      </c>
      <c r="AA285" s="53"/>
      <c r="AB285" s="52">
        <f>$AB$5</f>
        <v>17</v>
      </c>
      <c r="AC285" s="53"/>
      <c r="AD285" s="52">
        <f>$AD$5</f>
        <v>18</v>
      </c>
      <c r="AE285" s="53"/>
      <c r="AF285" s="52">
        <f>$AF$5</f>
        <v>19</v>
      </c>
      <c r="AG285" s="53"/>
      <c r="AH285" s="52">
        <f>$AH$5</f>
        <v>20</v>
      </c>
      <c r="AI285" s="53"/>
      <c r="AJ285" s="52">
        <f>$AJ$5</f>
        <v>23</v>
      </c>
      <c r="AK285" s="53"/>
      <c r="AL285" s="52">
        <f>$AL$5</f>
        <v>24</v>
      </c>
      <c r="AM285" s="53"/>
      <c r="AN285" s="52">
        <f>$AN$5</f>
        <v>25</v>
      </c>
      <c r="AO285" s="53"/>
      <c r="AP285" s="52">
        <f>$AP$5</f>
        <v>26</v>
      </c>
      <c r="AQ285" s="53"/>
      <c r="AR285" s="52">
        <f>$AR$5</f>
        <v>27</v>
      </c>
      <c r="AS285" s="53"/>
      <c r="AT285" s="52">
        <f>$AT$5</f>
        <v>0</v>
      </c>
      <c r="AU285" s="53"/>
      <c r="AV285" s="52">
        <f>$AV$5</f>
        <v>0</v>
      </c>
      <c r="AW285" s="53"/>
      <c r="AX285" s="52">
        <f>$AX$5</f>
        <v>0</v>
      </c>
      <c r="AY285" s="53"/>
      <c r="AZ285" s="52">
        <f>$AZ$5</f>
        <v>0</v>
      </c>
      <c r="BA285" s="53"/>
      <c r="BB285" s="52">
        <f>$BB$5</f>
        <v>0</v>
      </c>
      <c r="BC285" s="53"/>
    </row>
    <row r="286" spans="1:55" x14ac:dyDescent="0.3">
      <c r="A286" s="62"/>
      <c r="B286" s="62"/>
      <c r="C286" s="62"/>
      <c r="D286" s="62"/>
      <c r="E286" s="62"/>
      <c r="F286" s="5" t="s">
        <v>14</v>
      </c>
      <c r="G286" s="5" t="s">
        <v>15</v>
      </c>
      <c r="H286" s="5" t="s">
        <v>14</v>
      </c>
      <c r="I286" s="5" t="s">
        <v>15</v>
      </c>
      <c r="J286" s="5" t="s">
        <v>14</v>
      </c>
      <c r="K286" s="5" t="s">
        <v>15</v>
      </c>
      <c r="L286" s="5" t="s">
        <v>14</v>
      </c>
      <c r="M286" s="5" t="s">
        <v>15</v>
      </c>
      <c r="N286" s="5" t="s">
        <v>14</v>
      </c>
      <c r="O286" s="5" t="s">
        <v>15</v>
      </c>
      <c r="P286" s="5" t="s">
        <v>14</v>
      </c>
      <c r="Q286" s="5" t="s">
        <v>15</v>
      </c>
      <c r="R286" s="5" t="s">
        <v>14</v>
      </c>
      <c r="S286" s="5" t="s">
        <v>15</v>
      </c>
      <c r="T286" s="5" t="s">
        <v>14</v>
      </c>
      <c r="U286" s="5" t="s">
        <v>15</v>
      </c>
      <c r="V286" s="5" t="s">
        <v>14</v>
      </c>
      <c r="W286" s="5" t="s">
        <v>15</v>
      </c>
      <c r="X286" s="5" t="s">
        <v>14</v>
      </c>
      <c r="Y286" s="5" t="s">
        <v>15</v>
      </c>
      <c r="Z286" s="5" t="s">
        <v>14</v>
      </c>
      <c r="AA286" s="5" t="s">
        <v>15</v>
      </c>
      <c r="AB286" s="5" t="s">
        <v>14</v>
      </c>
      <c r="AC286" s="5" t="s">
        <v>15</v>
      </c>
      <c r="AD286" s="5" t="s">
        <v>14</v>
      </c>
      <c r="AE286" s="5" t="s">
        <v>15</v>
      </c>
      <c r="AF286" s="5" t="s">
        <v>14</v>
      </c>
      <c r="AG286" s="5" t="s">
        <v>15</v>
      </c>
      <c r="AH286" s="5" t="s">
        <v>14</v>
      </c>
      <c r="AI286" s="5" t="s">
        <v>15</v>
      </c>
      <c r="AJ286" s="5" t="s">
        <v>14</v>
      </c>
      <c r="AK286" s="5" t="s">
        <v>15</v>
      </c>
      <c r="AL286" s="5" t="s">
        <v>14</v>
      </c>
      <c r="AM286" s="5" t="s">
        <v>15</v>
      </c>
      <c r="AN286" s="5" t="s">
        <v>14</v>
      </c>
      <c r="AO286" s="5" t="s">
        <v>15</v>
      </c>
      <c r="AP286" s="5" t="s">
        <v>14</v>
      </c>
      <c r="AQ286" s="5" t="s">
        <v>15</v>
      </c>
      <c r="AR286" s="5" t="s">
        <v>14</v>
      </c>
      <c r="AS286" s="5" t="s">
        <v>15</v>
      </c>
      <c r="AT286" s="5" t="s">
        <v>14</v>
      </c>
      <c r="AU286" s="5" t="s">
        <v>15</v>
      </c>
      <c r="AV286" s="5" t="s">
        <v>14</v>
      </c>
      <c r="AW286" s="5" t="s">
        <v>15</v>
      </c>
      <c r="AX286" s="5" t="s">
        <v>14</v>
      </c>
      <c r="AY286" s="5" t="s">
        <v>15</v>
      </c>
      <c r="AZ286" s="5" t="s">
        <v>14</v>
      </c>
      <c r="BA286" s="5" t="s">
        <v>15</v>
      </c>
      <c r="BB286" s="5" t="s">
        <v>14</v>
      </c>
      <c r="BC286" s="5" t="s">
        <v>15</v>
      </c>
    </row>
    <row r="287" spans="1:55" s="23" customFormat="1" ht="17.25" customHeight="1" x14ac:dyDescent="0.3">
      <c r="A287" s="38">
        <v>1</v>
      </c>
      <c r="B287" s="39" t="s">
        <v>458</v>
      </c>
      <c r="C287" s="39" t="s">
        <v>430</v>
      </c>
      <c r="D287" s="39" t="s">
        <v>587</v>
      </c>
      <c r="E287" s="40" t="s">
        <v>421</v>
      </c>
      <c r="F287" s="30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</row>
    <row r="288" spans="1:55" s="23" customFormat="1" ht="17.25" customHeight="1" x14ac:dyDescent="0.3">
      <c r="A288" s="38">
        <v>2</v>
      </c>
      <c r="B288" s="39" t="s">
        <v>431</v>
      </c>
      <c r="C288" s="39" t="s">
        <v>432</v>
      </c>
      <c r="D288" s="39" t="s">
        <v>433</v>
      </c>
      <c r="E288" s="40" t="s">
        <v>393</v>
      </c>
      <c r="F288" s="30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</row>
    <row r="289" spans="1:55" s="23" customFormat="1" ht="17.25" customHeight="1" x14ac:dyDescent="0.3">
      <c r="A289" s="38">
        <v>3</v>
      </c>
      <c r="B289" s="39" t="s">
        <v>434</v>
      </c>
      <c r="C289" s="39" t="s">
        <v>67</v>
      </c>
      <c r="D289" s="39" t="s">
        <v>435</v>
      </c>
      <c r="E289" s="40" t="s">
        <v>379</v>
      </c>
      <c r="F289" s="30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</row>
    <row r="290" spans="1:55" s="23" customFormat="1" ht="17.25" customHeight="1" x14ac:dyDescent="0.3">
      <c r="A290" s="38">
        <v>4</v>
      </c>
      <c r="B290" s="39" t="s">
        <v>177</v>
      </c>
      <c r="C290" s="39" t="s">
        <v>436</v>
      </c>
      <c r="D290" s="39" t="s">
        <v>437</v>
      </c>
      <c r="E290" s="40" t="s">
        <v>438</v>
      </c>
      <c r="F290" s="30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</row>
    <row r="291" spans="1:55" s="23" customFormat="1" ht="17.25" customHeight="1" x14ac:dyDescent="0.3">
      <c r="A291" s="38">
        <v>5</v>
      </c>
      <c r="B291" s="39" t="s">
        <v>378</v>
      </c>
      <c r="C291" s="39" t="s">
        <v>439</v>
      </c>
      <c r="D291" s="39" t="s">
        <v>440</v>
      </c>
      <c r="E291" s="40" t="s">
        <v>402</v>
      </c>
      <c r="F291" s="30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</row>
    <row r="292" spans="1:55" s="23" customFormat="1" ht="17.25" customHeight="1" x14ac:dyDescent="0.3">
      <c r="A292" s="38">
        <v>6</v>
      </c>
      <c r="B292" s="39" t="s">
        <v>39</v>
      </c>
      <c r="C292" s="39" t="s">
        <v>441</v>
      </c>
      <c r="D292" s="39" t="s">
        <v>591</v>
      </c>
      <c r="E292" s="40" t="s">
        <v>426</v>
      </c>
      <c r="F292" s="30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</row>
    <row r="293" spans="1:55" s="23" customFormat="1" ht="17.25" customHeight="1" x14ac:dyDescent="0.3">
      <c r="A293" s="38">
        <v>7</v>
      </c>
      <c r="B293" s="39" t="s">
        <v>442</v>
      </c>
      <c r="C293" s="39" t="s">
        <v>432</v>
      </c>
      <c r="D293" s="39" t="s">
        <v>443</v>
      </c>
      <c r="E293" s="40" t="s">
        <v>415</v>
      </c>
      <c r="F293" s="30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</row>
    <row r="294" spans="1:55" s="23" customFormat="1" ht="17.25" customHeight="1" x14ac:dyDescent="0.3">
      <c r="A294" s="38">
        <v>8</v>
      </c>
      <c r="B294" s="39" t="s">
        <v>442</v>
      </c>
      <c r="C294" s="39" t="s">
        <v>444</v>
      </c>
      <c r="D294" s="39" t="s">
        <v>445</v>
      </c>
      <c r="E294" s="40" t="s">
        <v>381</v>
      </c>
      <c r="F294" s="30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</row>
    <row r="295" spans="1:55" s="23" customFormat="1" ht="17.25" customHeight="1" x14ac:dyDescent="0.3">
      <c r="A295" s="38">
        <v>9</v>
      </c>
      <c r="B295" s="39" t="s">
        <v>32</v>
      </c>
      <c r="C295" s="39" t="s">
        <v>428</v>
      </c>
      <c r="D295" s="39" t="s">
        <v>249</v>
      </c>
      <c r="E295" s="40" t="s">
        <v>446</v>
      </c>
      <c r="F295" s="30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</row>
    <row r="296" spans="1:55" s="23" customFormat="1" ht="17.25" customHeight="1" x14ac:dyDescent="0.3">
      <c r="A296" s="38">
        <v>10</v>
      </c>
      <c r="B296" s="39" t="s">
        <v>32</v>
      </c>
      <c r="C296" s="39" t="s">
        <v>428</v>
      </c>
      <c r="D296" s="39" t="s">
        <v>447</v>
      </c>
      <c r="E296" s="40" t="s">
        <v>448</v>
      </c>
      <c r="F296" s="30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</row>
    <row r="297" spans="1:55" ht="17.25" customHeight="1" x14ac:dyDescent="0.3">
      <c r="A297" s="38">
        <v>11</v>
      </c>
      <c r="B297" s="39" t="s">
        <v>449</v>
      </c>
      <c r="C297" s="39" t="s">
        <v>450</v>
      </c>
      <c r="D297" s="39" t="s">
        <v>451</v>
      </c>
      <c r="E297" s="40" t="s">
        <v>421</v>
      </c>
      <c r="F297" s="30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</row>
    <row r="298" spans="1:55" ht="17.25" customHeight="1" x14ac:dyDescent="0.3">
      <c r="A298" s="38">
        <v>12</v>
      </c>
      <c r="B298" s="39" t="s">
        <v>452</v>
      </c>
      <c r="C298" s="39" t="s">
        <v>453</v>
      </c>
      <c r="D298" s="39" t="s">
        <v>454</v>
      </c>
      <c r="E298" s="40" t="s">
        <v>162</v>
      </c>
      <c r="F298" s="30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</row>
    <row r="299" spans="1:55" ht="17.25" customHeight="1" x14ac:dyDescent="0.3">
      <c r="A299" s="38">
        <v>13</v>
      </c>
      <c r="B299" s="39" t="s">
        <v>452</v>
      </c>
      <c r="C299" s="39" t="s">
        <v>211</v>
      </c>
      <c r="D299" s="39" t="s">
        <v>455</v>
      </c>
      <c r="E299" s="40" t="s">
        <v>393</v>
      </c>
      <c r="F299" s="30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</row>
    <row r="300" spans="1:55" ht="17.25" customHeight="1" x14ac:dyDescent="0.3">
      <c r="A300" s="38">
        <v>14</v>
      </c>
      <c r="B300" s="39" t="s">
        <v>456</v>
      </c>
      <c r="C300" s="39" t="s">
        <v>211</v>
      </c>
      <c r="D300" s="39" t="s">
        <v>160</v>
      </c>
      <c r="E300" s="40" t="s">
        <v>457</v>
      </c>
      <c r="F300" s="30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</row>
    <row r="301" spans="1:55" ht="17.25" customHeight="1" x14ac:dyDescent="0.3">
      <c r="A301" s="38">
        <v>15</v>
      </c>
      <c r="B301" s="39" t="s">
        <v>348</v>
      </c>
      <c r="C301" s="39" t="s">
        <v>230</v>
      </c>
      <c r="D301" s="39" t="s">
        <v>592</v>
      </c>
      <c r="E301" s="40" t="s">
        <v>63</v>
      </c>
      <c r="F301" s="30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</row>
    <row r="302" spans="1:55" ht="17.25" customHeight="1" x14ac:dyDescent="0.3">
      <c r="A302" s="32"/>
      <c r="B302" s="7"/>
      <c r="C302" s="7"/>
      <c r="D302" s="7"/>
      <c r="E302" s="7"/>
      <c r="F302" s="30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</row>
    <row r="303" spans="1:55" x14ac:dyDescent="0.3">
      <c r="A303" s="18"/>
      <c r="B303" s="19"/>
      <c r="C303" s="19"/>
      <c r="D303" s="19"/>
      <c r="E303" s="20"/>
    </row>
    <row r="304" spans="1:55" x14ac:dyDescent="0.3">
      <c r="A304" s="18"/>
      <c r="B304" s="19"/>
      <c r="C304" s="19"/>
      <c r="D304" s="19"/>
      <c r="E304" s="20"/>
    </row>
    <row r="305" spans="1:55" x14ac:dyDescent="0.3">
      <c r="A305" s="18"/>
      <c r="B305" s="19"/>
      <c r="C305" s="19"/>
      <c r="D305" s="19"/>
      <c r="E305" s="20"/>
    </row>
    <row r="306" spans="1:55" x14ac:dyDescent="0.3">
      <c r="A306" s="18"/>
      <c r="B306" s="19"/>
      <c r="C306" s="19"/>
      <c r="D306" s="19"/>
      <c r="E306" s="20"/>
    </row>
    <row r="307" spans="1:55" x14ac:dyDescent="0.3">
      <c r="A307" s="18"/>
      <c r="B307" s="19"/>
      <c r="C307" s="19"/>
      <c r="D307" s="19"/>
      <c r="E307" s="20"/>
    </row>
    <row r="308" spans="1:55" x14ac:dyDescent="0.3">
      <c r="A308" s="18"/>
      <c r="B308" s="19"/>
      <c r="C308" s="19"/>
      <c r="D308" s="19"/>
      <c r="E308" s="20"/>
    </row>
    <row r="309" spans="1:55" x14ac:dyDescent="0.3">
      <c r="A309" s="18"/>
      <c r="B309" s="19"/>
      <c r="C309" s="19"/>
      <c r="D309" s="19"/>
      <c r="E309" s="20"/>
    </row>
    <row r="310" spans="1:55" x14ac:dyDescent="0.3">
      <c r="A310" s="18"/>
      <c r="B310" s="19"/>
      <c r="C310" s="19"/>
      <c r="D310" s="19"/>
      <c r="E310" s="20"/>
    </row>
    <row r="311" spans="1:55" x14ac:dyDescent="0.3">
      <c r="A311" s="18"/>
      <c r="B311" s="19"/>
      <c r="C311" s="19"/>
      <c r="D311" s="19"/>
      <c r="E311" s="20"/>
    </row>
    <row r="312" spans="1:55" x14ac:dyDescent="0.3">
      <c r="A312" s="18"/>
      <c r="B312" s="19"/>
      <c r="C312" s="19"/>
      <c r="D312" s="19"/>
      <c r="E312" s="20"/>
      <c r="F312" s="54" t="s">
        <v>47</v>
      </c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16"/>
      <c r="Z312" s="16"/>
      <c r="AA312" s="16"/>
      <c r="AB312" s="16"/>
      <c r="AC312" s="16"/>
      <c r="AD312" s="16"/>
      <c r="AE312" s="16"/>
      <c r="AF312" s="54" t="str">
        <f>C283</f>
        <v>Sr. Cesar Sebastian Alcon Choque</v>
      </c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</row>
    <row r="313" spans="1:55" x14ac:dyDescent="0.3">
      <c r="A313" s="18"/>
      <c r="B313" s="19"/>
      <c r="C313" s="19"/>
      <c r="D313" s="19"/>
      <c r="E313" s="20"/>
      <c r="AF313" s="55" t="s">
        <v>135</v>
      </c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</row>
    <row r="314" spans="1:55" x14ac:dyDescent="0.3">
      <c r="A314" s="18"/>
      <c r="B314" s="19"/>
      <c r="C314" s="19"/>
      <c r="D314" s="19"/>
      <c r="E314" s="20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</row>
    <row r="315" spans="1:55" x14ac:dyDescent="0.3">
      <c r="A315" s="18"/>
      <c r="B315" s="19"/>
      <c r="C315" s="19"/>
      <c r="D315" s="19"/>
      <c r="E315" s="20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</row>
    <row r="316" spans="1:55" ht="30" customHeight="1" x14ac:dyDescent="0.3">
      <c r="A316" s="56" t="s">
        <v>0</v>
      </c>
      <c r="B316" s="57"/>
      <c r="C316" s="57"/>
      <c r="D316" s="57"/>
      <c r="E316" s="21">
        <v>10</v>
      </c>
      <c r="F316" s="58" t="s">
        <v>1</v>
      </c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</row>
    <row r="317" spans="1:55" x14ac:dyDescent="0.3">
      <c r="A317" s="65" t="s">
        <v>2</v>
      </c>
      <c r="B317" s="66"/>
      <c r="C317" s="3">
        <f>VLOOKUP(BUS_10,[1]DATOS!$B$9:$G$28,5)</f>
        <v>2</v>
      </c>
      <c r="D317" s="59" t="str">
        <f>VLOOKUP(BUS_10,[1]DATOS!$B$9:$G$28,6)</f>
        <v>FEBRERO</v>
      </c>
      <c r="E317" s="59"/>
      <c r="F317" s="67" t="str">
        <f>$F$2</f>
        <v>MARZO</v>
      </c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</row>
    <row r="318" spans="1:55" x14ac:dyDescent="0.3">
      <c r="A318" s="61" t="s">
        <v>3</v>
      </c>
      <c r="B318" s="59"/>
      <c r="C318" s="59" t="str">
        <f>VLOOKUP(BUS_10,[1]DATOS!$B$9:$G$28,2)</f>
        <v>Sr. Esteban Callisaya Tola</v>
      </c>
      <c r="D318" s="59"/>
      <c r="E318" s="4"/>
      <c r="F318" s="69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</row>
    <row r="319" spans="1:55" x14ac:dyDescent="0.3">
      <c r="A319" s="61" t="s">
        <v>4</v>
      </c>
      <c r="B319" s="59"/>
      <c r="C319" s="59">
        <f>VLOOKUP(BUS_10,[1]DATOS!$B$9:$G$28,4)</f>
        <v>74034851</v>
      </c>
      <c r="D319" s="59"/>
      <c r="E319" s="4"/>
      <c r="F319" s="64" t="s">
        <v>5</v>
      </c>
      <c r="G319" s="64"/>
      <c r="H319" s="64" t="s">
        <v>6</v>
      </c>
      <c r="I319" s="64"/>
      <c r="J319" s="64" t="s">
        <v>6</v>
      </c>
      <c r="K319" s="64"/>
      <c r="L319" s="64" t="s">
        <v>7</v>
      </c>
      <c r="M319" s="64"/>
      <c r="N319" s="64" t="s">
        <v>8</v>
      </c>
      <c r="O319" s="64"/>
      <c r="P319" s="64" t="s">
        <v>5</v>
      </c>
      <c r="Q319" s="64"/>
      <c r="R319" s="64" t="s">
        <v>6</v>
      </c>
      <c r="S319" s="64"/>
      <c r="T319" s="64" t="s">
        <v>6</v>
      </c>
      <c r="U319" s="64"/>
      <c r="V319" s="64" t="s">
        <v>7</v>
      </c>
      <c r="W319" s="64"/>
      <c r="X319" s="64" t="s">
        <v>8</v>
      </c>
      <c r="Y319" s="64"/>
      <c r="Z319" s="64" t="s">
        <v>5</v>
      </c>
      <c r="AA319" s="64"/>
      <c r="AB319" s="64" t="s">
        <v>6</v>
      </c>
      <c r="AC319" s="64"/>
      <c r="AD319" s="64" t="s">
        <v>6</v>
      </c>
      <c r="AE319" s="64"/>
      <c r="AF319" s="64" t="s">
        <v>7</v>
      </c>
      <c r="AG319" s="64"/>
      <c r="AH319" s="64" t="s">
        <v>8</v>
      </c>
      <c r="AI319" s="64"/>
      <c r="AJ319" s="64" t="s">
        <v>5</v>
      </c>
      <c r="AK319" s="64"/>
      <c r="AL319" s="64" t="s">
        <v>6</v>
      </c>
      <c r="AM319" s="64"/>
      <c r="AN319" s="64" t="s">
        <v>6</v>
      </c>
      <c r="AO319" s="64"/>
      <c r="AP319" s="64" t="s">
        <v>7</v>
      </c>
      <c r="AQ319" s="64"/>
      <c r="AR319" s="64" t="s">
        <v>8</v>
      </c>
      <c r="AS319" s="64"/>
      <c r="AT319" s="64" t="s">
        <v>5</v>
      </c>
      <c r="AU319" s="64"/>
      <c r="AV319" s="64" t="s">
        <v>6</v>
      </c>
      <c r="AW319" s="64"/>
      <c r="AX319" s="64" t="s">
        <v>6</v>
      </c>
      <c r="AY319" s="64"/>
      <c r="AZ319" s="64" t="s">
        <v>7</v>
      </c>
      <c r="BA319" s="64"/>
      <c r="BB319" s="64" t="s">
        <v>8</v>
      </c>
      <c r="BC319" s="64"/>
    </row>
    <row r="320" spans="1:55" x14ac:dyDescent="0.3">
      <c r="A320" s="62" t="s">
        <v>9</v>
      </c>
      <c r="B320" s="62" t="s">
        <v>10</v>
      </c>
      <c r="C320" s="62" t="s">
        <v>11</v>
      </c>
      <c r="D320" s="62" t="s">
        <v>12</v>
      </c>
      <c r="E320" s="62" t="s">
        <v>13</v>
      </c>
      <c r="F320" s="63">
        <f>$F$5</f>
        <v>2</v>
      </c>
      <c r="G320" s="63"/>
      <c r="H320" s="52">
        <f>$H$5</f>
        <v>3</v>
      </c>
      <c r="I320" s="53"/>
      <c r="J320" s="52">
        <f>$J$5</f>
        <v>4</v>
      </c>
      <c r="K320" s="53"/>
      <c r="L320" s="52">
        <f>$L$5</f>
        <v>5</v>
      </c>
      <c r="M320" s="53"/>
      <c r="N320" s="52">
        <f>$N$5</f>
        <v>6</v>
      </c>
      <c r="O320" s="53"/>
      <c r="P320" s="52">
        <f>$P$5</f>
        <v>9</v>
      </c>
      <c r="Q320" s="53"/>
      <c r="R320" s="52">
        <f>$R$5</f>
        <v>10</v>
      </c>
      <c r="S320" s="53"/>
      <c r="T320" s="52">
        <f>$T$5</f>
        <v>11</v>
      </c>
      <c r="U320" s="53"/>
      <c r="V320" s="52">
        <f>$V$5</f>
        <v>12</v>
      </c>
      <c r="W320" s="53"/>
      <c r="X320" s="52">
        <f>$X$5</f>
        <v>13</v>
      </c>
      <c r="Y320" s="53"/>
      <c r="Z320" s="52">
        <f>$Z$5</f>
        <v>16</v>
      </c>
      <c r="AA320" s="53"/>
      <c r="AB320" s="52">
        <f>$AB$5</f>
        <v>17</v>
      </c>
      <c r="AC320" s="53"/>
      <c r="AD320" s="52">
        <f>$AD$5</f>
        <v>18</v>
      </c>
      <c r="AE320" s="53"/>
      <c r="AF320" s="52">
        <f>$AF$5</f>
        <v>19</v>
      </c>
      <c r="AG320" s="53"/>
      <c r="AH320" s="52">
        <f>$AH$5</f>
        <v>20</v>
      </c>
      <c r="AI320" s="53"/>
      <c r="AJ320" s="52">
        <f>$AJ$5</f>
        <v>23</v>
      </c>
      <c r="AK320" s="53"/>
      <c r="AL320" s="52">
        <f>$AL$5</f>
        <v>24</v>
      </c>
      <c r="AM320" s="53"/>
      <c r="AN320" s="52">
        <f>$AN$5</f>
        <v>25</v>
      </c>
      <c r="AO320" s="53"/>
      <c r="AP320" s="52">
        <f>$AP$5</f>
        <v>26</v>
      </c>
      <c r="AQ320" s="53"/>
      <c r="AR320" s="52">
        <f>$AR$5</f>
        <v>27</v>
      </c>
      <c r="AS320" s="53"/>
      <c r="AT320" s="52">
        <f>$AT$5</f>
        <v>0</v>
      </c>
      <c r="AU320" s="53"/>
      <c r="AV320" s="52">
        <f>$AV$5</f>
        <v>0</v>
      </c>
      <c r="AW320" s="53"/>
      <c r="AX320" s="52">
        <f>$AX$5</f>
        <v>0</v>
      </c>
      <c r="AY320" s="53"/>
      <c r="AZ320" s="52">
        <f>$AZ$5</f>
        <v>0</v>
      </c>
      <c r="BA320" s="53"/>
      <c r="BB320" s="52">
        <f>$BB$5</f>
        <v>0</v>
      </c>
      <c r="BC320" s="53"/>
    </row>
    <row r="321" spans="1:55" x14ac:dyDescent="0.3">
      <c r="A321" s="62"/>
      <c r="B321" s="62"/>
      <c r="C321" s="62"/>
      <c r="D321" s="62"/>
      <c r="E321" s="62"/>
      <c r="F321" s="5" t="s">
        <v>14</v>
      </c>
      <c r="G321" s="5" t="s">
        <v>15</v>
      </c>
      <c r="H321" s="5" t="s">
        <v>14</v>
      </c>
      <c r="I321" s="5" t="s">
        <v>15</v>
      </c>
      <c r="J321" s="5" t="s">
        <v>14</v>
      </c>
      <c r="K321" s="5" t="s">
        <v>15</v>
      </c>
      <c r="L321" s="5" t="s">
        <v>14</v>
      </c>
      <c r="M321" s="5" t="s">
        <v>15</v>
      </c>
      <c r="N321" s="5" t="s">
        <v>14</v>
      </c>
      <c r="O321" s="5" t="s">
        <v>15</v>
      </c>
      <c r="P321" s="5" t="s">
        <v>14</v>
      </c>
      <c r="Q321" s="5" t="s">
        <v>15</v>
      </c>
      <c r="R321" s="5" t="s">
        <v>14</v>
      </c>
      <c r="S321" s="5" t="s">
        <v>15</v>
      </c>
      <c r="T321" s="5" t="s">
        <v>14</v>
      </c>
      <c r="U321" s="5" t="s">
        <v>15</v>
      </c>
      <c r="V321" s="5" t="s">
        <v>14</v>
      </c>
      <c r="W321" s="5" t="s">
        <v>15</v>
      </c>
      <c r="X321" s="5" t="s">
        <v>14</v>
      </c>
      <c r="Y321" s="5" t="s">
        <v>15</v>
      </c>
      <c r="Z321" s="5" t="s">
        <v>14</v>
      </c>
      <c r="AA321" s="5" t="s">
        <v>15</v>
      </c>
      <c r="AB321" s="5" t="s">
        <v>14</v>
      </c>
      <c r="AC321" s="5" t="s">
        <v>15</v>
      </c>
      <c r="AD321" s="5" t="s">
        <v>14</v>
      </c>
      <c r="AE321" s="5" t="s">
        <v>15</v>
      </c>
      <c r="AF321" s="5" t="s">
        <v>14</v>
      </c>
      <c r="AG321" s="5" t="s">
        <v>15</v>
      </c>
      <c r="AH321" s="5" t="s">
        <v>14</v>
      </c>
      <c r="AI321" s="5" t="s">
        <v>15</v>
      </c>
      <c r="AJ321" s="5" t="s">
        <v>14</v>
      </c>
      <c r="AK321" s="5" t="s">
        <v>15</v>
      </c>
      <c r="AL321" s="5" t="s">
        <v>14</v>
      </c>
      <c r="AM321" s="5" t="s">
        <v>15</v>
      </c>
      <c r="AN321" s="5" t="s">
        <v>14</v>
      </c>
      <c r="AO321" s="5" t="s">
        <v>15</v>
      </c>
      <c r="AP321" s="5" t="s">
        <v>14</v>
      </c>
      <c r="AQ321" s="5" t="s">
        <v>15</v>
      </c>
      <c r="AR321" s="5" t="s">
        <v>14</v>
      </c>
      <c r="AS321" s="5" t="s">
        <v>15</v>
      </c>
      <c r="AT321" s="5" t="s">
        <v>14</v>
      </c>
      <c r="AU321" s="5" t="s">
        <v>15</v>
      </c>
      <c r="AV321" s="5" t="s">
        <v>14</v>
      </c>
      <c r="AW321" s="5" t="s">
        <v>15</v>
      </c>
      <c r="AX321" s="5" t="s">
        <v>14</v>
      </c>
      <c r="AY321" s="5" t="s">
        <v>15</v>
      </c>
      <c r="AZ321" s="5" t="s">
        <v>14</v>
      </c>
      <c r="BA321" s="5" t="s">
        <v>15</v>
      </c>
      <c r="BB321" s="5" t="s">
        <v>14</v>
      </c>
      <c r="BC321" s="5" t="s">
        <v>15</v>
      </c>
    </row>
    <row r="322" spans="1:55" s="23" customFormat="1" ht="17.25" customHeight="1" x14ac:dyDescent="0.3">
      <c r="A322" s="6">
        <v>1</v>
      </c>
      <c r="B322" s="7" t="s">
        <v>459</v>
      </c>
      <c r="C322" s="7" t="s">
        <v>460</v>
      </c>
      <c r="D322" s="7" t="s">
        <v>461</v>
      </c>
      <c r="E322" s="28" t="s">
        <v>462</v>
      </c>
      <c r="F322" s="30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</row>
    <row r="323" spans="1:55" s="23" customFormat="1" ht="17.25" customHeight="1" x14ac:dyDescent="0.3">
      <c r="A323" s="6">
        <v>2</v>
      </c>
      <c r="B323" s="7" t="s">
        <v>459</v>
      </c>
      <c r="C323" s="7" t="s">
        <v>460</v>
      </c>
      <c r="D323" s="7" t="s">
        <v>463</v>
      </c>
      <c r="E323" s="28" t="s">
        <v>52</v>
      </c>
      <c r="F323" s="30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</row>
    <row r="324" spans="1:55" s="23" customFormat="1" ht="17.25" customHeight="1" x14ac:dyDescent="0.3">
      <c r="A324" s="6">
        <v>3</v>
      </c>
      <c r="B324" s="7" t="s">
        <v>180</v>
      </c>
      <c r="C324" s="7" t="s">
        <v>604</v>
      </c>
      <c r="D324" s="7" t="s">
        <v>181</v>
      </c>
      <c r="E324" s="28" t="s">
        <v>60</v>
      </c>
      <c r="F324" s="30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</row>
    <row r="325" spans="1:55" s="23" customFormat="1" ht="17.25" customHeight="1" x14ac:dyDescent="0.3">
      <c r="A325" s="6">
        <v>4</v>
      </c>
      <c r="B325" s="7" t="s">
        <v>250</v>
      </c>
      <c r="C325" s="7" t="s">
        <v>43</v>
      </c>
      <c r="D325" s="7" t="s">
        <v>464</v>
      </c>
      <c r="E325" s="28" t="s">
        <v>92</v>
      </c>
      <c r="F325" s="30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</row>
    <row r="326" spans="1:55" s="23" customFormat="1" ht="17.25" customHeight="1" x14ac:dyDescent="0.3">
      <c r="A326" s="6">
        <v>5</v>
      </c>
      <c r="B326" s="7" t="s">
        <v>136</v>
      </c>
      <c r="C326" s="7" t="s">
        <v>465</v>
      </c>
      <c r="D326" s="7" t="s">
        <v>466</v>
      </c>
      <c r="E326" s="28" t="s">
        <v>29</v>
      </c>
      <c r="F326" s="30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</row>
    <row r="327" spans="1:55" s="23" customFormat="1" ht="17.25" customHeight="1" x14ac:dyDescent="0.3">
      <c r="A327" s="6">
        <v>6</v>
      </c>
      <c r="B327" s="7" t="s">
        <v>467</v>
      </c>
      <c r="C327" s="7" t="s">
        <v>468</v>
      </c>
      <c r="D327" s="7" t="s">
        <v>469</v>
      </c>
      <c r="E327" s="28" t="s">
        <v>41</v>
      </c>
      <c r="F327" s="30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</row>
    <row r="328" spans="1:55" s="23" customFormat="1" ht="17.25" customHeight="1" x14ac:dyDescent="0.3">
      <c r="A328" s="6">
        <v>7</v>
      </c>
      <c r="B328" s="7" t="s">
        <v>24</v>
      </c>
      <c r="C328" s="7" t="s">
        <v>69</v>
      </c>
      <c r="D328" s="7" t="s">
        <v>138</v>
      </c>
      <c r="E328" s="28" t="s">
        <v>58</v>
      </c>
      <c r="F328" s="30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</row>
    <row r="329" spans="1:55" s="23" customFormat="1" ht="17.25" customHeight="1" x14ac:dyDescent="0.3">
      <c r="A329" s="6">
        <v>8</v>
      </c>
      <c r="B329" s="7" t="s">
        <v>24</v>
      </c>
      <c r="C329" s="7" t="s">
        <v>69</v>
      </c>
      <c r="D329" s="7" t="s">
        <v>137</v>
      </c>
      <c r="E329" s="28" t="s">
        <v>41</v>
      </c>
      <c r="F329" s="30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</row>
    <row r="330" spans="1:55" s="23" customFormat="1" ht="17.25" customHeight="1" x14ac:dyDescent="0.3">
      <c r="A330" s="6">
        <v>9</v>
      </c>
      <c r="B330" s="7" t="s">
        <v>251</v>
      </c>
      <c r="C330" s="7" t="s">
        <v>169</v>
      </c>
      <c r="D330" s="7" t="s">
        <v>252</v>
      </c>
      <c r="E330" s="28" t="s">
        <v>54</v>
      </c>
      <c r="F330" s="30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</row>
    <row r="331" spans="1:55" s="23" customFormat="1" ht="17.25" customHeight="1" x14ac:dyDescent="0.3">
      <c r="A331" s="6">
        <v>10</v>
      </c>
      <c r="B331" s="7" t="s">
        <v>251</v>
      </c>
      <c r="C331" s="7" t="s">
        <v>169</v>
      </c>
      <c r="D331" s="7" t="s">
        <v>470</v>
      </c>
      <c r="E331" s="28" t="s">
        <v>52</v>
      </c>
      <c r="F331" s="30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</row>
    <row r="332" spans="1:55" s="23" customFormat="1" ht="17.25" customHeight="1" x14ac:dyDescent="0.3">
      <c r="A332" s="6">
        <v>11</v>
      </c>
      <c r="B332" s="7" t="s">
        <v>471</v>
      </c>
      <c r="C332" s="7" t="s">
        <v>27</v>
      </c>
      <c r="D332" s="7" t="s">
        <v>472</v>
      </c>
      <c r="E332" s="28" t="s">
        <v>60</v>
      </c>
      <c r="F332" s="30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</row>
    <row r="333" spans="1:55" s="23" customFormat="1" ht="17.25" customHeight="1" x14ac:dyDescent="0.3">
      <c r="A333" s="6">
        <v>12</v>
      </c>
      <c r="B333" s="7" t="s">
        <v>120</v>
      </c>
      <c r="C333" s="7" t="s">
        <v>20</v>
      </c>
      <c r="D333" s="7" t="s">
        <v>473</v>
      </c>
      <c r="E333" s="28" t="s">
        <v>41</v>
      </c>
      <c r="F333" s="30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</row>
    <row r="334" spans="1:55" s="23" customFormat="1" ht="17.25" customHeight="1" x14ac:dyDescent="0.3">
      <c r="A334" s="6">
        <v>13</v>
      </c>
      <c r="B334" s="7" t="s">
        <v>183</v>
      </c>
      <c r="C334" s="7" t="s">
        <v>184</v>
      </c>
      <c r="D334" s="7" t="s">
        <v>185</v>
      </c>
      <c r="E334" s="28" t="s">
        <v>52</v>
      </c>
      <c r="F334" s="30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</row>
    <row r="335" spans="1:55" s="23" customFormat="1" ht="17.25" customHeight="1" x14ac:dyDescent="0.3">
      <c r="A335" s="6">
        <v>14</v>
      </c>
      <c r="B335" s="7" t="s">
        <v>253</v>
      </c>
      <c r="C335" s="7" t="s">
        <v>254</v>
      </c>
      <c r="D335" s="7" t="s">
        <v>255</v>
      </c>
      <c r="E335" s="28" t="s">
        <v>92</v>
      </c>
      <c r="F335" s="30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</row>
    <row r="336" spans="1:55" s="23" customFormat="1" ht="17.25" customHeight="1" x14ac:dyDescent="0.3">
      <c r="A336" s="6">
        <v>15</v>
      </c>
      <c r="B336" s="7" t="s">
        <v>253</v>
      </c>
      <c r="C336" s="7" t="s">
        <v>254</v>
      </c>
      <c r="D336" s="7" t="s">
        <v>256</v>
      </c>
      <c r="E336" s="28" t="s">
        <v>41</v>
      </c>
      <c r="F336" s="30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</row>
    <row r="337" spans="1:55" s="23" customFormat="1" ht="17.25" customHeight="1" x14ac:dyDescent="0.3">
      <c r="A337" s="11"/>
      <c r="B337" s="12"/>
      <c r="C337" s="12"/>
      <c r="D337" s="12"/>
      <c r="E337" s="33"/>
    </row>
    <row r="338" spans="1:55" x14ac:dyDescent="0.3">
      <c r="A338" s="18"/>
      <c r="B338" s="19"/>
      <c r="C338" s="19"/>
      <c r="D338" s="19"/>
      <c r="E338" s="31"/>
    </row>
    <row r="339" spans="1:55" x14ac:dyDescent="0.3">
      <c r="A339" s="18"/>
      <c r="B339" s="19"/>
      <c r="C339" s="19"/>
      <c r="D339" s="19"/>
      <c r="E339" s="31"/>
    </row>
    <row r="340" spans="1:55" x14ac:dyDescent="0.3">
      <c r="A340" s="18"/>
      <c r="B340" s="19"/>
      <c r="C340" s="19"/>
      <c r="D340" s="19"/>
      <c r="E340" s="31"/>
    </row>
    <row r="341" spans="1:55" x14ac:dyDescent="0.3">
      <c r="A341" s="18"/>
      <c r="B341" s="19"/>
      <c r="C341" s="19"/>
      <c r="D341" s="19"/>
      <c r="E341" s="31"/>
    </row>
    <row r="342" spans="1:55" x14ac:dyDescent="0.3">
      <c r="A342" s="18"/>
      <c r="B342" s="19"/>
      <c r="C342" s="19"/>
      <c r="D342" s="19"/>
      <c r="E342" s="31"/>
    </row>
    <row r="343" spans="1:55" x14ac:dyDescent="0.3">
      <c r="A343" s="18"/>
      <c r="B343" s="19"/>
      <c r="C343" s="19"/>
      <c r="D343" s="19"/>
      <c r="E343" s="31"/>
    </row>
    <row r="344" spans="1:55" x14ac:dyDescent="0.3">
      <c r="A344" s="18"/>
      <c r="B344" s="19"/>
      <c r="C344" s="19"/>
      <c r="D344" s="19"/>
      <c r="E344" s="31"/>
    </row>
    <row r="345" spans="1:55" x14ac:dyDescent="0.3">
      <c r="A345" s="18"/>
      <c r="B345" s="19"/>
      <c r="C345" s="19"/>
      <c r="D345" s="19"/>
      <c r="E345" s="31"/>
    </row>
    <row r="346" spans="1:55" x14ac:dyDescent="0.3">
      <c r="A346" s="18"/>
      <c r="B346" s="19"/>
      <c r="C346" s="19"/>
      <c r="D346" s="19"/>
      <c r="E346" s="31"/>
      <c r="F346" s="54" t="s">
        <v>47</v>
      </c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16"/>
      <c r="Z346" s="16"/>
      <c r="AA346" s="16"/>
      <c r="AB346" s="16"/>
      <c r="AC346" s="16"/>
      <c r="AD346" s="16"/>
      <c r="AE346" s="16"/>
      <c r="AF346" s="54" t="str">
        <f>C318</f>
        <v>Sr. Esteban Callisaya Tola</v>
      </c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</row>
    <row r="347" spans="1:55" x14ac:dyDescent="0.3">
      <c r="A347" s="18"/>
      <c r="B347" s="19"/>
      <c r="C347" s="19"/>
      <c r="D347" s="19"/>
      <c r="E347" s="31"/>
      <c r="AF347" s="55" t="s">
        <v>140</v>
      </c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</row>
    <row r="348" spans="1:55" x14ac:dyDescent="0.3">
      <c r="A348" s="18"/>
      <c r="B348" s="19"/>
      <c r="C348" s="19"/>
      <c r="D348" s="19"/>
      <c r="E348" s="31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</row>
    <row r="349" spans="1:55" x14ac:dyDescent="0.3">
      <c r="A349" s="18"/>
      <c r="B349" s="19"/>
      <c r="C349" s="19"/>
      <c r="D349" s="19"/>
      <c r="E349" s="31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</row>
    <row r="350" spans="1:55" ht="30" customHeight="1" x14ac:dyDescent="0.3">
      <c r="A350" s="56" t="s">
        <v>0</v>
      </c>
      <c r="B350" s="57"/>
      <c r="C350" s="57"/>
      <c r="D350" s="57"/>
      <c r="E350" s="34">
        <v>11</v>
      </c>
      <c r="F350" s="58" t="s">
        <v>1</v>
      </c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</row>
    <row r="351" spans="1:55" x14ac:dyDescent="0.3">
      <c r="A351" s="65" t="s">
        <v>2</v>
      </c>
      <c r="B351" s="66"/>
      <c r="C351" s="3">
        <f>VLOOKUP(BUS_11,[1]DATOS!$B$9:$G$28,5)</f>
        <v>2</v>
      </c>
      <c r="D351" s="59" t="str">
        <f>VLOOKUP(BUS_11,[1]DATOS!$B$9:$G$28,6)</f>
        <v>FEBRERO</v>
      </c>
      <c r="E351" s="59"/>
      <c r="F351" s="60" t="str">
        <f>$F$2</f>
        <v>MARZO</v>
      </c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</row>
    <row r="352" spans="1:55" x14ac:dyDescent="0.3">
      <c r="A352" s="61" t="s">
        <v>3</v>
      </c>
      <c r="B352" s="59"/>
      <c r="C352" s="59" t="str">
        <f>VLOOKUP(BUS_11,[1]DATOS!$B$9:$G$28,2)</f>
        <v>Sr. Efrain Pajsi Villca</v>
      </c>
      <c r="D352" s="59"/>
      <c r="E352" s="4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</row>
    <row r="353" spans="1:55" x14ac:dyDescent="0.3">
      <c r="A353" s="61" t="s">
        <v>4</v>
      </c>
      <c r="B353" s="59"/>
      <c r="C353" s="59">
        <f>VLOOKUP(BUS_11,[1]DATOS!$B$9:$G$28,4)</f>
        <v>68096187</v>
      </c>
      <c r="D353" s="59"/>
      <c r="E353" s="4"/>
      <c r="F353" s="64" t="s">
        <v>5</v>
      </c>
      <c r="G353" s="64"/>
      <c r="H353" s="64" t="s">
        <v>6</v>
      </c>
      <c r="I353" s="64"/>
      <c r="J353" s="64" t="s">
        <v>6</v>
      </c>
      <c r="K353" s="64"/>
      <c r="L353" s="64" t="s">
        <v>7</v>
      </c>
      <c r="M353" s="64"/>
      <c r="N353" s="64" t="s">
        <v>8</v>
      </c>
      <c r="O353" s="64"/>
      <c r="P353" s="64" t="s">
        <v>5</v>
      </c>
      <c r="Q353" s="64"/>
      <c r="R353" s="64" t="s">
        <v>6</v>
      </c>
      <c r="S353" s="64"/>
      <c r="T353" s="64" t="s">
        <v>6</v>
      </c>
      <c r="U353" s="64"/>
      <c r="V353" s="64" t="s">
        <v>7</v>
      </c>
      <c r="W353" s="64"/>
      <c r="X353" s="64" t="s">
        <v>8</v>
      </c>
      <c r="Y353" s="64"/>
      <c r="Z353" s="64" t="s">
        <v>5</v>
      </c>
      <c r="AA353" s="64"/>
      <c r="AB353" s="64" t="s">
        <v>6</v>
      </c>
      <c r="AC353" s="64"/>
      <c r="AD353" s="64" t="s">
        <v>6</v>
      </c>
      <c r="AE353" s="64"/>
      <c r="AF353" s="64" t="s">
        <v>7</v>
      </c>
      <c r="AG353" s="64"/>
      <c r="AH353" s="64" t="s">
        <v>8</v>
      </c>
      <c r="AI353" s="64"/>
      <c r="AJ353" s="64" t="s">
        <v>5</v>
      </c>
      <c r="AK353" s="64"/>
      <c r="AL353" s="64" t="s">
        <v>6</v>
      </c>
      <c r="AM353" s="64"/>
      <c r="AN353" s="64" t="s">
        <v>6</v>
      </c>
      <c r="AO353" s="64"/>
      <c r="AP353" s="64" t="s">
        <v>7</v>
      </c>
      <c r="AQ353" s="64"/>
      <c r="AR353" s="64" t="s">
        <v>8</v>
      </c>
      <c r="AS353" s="64"/>
      <c r="AT353" s="64" t="s">
        <v>5</v>
      </c>
      <c r="AU353" s="64"/>
      <c r="AV353" s="64" t="s">
        <v>6</v>
      </c>
      <c r="AW353" s="64"/>
      <c r="AX353" s="64" t="s">
        <v>6</v>
      </c>
      <c r="AY353" s="64"/>
      <c r="AZ353" s="64" t="s">
        <v>7</v>
      </c>
      <c r="BA353" s="64"/>
      <c r="BB353" s="64" t="s">
        <v>8</v>
      </c>
      <c r="BC353" s="64"/>
    </row>
    <row r="354" spans="1:55" x14ac:dyDescent="0.3">
      <c r="A354" s="62" t="s">
        <v>9</v>
      </c>
      <c r="B354" s="62" t="s">
        <v>10</v>
      </c>
      <c r="C354" s="62" t="s">
        <v>11</v>
      </c>
      <c r="D354" s="62" t="s">
        <v>12</v>
      </c>
      <c r="E354" s="62" t="s">
        <v>13</v>
      </c>
      <c r="F354" s="63">
        <f>$F$5</f>
        <v>2</v>
      </c>
      <c r="G354" s="63"/>
      <c r="H354" s="52">
        <f>$H$5</f>
        <v>3</v>
      </c>
      <c r="I354" s="53"/>
      <c r="J354" s="52">
        <f>$J$5</f>
        <v>4</v>
      </c>
      <c r="K354" s="53"/>
      <c r="L354" s="52">
        <f>$L$5</f>
        <v>5</v>
      </c>
      <c r="M354" s="53"/>
      <c r="N354" s="52">
        <f>$N$5</f>
        <v>6</v>
      </c>
      <c r="O354" s="53"/>
      <c r="P354" s="52">
        <f>$P$5</f>
        <v>9</v>
      </c>
      <c r="Q354" s="53"/>
      <c r="R354" s="52">
        <f>$R$5</f>
        <v>10</v>
      </c>
      <c r="S354" s="53"/>
      <c r="T354" s="52">
        <f>$T$5</f>
        <v>11</v>
      </c>
      <c r="U354" s="53"/>
      <c r="V354" s="52">
        <f>$V$5</f>
        <v>12</v>
      </c>
      <c r="W354" s="53"/>
      <c r="X354" s="52">
        <f>$X$5</f>
        <v>13</v>
      </c>
      <c r="Y354" s="53"/>
      <c r="Z354" s="52">
        <f>$Z$5</f>
        <v>16</v>
      </c>
      <c r="AA354" s="53"/>
      <c r="AB354" s="52">
        <f>$AB$5</f>
        <v>17</v>
      </c>
      <c r="AC354" s="53"/>
      <c r="AD354" s="52">
        <f>$AD$5</f>
        <v>18</v>
      </c>
      <c r="AE354" s="53"/>
      <c r="AF354" s="52">
        <f>$AF$5</f>
        <v>19</v>
      </c>
      <c r="AG354" s="53"/>
      <c r="AH354" s="52">
        <f>$AH$5</f>
        <v>20</v>
      </c>
      <c r="AI354" s="53"/>
      <c r="AJ354" s="52">
        <f>$AJ$5</f>
        <v>23</v>
      </c>
      <c r="AK354" s="53"/>
      <c r="AL354" s="52">
        <f>$AL$5</f>
        <v>24</v>
      </c>
      <c r="AM354" s="53"/>
      <c r="AN354" s="52">
        <f>$AN$5</f>
        <v>25</v>
      </c>
      <c r="AO354" s="53"/>
      <c r="AP354" s="52">
        <f>$AP$5</f>
        <v>26</v>
      </c>
      <c r="AQ354" s="53"/>
      <c r="AR354" s="52">
        <f>$AR$5</f>
        <v>27</v>
      </c>
      <c r="AS354" s="53"/>
      <c r="AT354" s="52">
        <f>$AT$5</f>
        <v>0</v>
      </c>
      <c r="AU354" s="53"/>
      <c r="AV354" s="52">
        <f>$AV$5</f>
        <v>0</v>
      </c>
      <c r="AW354" s="53"/>
      <c r="AX354" s="52">
        <f>$AX$5</f>
        <v>0</v>
      </c>
      <c r="AY354" s="53"/>
      <c r="AZ354" s="52">
        <f>$AZ$5</f>
        <v>0</v>
      </c>
      <c r="BA354" s="53"/>
      <c r="BB354" s="52">
        <f>$BB$5</f>
        <v>0</v>
      </c>
      <c r="BC354" s="53"/>
    </row>
    <row r="355" spans="1:55" x14ac:dyDescent="0.3">
      <c r="A355" s="62"/>
      <c r="B355" s="62"/>
      <c r="C355" s="62"/>
      <c r="D355" s="62"/>
      <c r="E355" s="62"/>
      <c r="F355" s="5" t="s">
        <v>14</v>
      </c>
      <c r="G355" s="5" t="s">
        <v>15</v>
      </c>
      <c r="H355" s="5" t="s">
        <v>14</v>
      </c>
      <c r="I355" s="5" t="s">
        <v>15</v>
      </c>
      <c r="J355" s="5" t="s">
        <v>14</v>
      </c>
      <c r="K355" s="5" t="s">
        <v>15</v>
      </c>
      <c r="L355" s="5" t="s">
        <v>14</v>
      </c>
      <c r="M355" s="5" t="s">
        <v>15</v>
      </c>
      <c r="N355" s="5" t="s">
        <v>14</v>
      </c>
      <c r="O355" s="5" t="s">
        <v>15</v>
      </c>
      <c r="P355" s="5" t="s">
        <v>14</v>
      </c>
      <c r="Q355" s="5" t="s">
        <v>15</v>
      </c>
      <c r="R355" s="5" t="s">
        <v>14</v>
      </c>
      <c r="S355" s="5" t="s">
        <v>15</v>
      </c>
      <c r="T355" s="5" t="s">
        <v>14</v>
      </c>
      <c r="U355" s="5" t="s">
        <v>15</v>
      </c>
      <c r="V355" s="5" t="s">
        <v>14</v>
      </c>
      <c r="W355" s="5" t="s">
        <v>15</v>
      </c>
      <c r="X355" s="5" t="s">
        <v>14</v>
      </c>
      <c r="Y355" s="5" t="s">
        <v>15</v>
      </c>
      <c r="Z355" s="5" t="s">
        <v>14</v>
      </c>
      <c r="AA355" s="5" t="s">
        <v>15</v>
      </c>
      <c r="AB355" s="5" t="s">
        <v>14</v>
      </c>
      <c r="AC355" s="5" t="s">
        <v>15</v>
      </c>
      <c r="AD355" s="5" t="s">
        <v>14</v>
      </c>
      <c r="AE355" s="5" t="s">
        <v>15</v>
      </c>
      <c r="AF355" s="5" t="s">
        <v>14</v>
      </c>
      <c r="AG355" s="5" t="s">
        <v>15</v>
      </c>
      <c r="AH355" s="5" t="s">
        <v>14</v>
      </c>
      <c r="AI355" s="5" t="s">
        <v>15</v>
      </c>
      <c r="AJ355" s="5" t="s">
        <v>14</v>
      </c>
      <c r="AK355" s="5" t="s">
        <v>15</v>
      </c>
      <c r="AL355" s="5" t="s">
        <v>14</v>
      </c>
      <c r="AM355" s="5" t="s">
        <v>15</v>
      </c>
      <c r="AN355" s="5" t="s">
        <v>14</v>
      </c>
      <c r="AO355" s="5" t="s">
        <v>15</v>
      </c>
      <c r="AP355" s="5" t="s">
        <v>14</v>
      </c>
      <c r="AQ355" s="5" t="s">
        <v>15</v>
      </c>
      <c r="AR355" s="5" t="s">
        <v>14</v>
      </c>
      <c r="AS355" s="5" t="s">
        <v>15</v>
      </c>
      <c r="AT355" s="5" t="s">
        <v>14</v>
      </c>
      <c r="AU355" s="5" t="s">
        <v>15</v>
      </c>
      <c r="AV355" s="5" t="s">
        <v>14</v>
      </c>
      <c r="AW355" s="5" t="s">
        <v>15</v>
      </c>
      <c r="AX355" s="5" t="s">
        <v>14</v>
      </c>
      <c r="AY355" s="5" t="s">
        <v>15</v>
      </c>
      <c r="AZ355" s="5" t="s">
        <v>14</v>
      </c>
      <c r="BA355" s="5" t="s">
        <v>15</v>
      </c>
      <c r="BB355" s="5" t="s">
        <v>14</v>
      </c>
      <c r="BC355" s="5" t="s">
        <v>15</v>
      </c>
    </row>
    <row r="356" spans="1:55" s="23" customFormat="1" ht="17.25" customHeight="1" x14ac:dyDescent="0.3">
      <c r="A356" s="6">
        <v>1</v>
      </c>
      <c r="B356" s="7" t="s">
        <v>80</v>
      </c>
      <c r="C356" s="7" t="s">
        <v>113</v>
      </c>
      <c r="D356" s="7" t="s">
        <v>210</v>
      </c>
      <c r="E356" s="8" t="s">
        <v>54</v>
      </c>
      <c r="F356" s="30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</row>
    <row r="357" spans="1:55" s="23" customFormat="1" ht="17.25" customHeight="1" x14ac:dyDescent="0.3">
      <c r="A357" s="6">
        <v>2</v>
      </c>
      <c r="B357" s="7" t="s">
        <v>100</v>
      </c>
      <c r="C357" s="7" t="s">
        <v>119</v>
      </c>
      <c r="D357" s="7" t="s">
        <v>474</v>
      </c>
      <c r="E357" s="8" t="s">
        <v>475</v>
      </c>
      <c r="F357" s="30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</row>
    <row r="358" spans="1:55" s="23" customFormat="1" ht="17.25" customHeight="1" x14ac:dyDescent="0.3">
      <c r="A358" s="6">
        <v>3</v>
      </c>
      <c r="B358" s="7" t="s">
        <v>476</v>
      </c>
      <c r="C358" s="7" t="s">
        <v>32</v>
      </c>
      <c r="D358" s="7" t="s">
        <v>257</v>
      </c>
      <c r="E358" s="8" t="s">
        <v>118</v>
      </c>
      <c r="F358" s="30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</row>
    <row r="359" spans="1:55" s="23" customFormat="1" ht="17.25" customHeight="1" x14ac:dyDescent="0.3">
      <c r="A359" s="6">
        <v>4</v>
      </c>
      <c r="B359" s="7" t="s">
        <v>476</v>
      </c>
      <c r="C359" s="7" t="s">
        <v>20</v>
      </c>
      <c r="D359" s="7" t="s">
        <v>258</v>
      </c>
      <c r="E359" s="8" t="s">
        <v>29</v>
      </c>
      <c r="F359" s="30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</row>
    <row r="360" spans="1:55" s="23" customFormat="1" ht="17.25" customHeight="1" x14ac:dyDescent="0.3">
      <c r="A360" s="6">
        <v>5</v>
      </c>
      <c r="B360" s="7" t="s">
        <v>144</v>
      </c>
      <c r="C360" s="7" t="s">
        <v>145</v>
      </c>
      <c r="D360" s="7" t="s">
        <v>146</v>
      </c>
      <c r="E360" s="8" t="s">
        <v>54</v>
      </c>
      <c r="F360" s="30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</row>
    <row r="361" spans="1:55" s="23" customFormat="1" ht="17.25" customHeight="1" x14ac:dyDescent="0.3">
      <c r="A361" s="6">
        <v>6</v>
      </c>
      <c r="B361" s="7" t="s">
        <v>144</v>
      </c>
      <c r="C361" s="7" t="s">
        <v>145</v>
      </c>
      <c r="D361" s="7" t="s">
        <v>186</v>
      </c>
      <c r="E361" s="8" t="s">
        <v>52</v>
      </c>
      <c r="F361" s="30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</row>
    <row r="362" spans="1:55" s="23" customFormat="1" ht="17.25" customHeight="1" x14ac:dyDescent="0.3">
      <c r="A362" s="6">
        <v>7</v>
      </c>
      <c r="B362" s="7" t="s">
        <v>477</v>
      </c>
      <c r="C362" s="7" t="s">
        <v>476</v>
      </c>
      <c r="D362" s="7" t="s">
        <v>478</v>
      </c>
      <c r="E362" s="8" t="s">
        <v>124</v>
      </c>
      <c r="F362" s="30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</row>
    <row r="363" spans="1:55" s="23" customFormat="1" ht="17.25" customHeight="1" x14ac:dyDescent="0.3">
      <c r="A363" s="6">
        <v>8</v>
      </c>
      <c r="B363" s="7" t="s">
        <v>479</v>
      </c>
      <c r="C363" s="7" t="s">
        <v>177</v>
      </c>
      <c r="D363" s="7" t="s">
        <v>480</v>
      </c>
      <c r="E363" s="8" t="s">
        <v>59</v>
      </c>
      <c r="F363" s="30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</row>
    <row r="364" spans="1:55" s="23" customFormat="1" ht="17.25" customHeight="1" x14ac:dyDescent="0.3">
      <c r="A364" s="6">
        <v>9</v>
      </c>
      <c r="B364" s="7" t="s">
        <v>481</v>
      </c>
      <c r="C364" s="7" t="s">
        <v>177</v>
      </c>
      <c r="D364" s="7" t="s">
        <v>482</v>
      </c>
      <c r="E364" s="8" t="s">
        <v>108</v>
      </c>
      <c r="F364" s="30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</row>
    <row r="365" spans="1:55" s="23" customFormat="1" ht="17.25" customHeight="1" x14ac:dyDescent="0.3">
      <c r="A365" s="6">
        <v>10</v>
      </c>
      <c r="B365" s="7" t="s">
        <v>481</v>
      </c>
      <c r="C365" s="7" t="s">
        <v>177</v>
      </c>
      <c r="D365" s="7" t="s">
        <v>483</v>
      </c>
      <c r="E365" s="8" t="s">
        <v>54</v>
      </c>
      <c r="F365" s="30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</row>
    <row r="366" spans="1:55" s="23" customFormat="1" ht="17.25" customHeight="1" x14ac:dyDescent="0.3">
      <c r="A366" s="6">
        <v>11</v>
      </c>
      <c r="B366" s="7" t="s">
        <v>149</v>
      </c>
      <c r="C366" s="7" t="s">
        <v>150</v>
      </c>
      <c r="D366" s="7" t="s">
        <v>151</v>
      </c>
      <c r="E366" s="7" t="s">
        <v>92</v>
      </c>
      <c r="F366" s="30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</row>
    <row r="367" spans="1:55" s="23" customFormat="1" ht="17.25" customHeight="1" x14ac:dyDescent="0.3">
      <c r="A367" s="6">
        <v>12</v>
      </c>
      <c r="B367" s="7" t="s">
        <v>484</v>
      </c>
      <c r="C367" s="7" t="s">
        <v>485</v>
      </c>
      <c r="D367" s="7" t="s">
        <v>486</v>
      </c>
      <c r="E367" s="7" t="s">
        <v>52</v>
      </c>
      <c r="F367" s="30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</row>
    <row r="368" spans="1:55" s="23" customFormat="1" ht="17.25" customHeight="1" x14ac:dyDescent="0.3">
      <c r="A368" s="6">
        <v>13</v>
      </c>
      <c r="B368" s="7" t="s">
        <v>487</v>
      </c>
      <c r="C368" s="7" t="s">
        <v>485</v>
      </c>
      <c r="D368" s="7" t="s">
        <v>488</v>
      </c>
      <c r="E368" s="7" t="s">
        <v>29</v>
      </c>
      <c r="F368" s="30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</row>
    <row r="369" spans="1:55" ht="17.25" customHeight="1" x14ac:dyDescent="0.3">
      <c r="A369" s="32">
        <v>14</v>
      </c>
      <c r="B369" s="7" t="s">
        <v>489</v>
      </c>
      <c r="C369" s="7"/>
      <c r="D369" s="7" t="s">
        <v>259</v>
      </c>
      <c r="E369" s="7" t="s">
        <v>60</v>
      </c>
      <c r="F369" s="30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</row>
    <row r="370" spans="1:55" ht="17.25" customHeight="1" x14ac:dyDescent="0.3">
      <c r="A370" s="32">
        <v>15</v>
      </c>
      <c r="B370" s="7" t="s">
        <v>490</v>
      </c>
      <c r="C370" s="7" t="s">
        <v>225</v>
      </c>
      <c r="D370" s="7" t="s">
        <v>491</v>
      </c>
      <c r="E370" s="7" t="s">
        <v>475</v>
      </c>
      <c r="F370" s="30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</row>
    <row r="371" spans="1:55" ht="17.25" customHeight="1" x14ac:dyDescent="0.3">
      <c r="A371" s="18"/>
      <c r="B371" s="19"/>
      <c r="C371" s="19"/>
      <c r="D371" s="19"/>
      <c r="E371" s="20"/>
    </row>
    <row r="372" spans="1:55" x14ac:dyDescent="0.3">
      <c r="A372" s="18"/>
      <c r="B372" s="19"/>
      <c r="C372" s="19"/>
      <c r="D372" s="19"/>
      <c r="E372" s="20"/>
    </row>
    <row r="373" spans="1:55" x14ac:dyDescent="0.3">
      <c r="A373" s="18"/>
      <c r="B373" s="19"/>
      <c r="C373" s="19"/>
      <c r="D373" s="19"/>
      <c r="E373" s="20"/>
    </row>
    <row r="374" spans="1:55" x14ac:dyDescent="0.3">
      <c r="A374" s="18"/>
      <c r="B374" s="19"/>
      <c r="C374" s="19"/>
      <c r="D374" s="19"/>
      <c r="E374" s="20"/>
    </row>
    <row r="375" spans="1:55" x14ac:dyDescent="0.3">
      <c r="A375" s="18"/>
      <c r="B375" s="19"/>
      <c r="C375" s="19"/>
      <c r="D375" s="19"/>
      <c r="E375" s="20"/>
    </row>
    <row r="376" spans="1:55" x14ac:dyDescent="0.3">
      <c r="A376" s="18"/>
      <c r="B376" s="19"/>
      <c r="C376" s="19"/>
      <c r="D376" s="19"/>
      <c r="E376" s="20"/>
    </row>
    <row r="377" spans="1:55" x14ac:dyDescent="0.3">
      <c r="A377" s="18"/>
      <c r="B377" s="19"/>
      <c r="C377" s="19"/>
      <c r="D377" s="19"/>
      <c r="E377" s="20"/>
    </row>
    <row r="378" spans="1:55" x14ac:dyDescent="0.3">
      <c r="A378" s="18"/>
      <c r="B378" s="19"/>
      <c r="C378" s="19"/>
      <c r="D378" s="19"/>
      <c r="E378" s="20"/>
    </row>
    <row r="379" spans="1:55" x14ac:dyDescent="0.3">
      <c r="A379" s="18"/>
      <c r="B379" s="19"/>
      <c r="C379" s="19"/>
      <c r="D379" s="19"/>
      <c r="E379" s="20"/>
    </row>
    <row r="380" spans="1:55" x14ac:dyDescent="0.3">
      <c r="A380" s="18"/>
      <c r="B380" s="19"/>
      <c r="C380" s="19"/>
      <c r="D380" s="19"/>
      <c r="E380" s="20"/>
      <c r="F380" s="54" t="s">
        <v>47</v>
      </c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16"/>
      <c r="Z380" s="16"/>
      <c r="AA380" s="16"/>
      <c r="AB380" s="16"/>
      <c r="AC380" s="16"/>
      <c r="AD380" s="16"/>
      <c r="AE380" s="16"/>
      <c r="AF380" s="54" t="str">
        <f>C352</f>
        <v>Sr. Efrain Pajsi Villca</v>
      </c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</row>
    <row r="381" spans="1:55" x14ac:dyDescent="0.3">
      <c r="A381" s="18"/>
      <c r="B381" s="19"/>
      <c r="C381" s="19"/>
      <c r="D381" s="19"/>
      <c r="E381" s="20"/>
      <c r="AF381" s="55" t="s">
        <v>152</v>
      </c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</row>
    <row r="382" spans="1:55" x14ac:dyDescent="0.3">
      <c r="A382" s="18"/>
      <c r="B382" s="19"/>
      <c r="C382" s="19"/>
      <c r="D382" s="19"/>
      <c r="E382" s="20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</row>
    <row r="383" spans="1:55" x14ac:dyDescent="0.3">
      <c r="A383" s="18"/>
      <c r="B383" s="19"/>
      <c r="C383" s="19"/>
      <c r="D383" s="19"/>
      <c r="E383" s="20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</row>
    <row r="384" spans="1:55" ht="30" customHeight="1" x14ac:dyDescent="0.3">
      <c r="A384" s="56" t="s">
        <v>0</v>
      </c>
      <c r="B384" s="57"/>
      <c r="C384" s="57"/>
      <c r="D384" s="57"/>
      <c r="E384" s="1">
        <v>12</v>
      </c>
      <c r="F384" s="58" t="s">
        <v>1</v>
      </c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</row>
    <row r="385" spans="1:55" x14ac:dyDescent="0.3">
      <c r="A385" s="65" t="s">
        <v>2</v>
      </c>
      <c r="B385" s="66"/>
      <c r="C385" s="3">
        <f>VLOOKUP(BUS_12,[1]DATOS!$B$9:$G$28,5)</f>
        <v>2</v>
      </c>
      <c r="D385" s="59" t="str">
        <f>VLOOKUP(BUS_12,[1]DATOS!$B$9:$G$28,6)</f>
        <v>FEBRERO</v>
      </c>
      <c r="E385" s="59"/>
      <c r="F385" s="60" t="str">
        <f>$F$2</f>
        <v>MARZO</v>
      </c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</row>
    <row r="386" spans="1:55" x14ac:dyDescent="0.3">
      <c r="A386" s="61" t="s">
        <v>3</v>
      </c>
      <c r="B386" s="59"/>
      <c r="C386" s="59" t="str">
        <f>VLOOKUP(BUS_12,[1]DATOS!$B$9:$G$28,2)</f>
        <v>Sr. Jose Luis Lecoña Poma</v>
      </c>
      <c r="D386" s="59"/>
      <c r="E386" s="4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</row>
    <row r="387" spans="1:55" x14ac:dyDescent="0.3">
      <c r="A387" s="61" t="s">
        <v>4</v>
      </c>
      <c r="B387" s="59"/>
      <c r="C387" s="59">
        <f>VLOOKUP(BUS_12,[1]DATOS!$B$9:$G$28,4)</f>
        <v>74919139</v>
      </c>
      <c r="D387" s="59"/>
      <c r="E387" s="4"/>
      <c r="F387" s="64" t="s">
        <v>5</v>
      </c>
      <c r="G387" s="64"/>
      <c r="H387" s="64" t="s">
        <v>6</v>
      </c>
      <c r="I387" s="64"/>
      <c r="J387" s="64" t="s">
        <v>6</v>
      </c>
      <c r="K387" s="64"/>
      <c r="L387" s="64" t="s">
        <v>7</v>
      </c>
      <c r="M387" s="64"/>
      <c r="N387" s="64" t="s">
        <v>8</v>
      </c>
      <c r="O387" s="64"/>
      <c r="P387" s="64" t="s">
        <v>5</v>
      </c>
      <c r="Q387" s="64"/>
      <c r="R387" s="64" t="s">
        <v>6</v>
      </c>
      <c r="S387" s="64"/>
      <c r="T387" s="64" t="s">
        <v>6</v>
      </c>
      <c r="U387" s="64"/>
      <c r="V387" s="64" t="s">
        <v>7</v>
      </c>
      <c r="W387" s="64"/>
      <c r="X387" s="64" t="s">
        <v>8</v>
      </c>
      <c r="Y387" s="64"/>
      <c r="Z387" s="64" t="s">
        <v>5</v>
      </c>
      <c r="AA387" s="64"/>
      <c r="AB387" s="64" t="s">
        <v>6</v>
      </c>
      <c r="AC387" s="64"/>
      <c r="AD387" s="64" t="s">
        <v>6</v>
      </c>
      <c r="AE387" s="64"/>
      <c r="AF387" s="64" t="s">
        <v>7</v>
      </c>
      <c r="AG387" s="64"/>
      <c r="AH387" s="64" t="s">
        <v>8</v>
      </c>
      <c r="AI387" s="64"/>
      <c r="AJ387" s="64" t="s">
        <v>5</v>
      </c>
      <c r="AK387" s="64"/>
      <c r="AL387" s="64" t="s">
        <v>6</v>
      </c>
      <c r="AM387" s="64"/>
      <c r="AN387" s="64" t="s">
        <v>6</v>
      </c>
      <c r="AO387" s="64"/>
      <c r="AP387" s="64" t="s">
        <v>7</v>
      </c>
      <c r="AQ387" s="64"/>
      <c r="AR387" s="64" t="s">
        <v>8</v>
      </c>
      <c r="AS387" s="64"/>
      <c r="AT387" s="64" t="s">
        <v>5</v>
      </c>
      <c r="AU387" s="64"/>
      <c r="AV387" s="64" t="s">
        <v>6</v>
      </c>
      <c r="AW387" s="64"/>
      <c r="AX387" s="64" t="s">
        <v>6</v>
      </c>
      <c r="AY387" s="64"/>
      <c r="AZ387" s="64" t="s">
        <v>7</v>
      </c>
      <c r="BA387" s="64"/>
      <c r="BB387" s="64" t="s">
        <v>8</v>
      </c>
      <c r="BC387" s="64"/>
    </row>
    <row r="388" spans="1:55" x14ac:dyDescent="0.3">
      <c r="A388" s="62" t="s">
        <v>9</v>
      </c>
      <c r="B388" s="62" t="s">
        <v>10</v>
      </c>
      <c r="C388" s="62" t="s">
        <v>11</v>
      </c>
      <c r="D388" s="62" t="s">
        <v>12</v>
      </c>
      <c r="E388" s="62" t="s">
        <v>13</v>
      </c>
      <c r="F388" s="63">
        <f>$F$5</f>
        <v>2</v>
      </c>
      <c r="G388" s="63"/>
      <c r="H388" s="52">
        <f>$H$5</f>
        <v>3</v>
      </c>
      <c r="I388" s="53"/>
      <c r="J388" s="52">
        <f>$J$5</f>
        <v>4</v>
      </c>
      <c r="K388" s="53"/>
      <c r="L388" s="52">
        <f>$L$5</f>
        <v>5</v>
      </c>
      <c r="M388" s="53"/>
      <c r="N388" s="52">
        <f>$N$5</f>
        <v>6</v>
      </c>
      <c r="O388" s="53"/>
      <c r="P388" s="52">
        <f>$P$5</f>
        <v>9</v>
      </c>
      <c r="Q388" s="53"/>
      <c r="R388" s="52">
        <f>$R$5</f>
        <v>10</v>
      </c>
      <c r="S388" s="53"/>
      <c r="T388" s="52">
        <f>$T$5</f>
        <v>11</v>
      </c>
      <c r="U388" s="53"/>
      <c r="V388" s="52">
        <f>$V$5</f>
        <v>12</v>
      </c>
      <c r="W388" s="53"/>
      <c r="X388" s="52">
        <f>$X$5</f>
        <v>13</v>
      </c>
      <c r="Y388" s="53"/>
      <c r="Z388" s="52">
        <f>$Z$5</f>
        <v>16</v>
      </c>
      <c r="AA388" s="53"/>
      <c r="AB388" s="52">
        <f>$AB$5</f>
        <v>17</v>
      </c>
      <c r="AC388" s="53"/>
      <c r="AD388" s="52">
        <f>$AD$5</f>
        <v>18</v>
      </c>
      <c r="AE388" s="53"/>
      <c r="AF388" s="52">
        <f>$AF$5</f>
        <v>19</v>
      </c>
      <c r="AG388" s="53"/>
      <c r="AH388" s="52">
        <f>$AH$5</f>
        <v>20</v>
      </c>
      <c r="AI388" s="53"/>
      <c r="AJ388" s="52">
        <f>$AJ$5</f>
        <v>23</v>
      </c>
      <c r="AK388" s="53"/>
      <c r="AL388" s="52">
        <f>$AL$5</f>
        <v>24</v>
      </c>
      <c r="AM388" s="53"/>
      <c r="AN388" s="52">
        <f>$AN$5</f>
        <v>25</v>
      </c>
      <c r="AO388" s="53"/>
      <c r="AP388" s="52">
        <f>$AP$5</f>
        <v>26</v>
      </c>
      <c r="AQ388" s="53"/>
      <c r="AR388" s="52">
        <f>$AR$5</f>
        <v>27</v>
      </c>
      <c r="AS388" s="53"/>
      <c r="AT388" s="52">
        <f>$AT$5</f>
        <v>0</v>
      </c>
      <c r="AU388" s="53"/>
      <c r="AV388" s="52">
        <f>$AV$5</f>
        <v>0</v>
      </c>
      <c r="AW388" s="53"/>
      <c r="AX388" s="52">
        <f>$AX$5</f>
        <v>0</v>
      </c>
      <c r="AY388" s="53"/>
      <c r="AZ388" s="52">
        <f>$AZ$5</f>
        <v>0</v>
      </c>
      <c r="BA388" s="53"/>
      <c r="BB388" s="52">
        <f>$BB$5</f>
        <v>0</v>
      </c>
      <c r="BC388" s="53"/>
    </row>
    <row r="389" spans="1:55" x14ac:dyDescent="0.3">
      <c r="A389" s="62"/>
      <c r="B389" s="62"/>
      <c r="C389" s="62"/>
      <c r="D389" s="62"/>
      <c r="E389" s="62"/>
      <c r="F389" s="5" t="s">
        <v>14</v>
      </c>
      <c r="G389" s="5" t="s">
        <v>15</v>
      </c>
      <c r="H389" s="5" t="s">
        <v>14</v>
      </c>
      <c r="I389" s="5" t="s">
        <v>15</v>
      </c>
      <c r="J389" s="5" t="s">
        <v>14</v>
      </c>
      <c r="K389" s="5" t="s">
        <v>15</v>
      </c>
      <c r="L389" s="5" t="s">
        <v>14</v>
      </c>
      <c r="M389" s="5" t="s">
        <v>15</v>
      </c>
      <c r="N389" s="5" t="s">
        <v>14</v>
      </c>
      <c r="O389" s="5" t="s">
        <v>15</v>
      </c>
      <c r="P389" s="5" t="s">
        <v>14</v>
      </c>
      <c r="Q389" s="5" t="s">
        <v>15</v>
      </c>
      <c r="R389" s="5" t="s">
        <v>14</v>
      </c>
      <c r="S389" s="5" t="s">
        <v>15</v>
      </c>
      <c r="T389" s="5" t="s">
        <v>14</v>
      </c>
      <c r="U389" s="5" t="s">
        <v>15</v>
      </c>
      <c r="V389" s="5" t="s">
        <v>14</v>
      </c>
      <c r="W389" s="5" t="s">
        <v>15</v>
      </c>
      <c r="X389" s="5" t="s">
        <v>14</v>
      </c>
      <c r="Y389" s="5" t="s">
        <v>15</v>
      </c>
      <c r="Z389" s="5" t="s">
        <v>14</v>
      </c>
      <c r="AA389" s="5" t="s">
        <v>15</v>
      </c>
      <c r="AB389" s="5" t="s">
        <v>14</v>
      </c>
      <c r="AC389" s="5" t="s">
        <v>15</v>
      </c>
      <c r="AD389" s="5" t="s">
        <v>14</v>
      </c>
      <c r="AE389" s="5" t="s">
        <v>15</v>
      </c>
      <c r="AF389" s="5" t="s">
        <v>14</v>
      </c>
      <c r="AG389" s="5" t="s">
        <v>15</v>
      </c>
      <c r="AH389" s="5" t="s">
        <v>14</v>
      </c>
      <c r="AI389" s="5" t="s">
        <v>15</v>
      </c>
      <c r="AJ389" s="5" t="s">
        <v>14</v>
      </c>
      <c r="AK389" s="5" t="s">
        <v>15</v>
      </c>
      <c r="AL389" s="5" t="s">
        <v>14</v>
      </c>
      <c r="AM389" s="5" t="s">
        <v>15</v>
      </c>
      <c r="AN389" s="5" t="s">
        <v>14</v>
      </c>
      <c r="AO389" s="5" t="s">
        <v>15</v>
      </c>
      <c r="AP389" s="5" t="s">
        <v>14</v>
      </c>
      <c r="AQ389" s="5" t="s">
        <v>15</v>
      </c>
      <c r="AR389" s="5" t="s">
        <v>14</v>
      </c>
      <c r="AS389" s="5" t="s">
        <v>15</v>
      </c>
      <c r="AT389" s="5" t="s">
        <v>14</v>
      </c>
      <c r="AU389" s="5" t="s">
        <v>15</v>
      </c>
      <c r="AV389" s="5" t="s">
        <v>14</v>
      </c>
      <c r="AW389" s="5" t="s">
        <v>15</v>
      </c>
      <c r="AX389" s="5" t="s">
        <v>14</v>
      </c>
      <c r="AY389" s="5" t="s">
        <v>15</v>
      </c>
      <c r="AZ389" s="5" t="s">
        <v>14</v>
      </c>
      <c r="BA389" s="5" t="s">
        <v>15</v>
      </c>
      <c r="BB389" s="5" t="s">
        <v>14</v>
      </c>
      <c r="BC389" s="5" t="s">
        <v>15</v>
      </c>
    </row>
    <row r="390" spans="1:55" s="23" customFormat="1" ht="17.25" customHeight="1" x14ac:dyDescent="0.3">
      <c r="A390" s="38">
        <v>1</v>
      </c>
      <c r="B390" s="39"/>
      <c r="C390" s="39" t="s">
        <v>22</v>
      </c>
      <c r="D390" s="39" t="s">
        <v>188</v>
      </c>
      <c r="E390" s="40" t="s">
        <v>92</v>
      </c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</row>
    <row r="391" spans="1:55" s="23" customFormat="1" ht="17.25" customHeight="1" x14ac:dyDescent="0.3">
      <c r="A391" s="38">
        <v>2</v>
      </c>
      <c r="B391" s="39" t="s">
        <v>189</v>
      </c>
      <c r="C391" s="39" t="s">
        <v>22</v>
      </c>
      <c r="D391" s="39" t="s">
        <v>190</v>
      </c>
      <c r="E391" s="40" t="s">
        <v>593</v>
      </c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</row>
    <row r="392" spans="1:55" s="23" customFormat="1" ht="17.25" customHeight="1" x14ac:dyDescent="0.3">
      <c r="A392" s="38">
        <v>3</v>
      </c>
      <c r="B392" s="41" t="s">
        <v>189</v>
      </c>
      <c r="C392" s="39" t="s">
        <v>22</v>
      </c>
      <c r="D392" s="39" t="s">
        <v>191</v>
      </c>
      <c r="E392" s="40" t="s">
        <v>594</v>
      </c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</row>
    <row r="393" spans="1:55" s="23" customFormat="1" ht="17.25" customHeight="1" x14ac:dyDescent="0.3">
      <c r="A393" s="38">
        <v>4</v>
      </c>
      <c r="B393" s="39" t="s">
        <v>493</v>
      </c>
      <c r="C393" s="39" t="s">
        <v>494</v>
      </c>
      <c r="D393" s="39" t="s">
        <v>495</v>
      </c>
      <c r="E393" s="40" t="s">
        <v>92</v>
      </c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</row>
    <row r="394" spans="1:55" s="23" customFormat="1" ht="17.25" customHeight="1" x14ac:dyDescent="0.3">
      <c r="A394" s="38">
        <v>5</v>
      </c>
      <c r="B394" s="39" t="s">
        <v>260</v>
      </c>
      <c r="C394" s="39" t="s">
        <v>182</v>
      </c>
      <c r="D394" s="39" t="s">
        <v>261</v>
      </c>
      <c r="E394" s="40" t="s">
        <v>54</v>
      </c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</row>
    <row r="395" spans="1:55" s="23" customFormat="1" ht="17.25" customHeight="1" x14ac:dyDescent="0.3">
      <c r="A395" s="38">
        <v>6</v>
      </c>
      <c r="B395" s="39" t="s">
        <v>260</v>
      </c>
      <c r="C395" s="39" t="s">
        <v>182</v>
      </c>
      <c r="D395" s="39" t="s">
        <v>262</v>
      </c>
      <c r="E395" s="40" t="s">
        <v>595</v>
      </c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</row>
    <row r="396" spans="1:55" s="23" customFormat="1" ht="17.25" customHeight="1" x14ac:dyDescent="0.3">
      <c r="A396" s="38">
        <v>7</v>
      </c>
      <c r="B396" s="39" t="s">
        <v>101</v>
      </c>
      <c r="C396" s="39" t="s">
        <v>163</v>
      </c>
      <c r="D396" s="39" t="s">
        <v>192</v>
      </c>
      <c r="E396" s="40" t="s">
        <v>496</v>
      </c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</row>
    <row r="397" spans="1:55" s="23" customFormat="1" ht="17.25" customHeight="1" x14ac:dyDescent="0.3">
      <c r="A397" s="38">
        <v>8</v>
      </c>
      <c r="B397" s="39" t="s">
        <v>101</v>
      </c>
      <c r="C397" s="39" t="s">
        <v>163</v>
      </c>
      <c r="D397" s="39" t="s">
        <v>193</v>
      </c>
      <c r="E397" s="40" t="s">
        <v>353</v>
      </c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</row>
    <row r="398" spans="1:55" s="23" customFormat="1" ht="17.25" customHeight="1" x14ac:dyDescent="0.3">
      <c r="A398" s="38">
        <v>9</v>
      </c>
      <c r="B398" s="39" t="s">
        <v>101</v>
      </c>
      <c r="C398" s="39" t="s">
        <v>163</v>
      </c>
      <c r="D398" s="39" t="s">
        <v>194</v>
      </c>
      <c r="E398" s="40" t="s">
        <v>84</v>
      </c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</row>
    <row r="399" spans="1:55" s="23" customFormat="1" ht="17.25" customHeight="1" x14ac:dyDescent="0.3">
      <c r="A399" s="38">
        <v>10</v>
      </c>
      <c r="B399" s="39" t="s">
        <v>134</v>
      </c>
      <c r="C399" s="39" t="s">
        <v>225</v>
      </c>
      <c r="D399" s="39" t="s">
        <v>497</v>
      </c>
      <c r="E399" s="40" t="s">
        <v>54</v>
      </c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</row>
    <row r="400" spans="1:55" s="23" customFormat="1" ht="17.25" customHeight="1" x14ac:dyDescent="0.3">
      <c r="A400" s="38">
        <v>11</v>
      </c>
      <c r="B400" s="39" t="s">
        <v>498</v>
      </c>
      <c r="C400" s="39" t="s">
        <v>494</v>
      </c>
      <c r="D400" s="39" t="s">
        <v>499</v>
      </c>
      <c r="E400" s="40" t="s">
        <v>492</v>
      </c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</row>
    <row r="401" spans="1:55" s="23" customFormat="1" ht="17.25" customHeight="1" x14ac:dyDescent="0.3">
      <c r="A401" s="38">
        <v>12</v>
      </c>
      <c r="B401" s="39" t="s">
        <v>120</v>
      </c>
      <c r="C401" s="39" t="s">
        <v>500</v>
      </c>
      <c r="D401" s="39" t="s">
        <v>501</v>
      </c>
      <c r="E401" s="40" t="s">
        <v>58</v>
      </c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</row>
    <row r="402" spans="1:55" s="23" customFormat="1" ht="17.25" customHeight="1" x14ac:dyDescent="0.3">
      <c r="A402" s="38">
        <v>13</v>
      </c>
      <c r="B402" s="39" t="s">
        <v>114</v>
      </c>
      <c r="C402" s="39" t="s">
        <v>22</v>
      </c>
      <c r="D402" s="39" t="s">
        <v>195</v>
      </c>
      <c r="E402" s="40" t="s">
        <v>92</v>
      </c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</row>
    <row r="403" spans="1:55" s="23" customFormat="1" ht="17.25" customHeight="1" x14ac:dyDescent="0.3">
      <c r="A403" s="38">
        <v>14</v>
      </c>
      <c r="B403" s="39" t="s">
        <v>114</v>
      </c>
      <c r="C403" s="39" t="s">
        <v>22</v>
      </c>
      <c r="D403" s="39" t="s">
        <v>196</v>
      </c>
      <c r="E403" s="40" t="s">
        <v>54</v>
      </c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</row>
    <row r="404" spans="1:55" s="23" customFormat="1" ht="17.25" customHeight="1" x14ac:dyDescent="0.3">
      <c r="A404" s="35"/>
    </row>
    <row r="405" spans="1:55" s="23" customFormat="1" ht="17.25" customHeight="1" x14ac:dyDescent="0.3">
      <c r="A405" s="35"/>
    </row>
    <row r="415" spans="1:55" x14ac:dyDescent="0.3">
      <c r="F415" s="54" t="s">
        <v>47</v>
      </c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16"/>
      <c r="Z415" s="16"/>
      <c r="AA415" s="16"/>
      <c r="AB415" s="16"/>
      <c r="AC415" s="16"/>
      <c r="AD415" s="16"/>
      <c r="AE415" s="16"/>
      <c r="AF415" s="54" t="str">
        <f>C386</f>
        <v>Sr. Jose Luis Lecoña Poma</v>
      </c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</row>
    <row r="416" spans="1:55" x14ac:dyDescent="0.3">
      <c r="AF416" s="55" t="s">
        <v>199</v>
      </c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</row>
    <row r="419" spans="1:55" ht="24" x14ac:dyDescent="0.3">
      <c r="A419" s="56" t="s">
        <v>0</v>
      </c>
      <c r="B419" s="57"/>
      <c r="C419" s="57"/>
      <c r="D419" s="57"/>
      <c r="E419" s="1">
        <v>13</v>
      </c>
      <c r="F419" s="58" t="s">
        <v>1</v>
      </c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</row>
    <row r="420" spans="1:55" x14ac:dyDescent="0.3">
      <c r="A420" s="65" t="s">
        <v>2</v>
      </c>
      <c r="B420" s="66"/>
      <c r="C420" s="3">
        <f>VLOOKUP(BUS_13,[1]DATOS!$B$9:$G$28,5)</f>
        <v>2</v>
      </c>
      <c r="D420" s="59" t="str">
        <f>VLOOKUP(BUS_13,[1]DATOS!$B$9:$G$28,6)</f>
        <v>FEBRERO</v>
      </c>
      <c r="E420" s="59"/>
      <c r="F420" s="60" t="str">
        <f>$F$2</f>
        <v>MARZO</v>
      </c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</row>
    <row r="421" spans="1:55" x14ac:dyDescent="0.3">
      <c r="A421" s="61" t="s">
        <v>3</v>
      </c>
      <c r="B421" s="59"/>
      <c r="C421" s="59" t="str">
        <f>VLOOKUP(BUS_13,[1]DATOS!$B$9:$G$28,2)</f>
        <v>Sr. German Saravia Balboa</v>
      </c>
      <c r="D421" s="59"/>
      <c r="E421" s="4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</row>
    <row r="422" spans="1:55" x14ac:dyDescent="0.3">
      <c r="A422" s="61" t="s">
        <v>4</v>
      </c>
      <c r="B422" s="59"/>
      <c r="C422" s="59">
        <f>VLOOKUP(BUS_13,[1]DATOS!$B$9:$G$28,4)</f>
        <v>70148171</v>
      </c>
      <c r="D422" s="59"/>
      <c r="E422" s="4"/>
      <c r="F422" s="64" t="s">
        <v>5</v>
      </c>
      <c r="G422" s="64"/>
      <c r="H422" s="64" t="s">
        <v>6</v>
      </c>
      <c r="I422" s="64"/>
      <c r="J422" s="64" t="s">
        <v>6</v>
      </c>
      <c r="K422" s="64"/>
      <c r="L422" s="64" t="s">
        <v>7</v>
      </c>
      <c r="M422" s="64"/>
      <c r="N422" s="64" t="s">
        <v>8</v>
      </c>
      <c r="O422" s="64"/>
      <c r="P422" s="64" t="s">
        <v>5</v>
      </c>
      <c r="Q422" s="64"/>
      <c r="R422" s="64" t="s">
        <v>6</v>
      </c>
      <c r="S422" s="64"/>
      <c r="T422" s="64" t="s">
        <v>6</v>
      </c>
      <c r="U422" s="64"/>
      <c r="V422" s="64" t="s">
        <v>7</v>
      </c>
      <c r="W422" s="64"/>
      <c r="X422" s="64" t="s">
        <v>8</v>
      </c>
      <c r="Y422" s="64"/>
      <c r="Z422" s="64" t="s">
        <v>5</v>
      </c>
      <c r="AA422" s="64"/>
      <c r="AB422" s="64" t="s">
        <v>6</v>
      </c>
      <c r="AC422" s="64"/>
      <c r="AD422" s="64" t="s">
        <v>6</v>
      </c>
      <c r="AE422" s="64"/>
      <c r="AF422" s="64" t="s">
        <v>7</v>
      </c>
      <c r="AG422" s="64"/>
      <c r="AH422" s="64" t="s">
        <v>8</v>
      </c>
      <c r="AI422" s="64"/>
      <c r="AJ422" s="64" t="s">
        <v>5</v>
      </c>
      <c r="AK422" s="64"/>
      <c r="AL422" s="64" t="s">
        <v>6</v>
      </c>
      <c r="AM422" s="64"/>
      <c r="AN422" s="64" t="s">
        <v>6</v>
      </c>
      <c r="AO422" s="64"/>
      <c r="AP422" s="64" t="s">
        <v>7</v>
      </c>
      <c r="AQ422" s="64"/>
      <c r="AR422" s="64" t="s">
        <v>8</v>
      </c>
      <c r="AS422" s="64"/>
      <c r="AT422" s="64" t="s">
        <v>5</v>
      </c>
      <c r="AU422" s="64"/>
      <c r="AV422" s="64" t="s">
        <v>6</v>
      </c>
      <c r="AW422" s="64"/>
      <c r="AX422" s="64" t="s">
        <v>6</v>
      </c>
      <c r="AY422" s="64"/>
      <c r="AZ422" s="64" t="s">
        <v>7</v>
      </c>
      <c r="BA422" s="64"/>
      <c r="BB422" s="64" t="s">
        <v>8</v>
      </c>
      <c r="BC422" s="64"/>
    </row>
    <row r="423" spans="1:55" x14ac:dyDescent="0.3">
      <c r="A423" s="62" t="s">
        <v>9</v>
      </c>
      <c r="B423" s="62" t="s">
        <v>10</v>
      </c>
      <c r="C423" s="62" t="s">
        <v>11</v>
      </c>
      <c r="D423" s="62" t="s">
        <v>12</v>
      </c>
      <c r="E423" s="62" t="s">
        <v>13</v>
      </c>
      <c r="F423" s="63">
        <f>$F$5</f>
        <v>2</v>
      </c>
      <c r="G423" s="63"/>
      <c r="H423" s="52">
        <f>$H$5</f>
        <v>3</v>
      </c>
      <c r="I423" s="53"/>
      <c r="J423" s="52">
        <f>$J$5</f>
        <v>4</v>
      </c>
      <c r="K423" s="53"/>
      <c r="L423" s="52">
        <f>$L$5</f>
        <v>5</v>
      </c>
      <c r="M423" s="53"/>
      <c r="N423" s="52">
        <f>$N$5</f>
        <v>6</v>
      </c>
      <c r="O423" s="53"/>
      <c r="P423" s="52">
        <f>$P$5</f>
        <v>9</v>
      </c>
      <c r="Q423" s="53"/>
      <c r="R423" s="52">
        <f>$R$5</f>
        <v>10</v>
      </c>
      <c r="S423" s="53"/>
      <c r="T423" s="52">
        <f>$T$5</f>
        <v>11</v>
      </c>
      <c r="U423" s="53"/>
      <c r="V423" s="52">
        <f>$V$5</f>
        <v>12</v>
      </c>
      <c r="W423" s="53"/>
      <c r="X423" s="52">
        <f>$X$5</f>
        <v>13</v>
      </c>
      <c r="Y423" s="53"/>
      <c r="Z423" s="52">
        <f>$Z$5</f>
        <v>16</v>
      </c>
      <c r="AA423" s="53"/>
      <c r="AB423" s="52">
        <f>$AB$5</f>
        <v>17</v>
      </c>
      <c r="AC423" s="53"/>
      <c r="AD423" s="52">
        <f>$AD$5</f>
        <v>18</v>
      </c>
      <c r="AE423" s="53"/>
      <c r="AF423" s="52">
        <f>$AF$5</f>
        <v>19</v>
      </c>
      <c r="AG423" s="53"/>
      <c r="AH423" s="52">
        <f>$AH$5</f>
        <v>20</v>
      </c>
      <c r="AI423" s="53"/>
      <c r="AJ423" s="52">
        <f>$AJ$5</f>
        <v>23</v>
      </c>
      <c r="AK423" s="53"/>
      <c r="AL423" s="52">
        <f>$AL$5</f>
        <v>24</v>
      </c>
      <c r="AM423" s="53"/>
      <c r="AN423" s="52">
        <f>$AN$5</f>
        <v>25</v>
      </c>
      <c r="AO423" s="53"/>
      <c r="AP423" s="52">
        <f>$AP$5</f>
        <v>26</v>
      </c>
      <c r="AQ423" s="53"/>
      <c r="AR423" s="52">
        <f>$AR$5</f>
        <v>27</v>
      </c>
      <c r="AS423" s="53"/>
      <c r="AT423" s="52">
        <f>$AT$5</f>
        <v>0</v>
      </c>
      <c r="AU423" s="53"/>
      <c r="AV423" s="52">
        <f>$AV$5</f>
        <v>0</v>
      </c>
      <c r="AW423" s="53"/>
      <c r="AX423" s="52">
        <f>$AX$5</f>
        <v>0</v>
      </c>
      <c r="AY423" s="53"/>
      <c r="AZ423" s="52">
        <f>$AZ$5</f>
        <v>0</v>
      </c>
      <c r="BA423" s="53"/>
      <c r="BB423" s="52">
        <f>$BB$5</f>
        <v>0</v>
      </c>
      <c r="BC423" s="53"/>
    </row>
    <row r="424" spans="1:55" x14ac:dyDescent="0.3">
      <c r="A424" s="62"/>
      <c r="B424" s="62"/>
      <c r="C424" s="62"/>
      <c r="D424" s="62"/>
      <c r="E424" s="62"/>
      <c r="F424" s="5" t="s">
        <v>14</v>
      </c>
      <c r="G424" s="5" t="s">
        <v>15</v>
      </c>
      <c r="H424" s="5" t="s">
        <v>14</v>
      </c>
      <c r="I424" s="5" t="s">
        <v>15</v>
      </c>
      <c r="J424" s="5" t="s">
        <v>14</v>
      </c>
      <c r="K424" s="5" t="s">
        <v>15</v>
      </c>
      <c r="L424" s="5" t="s">
        <v>14</v>
      </c>
      <c r="M424" s="5" t="s">
        <v>15</v>
      </c>
      <c r="N424" s="5" t="s">
        <v>14</v>
      </c>
      <c r="O424" s="5" t="s">
        <v>15</v>
      </c>
      <c r="P424" s="5" t="s">
        <v>14</v>
      </c>
      <c r="Q424" s="5" t="s">
        <v>15</v>
      </c>
      <c r="R424" s="5" t="s">
        <v>14</v>
      </c>
      <c r="S424" s="5" t="s">
        <v>15</v>
      </c>
      <c r="T424" s="5" t="s">
        <v>14</v>
      </c>
      <c r="U424" s="5" t="s">
        <v>15</v>
      </c>
      <c r="V424" s="5" t="s">
        <v>14</v>
      </c>
      <c r="W424" s="5" t="s">
        <v>15</v>
      </c>
      <c r="X424" s="5" t="s">
        <v>14</v>
      </c>
      <c r="Y424" s="5" t="s">
        <v>15</v>
      </c>
      <c r="Z424" s="5" t="s">
        <v>14</v>
      </c>
      <c r="AA424" s="5" t="s">
        <v>15</v>
      </c>
      <c r="AB424" s="5" t="s">
        <v>14</v>
      </c>
      <c r="AC424" s="5" t="s">
        <v>15</v>
      </c>
      <c r="AD424" s="5" t="s">
        <v>14</v>
      </c>
      <c r="AE424" s="5" t="s">
        <v>15</v>
      </c>
      <c r="AF424" s="5" t="s">
        <v>14</v>
      </c>
      <c r="AG424" s="5" t="s">
        <v>15</v>
      </c>
      <c r="AH424" s="5" t="s">
        <v>14</v>
      </c>
      <c r="AI424" s="5" t="s">
        <v>15</v>
      </c>
      <c r="AJ424" s="5" t="s">
        <v>14</v>
      </c>
      <c r="AK424" s="5" t="s">
        <v>15</v>
      </c>
      <c r="AL424" s="5" t="s">
        <v>14</v>
      </c>
      <c r="AM424" s="5" t="s">
        <v>15</v>
      </c>
      <c r="AN424" s="5" t="s">
        <v>14</v>
      </c>
      <c r="AO424" s="5" t="s">
        <v>15</v>
      </c>
      <c r="AP424" s="5" t="s">
        <v>14</v>
      </c>
      <c r="AQ424" s="5" t="s">
        <v>15</v>
      </c>
      <c r="AR424" s="5" t="s">
        <v>14</v>
      </c>
      <c r="AS424" s="5" t="s">
        <v>15</v>
      </c>
      <c r="AT424" s="5" t="s">
        <v>14</v>
      </c>
      <c r="AU424" s="5" t="s">
        <v>15</v>
      </c>
      <c r="AV424" s="5" t="s">
        <v>14</v>
      </c>
      <c r="AW424" s="5" t="s">
        <v>15</v>
      </c>
      <c r="AX424" s="5" t="s">
        <v>14</v>
      </c>
      <c r="AY424" s="5" t="s">
        <v>15</v>
      </c>
      <c r="AZ424" s="5" t="s">
        <v>14</v>
      </c>
      <c r="BA424" s="5" t="s">
        <v>15</v>
      </c>
      <c r="BB424" s="5" t="s">
        <v>14</v>
      </c>
      <c r="BC424" s="5" t="s">
        <v>15</v>
      </c>
    </row>
    <row r="425" spans="1:55" ht="18" customHeight="1" x14ac:dyDescent="0.3">
      <c r="A425" s="6">
        <v>1</v>
      </c>
      <c r="B425" s="7" t="s">
        <v>605</v>
      </c>
      <c r="C425" s="7" t="s">
        <v>111</v>
      </c>
      <c r="D425" s="7" t="s">
        <v>278</v>
      </c>
      <c r="E425" s="8" t="s">
        <v>49</v>
      </c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</row>
    <row r="426" spans="1:55" ht="18" customHeight="1" x14ac:dyDescent="0.3">
      <c r="A426" s="6">
        <v>2</v>
      </c>
      <c r="B426" s="7" t="s">
        <v>502</v>
      </c>
      <c r="C426" s="7" t="s">
        <v>61</v>
      </c>
      <c r="D426" s="7" t="s">
        <v>295</v>
      </c>
      <c r="E426" s="8" t="s">
        <v>19</v>
      </c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</row>
    <row r="427" spans="1:55" ht="18" customHeight="1" x14ac:dyDescent="0.3">
      <c r="A427" s="6">
        <v>3</v>
      </c>
      <c r="B427" s="7" t="s">
        <v>80</v>
      </c>
      <c r="C427" s="7" t="s">
        <v>503</v>
      </c>
      <c r="D427" s="7" t="s">
        <v>279</v>
      </c>
      <c r="E427" s="28" t="s">
        <v>19</v>
      </c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</row>
    <row r="428" spans="1:55" ht="18" customHeight="1" x14ac:dyDescent="0.3">
      <c r="A428" s="6">
        <v>4</v>
      </c>
      <c r="B428" s="7" t="s">
        <v>24</v>
      </c>
      <c r="C428" s="7" t="s">
        <v>80</v>
      </c>
      <c r="D428" s="7" t="s">
        <v>294</v>
      </c>
      <c r="E428" s="28" t="s">
        <v>41</v>
      </c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</row>
    <row r="429" spans="1:55" ht="18" customHeight="1" x14ac:dyDescent="0.3">
      <c r="A429" s="6">
        <v>5</v>
      </c>
      <c r="B429" s="7" t="s">
        <v>504</v>
      </c>
      <c r="C429" s="7" t="s">
        <v>24</v>
      </c>
      <c r="D429" s="7" t="s">
        <v>281</v>
      </c>
      <c r="E429" s="28" t="s">
        <v>41</v>
      </c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</row>
    <row r="430" spans="1:55" ht="18" customHeight="1" x14ac:dyDescent="0.3">
      <c r="A430" s="6">
        <v>6</v>
      </c>
      <c r="B430" s="7" t="s">
        <v>504</v>
      </c>
      <c r="C430" s="7" t="s">
        <v>24</v>
      </c>
      <c r="D430" s="7" t="s">
        <v>505</v>
      </c>
      <c r="E430" s="28" t="s">
        <v>221</v>
      </c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</row>
    <row r="431" spans="1:55" ht="18" customHeight="1" x14ac:dyDescent="0.3">
      <c r="A431" s="6">
        <v>7</v>
      </c>
      <c r="B431" s="7" t="s">
        <v>282</v>
      </c>
      <c r="C431" s="7" t="s">
        <v>506</v>
      </c>
      <c r="D431" s="7" t="s">
        <v>283</v>
      </c>
      <c r="E431" s="7" t="s">
        <v>49</v>
      </c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</row>
    <row r="432" spans="1:55" ht="18" customHeight="1" x14ac:dyDescent="0.3">
      <c r="A432" s="6">
        <v>8</v>
      </c>
      <c r="B432" s="7" t="s">
        <v>112</v>
      </c>
      <c r="C432" s="7" t="s">
        <v>113</v>
      </c>
      <c r="D432" s="7" t="s">
        <v>507</v>
      </c>
      <c r="E432" s="7" t="s">
        <v>92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</row>
    <row r="433" spans="1:55" ht="18" customHeight="1" x14ac:dyDescent="0.3">
      <c r="A433" s="6">
        <v>9</v>
      </c>
      <c r="B433" s="7" t="s">
        <v>22</v>
      </c>
      <c r="C433" s="7" t="s">
        <v>508</v>
      </c>
      <c r="D433" s="7" t="s">
        <v>509</v>
      </c>
      <c r="E433" s="7" t="s">
        <v>63</v>
      </c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</row>
    <row r="434" spans="1:55" ht="18" customHeight="1" x14ac:dyDescent="0.3">
      <c r="A434" s="6">
        <v>10</v>
      </c>
      <c r="B434" s="7" t="s">
        <v>22</v>
      </c>
      <c r="C434" s="7" t="s">
        <v>510</v>
      </c>
      <c r="D434" s="7" t="s">
        <v>511</v>
      </c>
      <c r="E434" s="7" t="s">
        <v>44</v>
      </c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</row>
    <row r="435" spans="1:55" ht="18" customHeight="1" x14ac:dyDescent="0.3">
      <c r="A435" s="6">
        <v>11</v>
      </c>
      <c r="B435" s="7" t="s">
        <v>512</v>
      </c>
      <c r="C435" s="7" t="s">
        <v>142</v>
      </c>
      <c r="D435" s="7" t="s">
        <v>513</v>
      </c>
      <c r="E435" s="7" t="s">
        <v>92</v>
      </c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</row>
    <row r="436" spans="1:55" ht="18" customHeight="1" x14ac:dyDescent="0.3">
      <c r="A436" s="42">
        <v>12</v>
      </c>
      <c r="B436" s="48" t="s">
        <v>606</v>
      </c>
      <c r="C436" s="48" t="s">
        <v>607</v>
      </c>
      <c r="D436" s="48" t="s">
        <v>608</v>
      </c>
      <c r="E436" s="48" t="s">
        <v>609</v>
      </c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</row>
    <row r="437" spans="1:55" ht="18" customHeight="1" x14ac:dyDescent="0.3">
      <c r="A437" s="11"/>
      <c r="B437" s="12"/>
      <c r="C437" s="12"/>
      <c r="D437" s="12"/>
      <c r="E437" s="36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ht="18" customHeight="1" x14ac:dyDescent="0.3">
      <c r="A438" s="11"/>
      <c r="B438" s="12"/>
      <c r="C438" s="12"/>
      <c r="D438" s="12"/>
      <c r="E438" s="36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ht="18" customHeight="1" x14ac:dyDescent="0.3">
      <c r="A439" s="11"/>
      <c r="B439" s="12"/>
      <c r="C439" s="12"/>
      <c r="D439" s="12"/>
      <c r="E439" s="36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ht="18" customHeight="1" x14ac:dyDescent="0.3">
      <c r="A440" s="11"/>
      <c r="B440" s="12"/>
      <c r="C440" s="12"/>
      <c r="D440" s="12"/>
      <c r="E440" s="36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ht="18" customHeight="1" x14ac:dyDescent="0.3">
      <c r="A441" s="11"/>
      <c r="B441" s="12"/>
      <c r="C441" s="12"/>
      <c r="D441" s="12"/>
      <c r="E441" s="36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ht="18" customHeight="1" x14ac:dyDescent="0.3">
      <c r="A442" s="11"/>
      <c r="B442" s="12"/>
      <c r="C442" s="12"/>
      <c r="D442" s="12"/>
      <c r="E442" s="3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9" spans="1:55" x14ac:dyDescent="0.3">
      <c r="F449" s="54" t="s">
        <v>47</v>
      </c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16"/>
      <c r="Z449" s="16"/>
      <c r="AA449" s="16"/>
      <c r="AB449" s="16"/>
      <c r="AC449" s="16"/>
      <c r="AD449" s="16"/>
      <c r="AE449" s="16"/>
      <c r="AF449" s="54" t="str">
        <f>C421</f>
        <v>Sr. German Saravia Balboa</v>
      </c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</row>
    <row r="450" spans="1:55" x14ac:dyDescent="0.3">
      <c r="AF450" s="55" t="s">
        <v>198</v>
      </c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</row>
    <row r="451" spans="1:55" x14ac:dyDescent="0.3"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</row>
    <row r="452" spans="1:55" x14ac:dyDescent="0.3"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</row>
    <row r="453" spans="1:55" ht="24" x14ac:dyDescent="0.3">
      <c r="A453" s="56" t="s">
        <v>0</v>
      </c>
      <c r="B453" s="57"/>
      <c r="C453" s="57"/>
      <c r="D453" s="57"/>
      <c r="E453" s="1">
        <v>14</v>
      </c>
      <c r="F453" s="58" t="s">
        <v>1</v>
      </c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</row>
    <row r="454" spans="1:55" x14ac:dyDescent="0.3">
      <c r="A454" s="65" t="s">
        <v>2</v>
      </c>
      <c r="B454" s="66"/>
      <c r="C454" s="3">
        <f>VLOOKUP(BUS_14,[1]DATOS!$B$9:$G$28,5)</f>
        <v>2</v>
      </c>
      <c r="D454" s="59" t="str">
        <f>VLOOKUP(BUS_14,[1]DATOS!$B$9:$G$28,6)</f>
        <v>FEBRERO</v>
      </c>
      <c r="E454" s="59"/>
      <c r="F454" s="60" t="str">
        <f>$F$2</f>
        <v>MARZO</v>
      </c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</row>
    <row r="455" spans="1:55" x14ac:dyDescent="0.3">
      <c r="A455" s="61" t="s">
        <v>3</v>
      </c>
      <c r="B455" s="59"/>
      <c r="C455" s="59" t="str">
        <f>VLOOKUP(BUS_14,[1]DATOS!$B$9:$G$28,2)</f>
        <v>Sr. Gonzalo Sonco Apaza</v>
      </c>
      <c r="D455" s="59"/>
      <c r="E455" s="4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</row>
    <row r="456" spans="1:55" x14ac:dyDescent="0.3">
      <c r="A456" s="61" t="s">
        <v>4</v>
      </c>
      <c r="B456" s="59"/>
      <c r="C456" s="59">
        <f>VLOOKUP(BUS_14,[1]DATOS!$B$9:$G$28,4)</f>
        <v>75202126</v>
      </c>
      <c r="D456" s="59"/>
      <c r="E456" s="4"/>
      <c r="F456" s="64" t="s">
        <v>5</v>
      </c>
      <c r="G456" s="64"/>
      <c r="H456" s="64" t="s">
        <v>6</v>
      </c>
      <c r="I456" s="64"/>
      <c r="J456" s="64" t="s">
        <v>6</v>
      </c>
      <c r="K456" s="64"/>
      <c r="L456" s="64" t="s">
        <v>7</v>
      </c>
      <c r="M456" s="64"/>
      <c r="N456" s="64" t="s">
        <v>8</v>
      </c>
      <c r="O456" s="64"/>
      <c r="P456" s="64" t="s">
        <v>5</v>
      </c>
      <c r="Q456" s="64"/>
      <c r="R456" s="64" t="s">
        <v>6</v>
      </c>
      <c r="S456" s="64"/>
      <c r="T456" s="64" t="s">
        <v>6</v>
      </c>
      <c r="U456" s="64"/>
      <c r="V456" s="64" t="s">
        <v>7</v>
      </c>
      <c r="W456" s="64"/>
      <c r="X456" s="64" t="s">
        <v>8</v>
      </c>
      <c r="Y456" s="64"/>
      <c r="Z456" s="64" t="s">
        <v>5</v>
      </c>
      <c r="AA456" s="64"/>
      <c r="AB456" s="64" t="s">
        <v>6</v>
      </c>
      <c r="AC456" s="64"/>
      <c r="AD456" s="64" t="s">
        <v>6</v>
      </c>
      <c r="AE456" s="64"/>
      <c r="AF456" s="64" t="s">
        <v>7</v>
      </c>
      <c r="AG456" s="64"/>
      <c r="AH456" s="64" t="s">
        <v>8</v>
      </c>
      <c r="AI456" s="64"/>
      <c r="AJ456" s="64" t="s">
        <v>5</v>
      </c>
      <c r="AK456" s="64"/>
      <c r="AL456" s="64" t="s">
        <v>6</v>
      </c>
      <c r="AM456" s="64"/>
      <c r="AN456" s="64" t="s">
        <v>6</v>
      </c>
      <c r="AO456" s="64"/>
      <c r="AP456" s="64" t="s">
        <v>7</v>
      </c>
      <c r="AQ456" s="64"/>
      <c r="AR456" s="64" t="s">
        <v>8</v>
      </c>
      <c r="AS456" s="64"/>
      <c r="AT456" s="64" t="s">
        <v>5</v>
      </c>
      <c r="AU456" s="64"/>
      <c r="AV456" s="64" t="s">
        <v>6</v>
      </c>
      <c r="AW456" s="64"/>
      <c r="AX456" s="64" t="s">
        <v>6</v>
      </c>
      <c r="AY456" s="64"/>
      <c r="AZ456" s="64" t="s">
        <v>7</v>
      </c>
      <c r="BA456" s="64"/>
      <c r="BB456" s="64" t="s">
        <v>8</v>
      </c>
      <c r="BC456" s="64"/>
    </row>
    <row r="457" spans="1:55" x14ac:dyDescent="0.3">
      <c r="A457" s="62" t="s">
        <v>9</v>
      </c>
      <c r="B457" s="62" t="s">
        <v>10</v>
      </c>
      <c r="C457" s="62" t="s">
        <v>11</v>
      </c>
      <c r="D457" s="62" t="s">
        <v>12</v>
      </c>
      <c r="E457" s="62" t="s">
        <v>13</v>
      </c>
      <c r="F457" s="63">
        <f>$F$5</f>
        <v>2</v>
      </c>
      <c r="G457" s="63"/>
      <c r="H457" s="52">
        <f>$H$5</f>
        <v>3</v>
      </c>
      <c r="I457" s="53"/>
      <c r="J457" s="52">
        <f>$J$5</f>
        <v>4</v>
      </c>
      <c r="K457" s="53"/>
      <c r="L457" s="52">
        <f>$L$5</f>
        <v>5</v>
      </c>
      <c r="M457" s="53"/>
      <c r="N457" s="52">
        <f>$N$5</f>
        <v>6</v>
      </c>
      <c r="O457" s="53"/>
      <c r="P457" s="52">
        <f>$P$5</f>
        <v>9</v>
      </c>
      <c r="Q457" s="53"/>
      <c r="R457" s="52">
        <f>$R$5</f>
        <v>10</v>
      </c>
      <c r="S457" s="53"/>
      <c r="T457" s="52">
        <f>$T$5</f>
        <v>11</v>
      </c>
      <c r="U457" s="53"/>
      <c r="V457" s="52">
        <f>$V$5</f>
        <v>12</v>
      </c>
      <c r="W457" s="53"/>
      <c r="X457" s="52">
        <f>$X$5</f>
        <v>13</v>
      </c>
      <c r="Y457" s="53"/>
      <c r="Z457" s="52">
        <f>$Z$5</f>
        <v>16</v>
      </c>
      <c r="AA457" s="53"/>
      <c r="AB457" s="52">
        <f>$AB$5</f>
        <v>17</v>
      </c>
      <c r="AC457" s="53"/>
      <c r="AD457" s="52">
        <f>$AD$5</f>
        <v>18</v>
      </c>
      <c r="AE457" s="53"/>
      <c r="AF457" s="52">
        <f>$AF$5</f>
        <v>19</v>
      </c>
      <c r="AG457" s="53"/>
      <c r="AH457" s="52">
        <f>$AH$5</f>
        <v>20</v>
      </c>
      <c r="AI457" s="53"/>
      <c r="AJ457" s="52">
        <f>$AJ$5</f>
        <v>23</v>
      </c>
      <c r="AK457" s="53"/>
      <c r="AL457" s="52">
        <f>$AL$5</f>
        <v>24</v>
      </c>
      <c r="AM457" s="53"/>
      <c r="AN457" s="52">
        <f>$AN$5</f>
        <v>25</v>
      </c>
      <c r="AO457" s="53"/>
      <c r="AP457" s="52">
        <f>$AP$5</f>
        <v>26</v>
      </c>
      <c r="AQ457" s="53"/>
      <c r="AR457" s="52">
        <f>$AR$5</f>
        <v>27</v>
      </c>
      <c r="AS457" s="53"/>
      <c r="AT457" s="52">
        <f>$AT$5</f>
        <v>0</v>
      </c>
      <c r="AU457" s="53"/>
      <c r="AV457" s="52">
        <f>$AV$5</f>
        <v>0</v>
      </c>
      <c r="AW457" s="53"/>
      <c r="AX457" s="52">
        <f>$AX$5</f>
        <v>0</v>
      </c>
      <c r="AY457" s="53"/>
      <c r="AZ457" s="52">
        <f>$AZ$5</f>
        <v>0</v>
      </c>
      <c r="BA457" s="53"/>
      <c r="BB457" s="52">
        <f>$BB$5</f>
        <v>0</v>
      </c>
      <c r="BC457" s="53"/>
    </row>
    <row r="458" spans="1:55" x14ac:dyDescent="0.3">
      <c r="A458" s="62"/>
      <c r="B458" s="62"/>
      <c r="C458" s="62"/>
      <c r="D458" s="62"/>
      <c r="E458" s="62"/>
      <c r="F458" s="5" t="s">
        <v>14</v>
      </c>
      <c r="G458" s="5" t="s">
        <v>15</v>
      </c>
      <c r="H458" s="5" t="s">
        <v>14</v>
      </c>
      <c r="I458" s="5" t="s">
        <v>15</v>
      </c>
      <c r="J458" s="5" t="s">
        <v>14</v>
      </c>
      <c r="K458" s="5" t="s">
        <v>15</v>
      </c>
      <c r="L458" s="5" t="s">
        <v>14</v>
      </c>
      <c r="M458" s="5" t="s">
        <v>15</v>
      </c>
      <c r="N458" s="5" t="s">
        <v>14</v>
      </c>
      <c r="O458" s="5" t="s">
        <v>15</v>
      </c>
      <c r="P458" s="5" t="s">
        <v>14</v>
      </c>
      <c r="Q458" s="5" t="s">
        <v>15</v>
      </c>
      <c r="R458" s="5" t="s">
        <v>14</v>
      </c>
      <c r="S458" s="5" t="s">
        <v>15</v>
      </c>
      <c r="T458" s="5" t="s">
        <v>14</v>
      </c>
      <c r="U458" s="5" t="s">
        <v>15</v>
      </c>
      <c r="V458" s="5" t="s">
        <v>14</v>
      </c>
      <c r="W458" s="5" t="s">
        <v>15</v>
      </c>
      <c r="X458" s="5" t="s">
        <v>14</v>
      </c>
      <c r="Y458" s="5" t="s">
        <v>15</v>
      </c>
      <c r="Z458" s="5" t="s">
        <v>14</v>
      </c>
      <c r="AA458" s="5" t="s">
        <v>15</v>
      </c>
      <c r="AB458" s="5" t="s">
        <v>14</v>
      </c>
      <c r="AC458" s="5" t="s">
        <v>15</v>
      </c>
      <c r="AD458" s="5" t="s">
        <v>14</v>
      </c>
      <c r="AE458" s="5" t="s">
        <v>15</v>
      </c>
      <c r="AF458" s="5" t="s">
        <v>14</v>
      </c>
      <c r="AG458" s="5" t="s">
        <v>15</v>
      </c>
      <c r="AH458" s="5" t="s">
        <v>14</v>
      </c>
      <c r="AI458" s="5" t="s">
        <v>15</v>
      </c>
      <c r="AJ458" s="5" t="s">
        <v>14</v>
      </c>
      <c r="AK458" s="5" t="s">
        <v>15</v>
      </c>
      <c r="AL458" s="5" t="s">
        <v>14</v>
      </c>
      <c r="AM458" s="5" t="s">
        <v>15</v>
      </c>
      <c r="AN458" s="5" t="s">
        <v>14</v>
      </c>
      <c r="AO458" s="5" t="s">
        <v>15</v>
      </c>
      <c r="AP458" s="5" t="s">
        <v>14</v>
      </c>
      <c r="AQ458" s="5" t="s">
        <v>15</v>
      </c>
      <c r="AR458" s="5" t="s">
        <v>14</v>
      </c>
      <c r="AS458" s="5" t="s">
        <v>15</v>
      </c>
      <c r="AT458" s="5" t="s">
        <v>14</v>
      </c>
      <c r="AU458" s="5" t="s">
        <v>15</v>
      </c>
      <c r="AV458" s="5" t="s">
        <v>14</v>
      </c>
      <c r="AW458" s="5" t="s">
        <v>15</v>
      </c>
      <c r="AX458" s="5" t="s">
        <v>14</v>
      </c>
      <c r="AY458" s="5" t="s">
        <v>15</v>
      </c>
      <c r="AZ458" s="5" t="s">
        <v>14</v>
      </c>
      <c r="BA458" s="5" t="s">
        <v>15</v>
      </c>
      <c r="BB458" s="5" t="s">
        <v>14</v>
      </c>
      <c r="BC458" s="5" t="s">
        <v>15</v>
      </c>
    </row>
    <row r="459" spans="1:55" ht="17.25" customHeight="1" x14ac:dyDescent="0.3">
      <c r="A459" s="38">
        <v>1</v>
      </c>
      <c r="B459" s="39" t="s">
        <v>176</v>
      </c>
      <c r="C459" s="39" t="s">
        <v>514</v>
      </c>
      <c r="D459" s="39" t="s">
        <v>515</v>
      </c>
      <c r="E459" s="40" t="s">
        <v>596</v>
      </c>
      <c r="F459" s="30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</row>
    <row r="460" spans="1:55" ht="17.25" customHeight="1" x14ac:dyDescent="0.3">
      <c r="A460" s="38">
        <v>2</v>
      </c>
      <c r="B460" s="39" t="s">
        <v>176</v>
      </c>
      <c r="C460" s="39" t="s">
        <v>514</v>
      </c>
      <c r="D460" s="39" t="s">
        <v>516</v>
      </c>
      <c r="E460" s="40" t="s">
        <v>597</v>
      </c>
      <c r="F460" s="30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</row>
    <row r="461" spans="1:55" ht="17.25" customHeight="1" x14ac:dyDescent="0.3">
      <c r="A461" s="38">
        <v>3</v>
      </c>
      <c r="B461" s="39" t="s">
        <v>24</v>
      </c>
      <c r="C461" s="39" t="s">
        <v>62</v>
      </c>
      <c r="D461" s="39" t="s">
        <v>197</v>
      </c>
      <c r="E461" s="40" t="s">
        <v>59</v>
      </c>
      <c r="F461" s="30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</row>
    <row r="462" spans="1:55" ht="17.25" customHeight="1" x14ac:dyDescent="0.3">
      <c r="A462" s="38">
        <v>4</v>
      </c>
      <c r="B462" s="39" t="s">
        <v>24</v>
      </c>
      <c r="C462" s="39" t="s">
        <v>62</v>
      </c>
      <c r="D462" s="39" t="s">
        <v>265</v>
      </c>
      <c r="E462" s="40" t="s">
        <v>54</v>
      </c>
      <c r="F462" s="30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</row>
    <row r="463" spans="1:55" ht="17.25" customHeight="1" x14ac:dyDescent="0.3">
      <c r="A463" s="38">
        <v>5</v>
      </c>
      <c r="B463" s="39" t="s">
        <v>24</v>
      </c>
      <c r="C463" s="39" t="s">
        <v>62</v>
      </c>
      <c r="D463" s="39" t="s">
        <v>266</v>
      </c>
      <c r="E463" s="40" t="s">
        <v>19</v>
      </c>
      <c r="F463" s="30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</row>
    <row r="464" spans="1:55" ht="17.25" customHeight="1" x14ac:dyDescent="0.3">
      <c r="A464" s="38">
        <v>6</v>
      </c>
      <c r="B464" s="39" t="s">
        <v>32</v>
      </c>
      <c r="C464" s="39" t="s">
        <v>103</v>
      </c>
      <c r="D464" s="39" t="s">
        <v>517</v>
      </c>
      <c r="E464" s="40" t="s">
        <v>52</v>
      </c>
      <c r="F464" s="30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</row>
    <row r="465" spans="1:55" ht="17.25" customHeight="1" x14ac:dyDescent="0.3">
      <c r="A465" s="38">
        <v>7</v>
      </c>
      <c r="B465" s="39" t="s">
        <v>32</v>
      </c>
      <c r="C465" s="39" t="s">
        <v>103</v>
      </c>
      <c r="D465" s="39" t="s">
        <v>132</v>
      </c>
      <c r="E465" s="40" t="s">
        <v>41</v>
      </c>
      <c r="F465" s="30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</row>
    <row r="466" spans="1:55" ht="17.25" customHeight="1" x14ac:dyDescent="0.3">
      <c r="A466" s="38">
        <v>8</v>
      </c>
      <c r="B466" s="39" t="s">
        <v>39</v>
      </c>
      <c r="C466" s="39" t="s">
        <v>518</v>
      </c>
      <c r="D466" s="39" t="s">
        <v>519</v>
      </c>
      <c r="E466" s="40" t="s">
        <v>63</v>
      </c>
      <c r="F466" s="30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</row>
    <row r="467" spans="1:55" ht="17.25" customHeight="1" x14ac:dyDescent="0.3">
      <c r="A467" s="38">
        <v>9</v>
      </c>
      <c r="B467" s="39" t="s">
        <v>39</v>
      </c>
      <c r="C467" s="39" t="s">
        <v>518</v>
      </c>
      <c r="D467" s="39" t="s">
        <v>520</v>
      </c>
      <c r="E467" s="40" t="s">
        <v>29</v>
      </c>
      <c r="F467" s="30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</row>
    <row r="468" spans="1:55" ht="17.25" customHeight="1" x14ac:dyDescent="0.3">
      <c r="A468" s="38">
        <v>10</v>
      </c>
      <c r="B468" s="39" t="s">
        <v>39</v>
      </c>
      <c r="C468" s="39" t="s">
        <v>518</v>
      </c>
      <c r="D468" s="39" t="s">
        <v>521</v>
      </c>
      <c r="E468" s="40" t="s">
        <v>395</v>
      </c>
      <c r="F468" s="30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</row>
    <row r="469" spans="1:55" x14ac:dyDescent="0.3">
      <c r="A469" s="11"/>
      <c r="B469" s="12"/>
      <c r="C469" s="12"/>
      <c r="D469" s="12"/>
      <c r="E469" s="3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3">
      <c r="A470" s="11"/>
      <c r="B470" s="12"/>
      <c r="C470" s="12"/>
      <c r="D470" s="12"/>
      <c r="E470" s="3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3">
      <c r="A471" s="11"/>
      <c r="B471" s="12"/>
      <c r="C471" s="12"/>
      <c r="D471" s="12"/>
      <c r="E471" s="3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3">
      <c r="A472" s="11"/>
      <c r="B472" s="12"/>
      <c r="C472" s="12"/>
      <c r="D472" s="12"/>
      <c r="E472" s="3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3">
      <c r="A473" s="35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3">
      <c r="A474" s="35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3">
      <c r="A475" s="35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3">
      <c r="A476" s="35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3">
      <c r="A477" s="35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85" spans="1:55" x14ac:dyDescent="0.3">
      <c r="F485" s="54" t="s">
        <v>47</v>
      </c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16"/>
      <c r="Z485" s="16"/>
      <c r="AA485" s="16"/>
      <c r="AB485" s="16"/>
      <c r="AC485" s="16"/>
      <c r="AD485" s="16"/>
      <c r="AE485" s="16"/>
      <c r="AF485" s="54" t="str">
        <f>C455</f>
        <v>Sr. Gonzalo Sonco Apaza</v>
      </c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</row>
    <row r="486" spans="1:55" x14ac:dyDescent="0.3">
      <c r="AF486" s="55" t="s">
        <v>203</v>
      </c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</row>
    <row r="489" spans="1:55" ht="24" x14ac:dyDescent="0.3">
      <c r="A489" s="56" t="s">
        <v>0</v>
      </c>
      <c r="B489" s="57"/>
      <c r="C489" s="57"/>
      <c r="D489" s="57"/>
      <c r="E489" s="1">
        <v>15</v>
      </c>
      <c r="F489" s="58" t="s">
        <v>1</v>
      </c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</row>
    <row r="490" spans="1:55" x14ac:dyDescent="0.3">
      <c r="A490" s="65" t="s">
        <v>2</v>
      </c>
      <c r="B490" s="66"/>
      <c r="C490" s="3">
        <f>VLOOKUP(BUS_15,[1]DATOS!$B$9:$G$28,5)</f>
        <v>2</v>
      </c>
      <c r="D490" s="59" t="str">
        <f>VLOOKUP(BUS_15,[1]DATOS!$B$9:$G$28,6)</f>
        <v>FEBRERO</v>
      </c>
      <c r="E490" s="59"/>
      <c r="F490" s="60" t="str">
        <f>$F$2</f>
        <v>MARZO</v>
      </c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</row>
    <row r="491" spans="1:55" x14ac:dyDescent="0.3">
      <c r="A491" s="61" t="s">
        <v>3</v>
      </c>
      <c r="B491" s="59"/>
      <c r="C491" s="59" t="str">
        <f>VLOOKUP(BUS_15,[1]DATOS!$B$9:$G$28,2)</f>
        <v>Sr. Norberto Javier Rojas Quispe</v>
      </c>
      <c r="D491" s="59"/>
      <c r="E491" s="4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</row>
    <row r="492" spans="1:55" x14ac:dyDescent="0.3">
      <c r="A492" s="61" t="s">
        <v>4</v>
      </c>
      <c r="B492" s="59"/>
      <c r="C492" s="59">
        <f>VLOOKUP(BUS_15,[1]DATOS!$B$9:$G$28,4)</f>
        <v>75873096</v>
      </c>
      <c r="D492" s="59"/>
      <c r="E492" s="4"/>
      <c r="F492" s="64" t="s">
        <v>5</v>
      </c>
      <c r="G492" s="64"/>
      <c r="H492" s="64" t="s">
        <v>6</v>
      </c>
      <c r="I492" s="64"/>
      <c r="J492" s="64" t="s">
        <v>6</v>
      </c>
      <c r="K492" s="64"/>
      <c r="L492" s="64" t="s">
        <v>7</v>
      </c>
      <c r="M492" s="64"/>
      <c r="N492" s="64" t="s">
        <v>8</v>
      </c>
      <c r="O492" s="64"/>
      <c r="P492" s="64" t="s">
        <v>5</v>
      </c>
      <c r="Q492" s="64"/>
      <c r="R492" s="64" t="s">
        <v>6</v>
      </c>
      <c r="S492" s="64"/>
      <c r="T492" s="64" t="s">
        <v>6</v>
      </c>
      <c r="U492" s="64"/>
      <c r="V492" s="64" t="s">
        <v>7</v>
      </c>
      <c r="W492" s="64"/>
      <c r="X492" s="64" t="s">
        <v>8</v>
      </c>
      <c r="Y492" s="64"/>
      <c r="Z492" s="64" t="s">
        <v>5</v>
      </c>
      <c r="AA492" s="64"/>
      <c r="AB492" s="64" t="s">
        <v>6</v>
      </c>
      <c r="AC492" s="64"/>
      <c r="AD492" s="64" t="s">
        <v>6</v>
      </c>
      <c r="AE492" s="64"/>
      <c r="AF492" s="64" t="s">
        <v>7</v>
      </c>
      <c r="AG492" s="64"/>
      <c r="AH492" s="64" t="s">
        <v>8</v>
      </c>
      <c r="AI492" s="64"/>
      <c r="AJ492" s="64" t="s">
        <v>5</v>
      </c>
      <c r="AK492" s="64"/>
      <c r="AL492" s="64" t="s">
        <v>6</v>
      </c>
      <c r="AM492" s="64"/>
      <c r="AN492" s="64" t="s">
        <v>6</v>
      </c>
      <c r="AO492" s="64"/>
      <c r="AP492" s="64" t="s">
        <v>7</v>
      </c>
      <c r="AQ492" s="64"/>
      <c r="AR492" s="64" t="s">
        <v>8</v>
      </c>
      <c r="AS492" s="64"/>
      <c r="AT492" s="64" t="s">
        <v>5</v>
      </c>
      <c r="AU492" s="64"/>
      <c r="AV492" s="64" t="s">
        <v>6</v>
      </c>
      <c r="AW492" s="64"/>
      <c r="AX492" s="64" t="s">
        <v>6</v>
      </c>
      <c r="AY492" s="64"/>
      <c r="AZ492" s="64" t="s">
        <v>7</v>
      </c>
      <c r="BA492" s="64"/>
      <c r="BB492" s="64" t="s">
        <v>8</v>
      </c>
      <c r="BC492" s="64"/>
    </row>
    <row r="493" spans="1:55" x14ac:dyDescent="0.3">
      <c r="A493" s="62" t="s">
        <v>9</v>
      </c>
      <c r="B493" s="62" t="s">
        <v>10</v>
      </c>
      <c r="C493" s="62" t="s">
        <v>11</v>
      </c>
      <c r="D493" s="62" t="s">
        <v>12</v>
      </c>
      <c r="E493" s="62" t="s">
        <v>13</v>
      </c>
      <c r="F493" s="63">
        <f>$F$5</f>
        <v>2</v>
      </c>
      <c r="G493" s="63"/>
      <c r="H493" s="52">
        <f>$H$5</f>
        <v>3</v>
      </c>
      <c r="I493" s="53"/>
      <c r="J493" s="52">
        <f>$J$5</f>
        <v>4</v>
      </c>
      <c r="K493" s="53"/>
      <c r="L493" s="52">
        <f>$L$5</f>
        <v>5</v>
      </c>
      <c r="M493" s="53"/>
      <c r="N493" s="52">
        <f>$N$5</f>
        <v>6</v>
      </c>
      <c r="O493" s="53"/>
      <c r="P493" s="52">
        <f>$P$5</f>
        <v>9</v>
      </c>
      <c r="Q493" s="53"/>
      <c r="R493" s="52">
        <f>$R$5</f>
        <v>10</v>
      </c>
      <c r="S493" s="53"/>
      <c r="T493" s="52">
        <f>$T$5</f>
        <v>11</v>
      </c>
      <c r="U493" s="53"/>
      <c r="V493" s="52">
        <f>$V$5</f>
        <v>12</v>
      </c>
      <c r="W493" s="53"/>
      <c r="X493" s="52">
        <f>$X$5</f>
        <v>13</v>
      </c>
      <c r="Y493" s="53"/>
      <c r="Z493" s="52">
        <f>$Z$5</f>
        <v>16</v>
      </c>
      <c r="AA493" s="53"/>
      <c r="AB493" s="52">
        <f>$AB$5</f>
        <v>17</v>
      </c>
      <c r="AC493" s="53"/>
      <c r="AD493" s="52">
        <f>$AD$5</f>
        <v>18</v>
      </c>
      <c r="AE493" s="53"/>
      <c r="AF493" s="52">
        <f>$AF$5</f>
        <v>19</v>
      </c>
      <c r="AG493" s="53"/>
      <c r="AH493" s="52">
        <f>$AH$5</f>
        <v>20</v>
      </c>
      <c r="AI493" s="53"/>
      <c r="AJ493" s="52">
        <f>$AJ$5</f>
        <v>23</v>
      </c>
      <c r="AK493" s="53"/>
      <c r="AL493" s="52">
        <f>$AL$5</f>
        <v>24</v>
      </c>
      <c r="AM493" s="53"/>
      <c r="AN493" s="52">
        <f>$AN$5</f>
        <v>25</v>
      </c>
      <c r="AO493" s="53"/>
      <c r="AP493" s="52">
        <f>$AP$5</f>
        <v>26</v>
      </c>
      <c r="AQ493" s="53"/>
      <c r="AR493" s="52">
        <f>$AR$5</f>
        <v>27</v>
      </c>
      <c r="AS493" s="53"/>
      <c r="AT493" s="52">
        <f>$AT$5</f>
        <v>0</v>
      </c>
      <c r="AU493" s="53"/>
      <c r="AV493" s="52">
        <f>$AV$5</f>
        <v>0</v>
      </c>
      <c r="AW493" s="53"/>
      <c r="AX493" s="52">
        <f>$AX$5</f>
        <v>0</v>
      </c>
      <c r="AY493" s="53"/>
      <c r="AZ493" s="52">
        <f>$AZ$5</f>
        <v>0</v>
      </c>
      <c r="BA493" s="53"/>
      <c r="BB493" s="52">
        <f>$BB$5</f>
        <v>0</v>
      </c>
      <c r="BC493" s="53"/>
    </row>
    <row r="494" spans="1:55" x14ac:dyDescent="0.3">
      <c r="A494" s="62"/>
      <c r="B494" s="62"/>
      <c r="C494" s="62"/>
      <c r="D494" s="62"/>
      <c r="E494" s="62"/>
      <c r="F494" s="5" t="s">
        <v>14</v>
      </c>
      <c r="G494" s="5" t="s">
        <v>15</v>
      </c>
      <c r="H494" s="5" t="s">
        <v>14</v>
      </c>
      <c r="I494" s="5" t="s">
        <v>15</v>
      </c>
      <c r="J494" s="5" t="s">
        <v>14</v>
      </c>
      <c r="K494" s="5" t="s">
        <v>15</v>
      </c>
      <c r="L494" s="5" t="s">
        <v>14</v>
      </c>
      <c r="M494" s="5" t="s">
        <v>15</v>
      </c>
      <c r="N494" s="5" t="s">
        <v>14</v>
      </c>
      <c r="O494" s="5" t="s">
        <v>15</v>
      </c>
      <c r="P494" s="5" t="s">
        <v>14</v>
      </c>
      <c r="Q494" s="5" t="s">
        <v>15</v>
      </c>
      <c r="R494" s="5" t="s">
        <v>14</v>
      </c>
      <c r="S494" s="5" t="s">
        <v>15</v>
      </c>
      <c r="T494" s="5" t="s">
        <v>14</v>
      </c>
      <c r="U494" s="5" t="s">
        <v>15</v>
      </c>
      <c r="V494" s="5" t="s">
        <v>14</v>
      </c>
      <c r="W494" s="5" t="s">
        <v>15</v>
      </c>
      <c r="X494" s="5" t="s">
        <v>14</v>
      </c>
      <c r="Y494" s="5" t="s">
        <v>15</v>
      </c>
      <c r="Z494" s="5" t="s">
        <v>14</v>
      </c>
      <c r="AA494" s="5" t="s">
        <v>15</v>
      </c>
      <c r="AB494" s="5" t="s">
        <v>14</v>
      </c>
      <c r="AC494" s="5" t="s">
        <v>15</v>
      </c>
      <c r="AD494" s="5" t="s">
        <v>14</v>
      </c>
      <c r="AE494" s="5" t="s">
        <v>15</v>
      </c>
      <c r="AF494" s="5" t="s">
        <v>14</v>
      </c>
      <c r="AG494" s="5" t="s">
        <v>15</v>
      </c>
      <c r="AH494" s="5" t="s">
        <v>14</v>
      </c>
      <c r="AI494" s="5" t="s">
        <v>15</v>
      </c>
      <c r="AJ494" s="5" t="s">
        <v>14</v>
      </c>
      <c r="AK494" s="5" t="s">
        <v>15</v>
      </c>
      <c r="AL494" s="5" t="s">
        <v>14</v>
      </c>
      <c r="AM494" s="5" t="s">
        <v>15</v>
      </c>
      <c r="AN494" s="5" t="s">
        <v>14</v>
      </c>
      <c r="AO494" s="5" t="s">
        <v>15</v>
      </c>
      <c r="AP494" s="5" t="s">
        <v>14</v>
      </c>
      <c r="AQ494" s="5" t="s">
        <v>15</v>
      </c>
      <c r="AR494" s="5" t="s">
        <v>14</v>
      </c>
      <c r="AS494" s="5" t="s">
        <v>15</v>
      </c>
      <c r="AT494" s="5" t="s">
        <v>14</v>
      </c>
      <c r="AU494" s="5" t="s">
        <v>15</v>
      </c>
      <c r="AV494" s="5" t="s">
        <v>14</v>
      </c>
      <c r="AW494" s="5" t="s">
        <v>15</v>
      </c>
      <c r="AX494" s="5" t="s">
        <v>14</v>
      </c>
      <c r="AY494" s="5" t="s">
        <v>15</v>
      </c>
      <c r="AZ494" s="5" t="s">
        <v>14</v>
      </c>
      <c r="BA494" s="5" t="s">
        <v>15</v>
      </c>
      <c r="BB494" s="5" t="s">
        <v>14</v>
      </c>
      <c r="BC494" s="5" t="s">
        <v>15</v>
      </c>
    </row>
    <row r="495" spans="1:55" ht="17.25" customHeight="1" x14ac:dyDescent="0.3">
      <c r="A495" s="38">
        <v>1</v>
      </c>
      <c r="B495" s="39" t="s">
        <v>16</v>
      </c>
      <c r="C495" s="39" t="s">
        <v>125</v>
      </c>
      <c r="D495" s="39" t="s">
        <v>263</v>
      </c>
      <c r="E495" s="40" t="s">
        <v>271</v>
      </c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</row>
    <row r="496" spans="1:55" ht="17.25" customHeight="1" x14ac:dyDescent="0.3">
      <c r="A496" s="38">
        <v>2</v>
      </c>
      <c r="B496" s="39" t="s">
        <v>157</v>
      </c>
      <c r="C496" s="39" t="s">
        <v>588</v>
      </c>
      <c r="D496" s="39" t="s">
        <v>158</v>
      </c>
      <c r="E496" s="40" t="s">
        <v>85</v>
      </c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</row>
    <row r="497" spans="1:55" ht="17.25" customHeight="1" x14ac:dyDescent="0.3">
      <c r="A497" s="38">
        <v>3</v>
      </c>
      <c r="B497" s="39" t="s">
        <v>272</v>
      </c>
      <c r="C497" s="39" t="s">
        <v>522</v>
      </c>
      <c r="D497" s="39" t="s">
        <v>523</v>
      </c>
      <c r="E497" s="40" t="s">
        <v>54</v>
      </c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</row>
    <row r="498" spans="1:55" ht="17.25" customHeight="1" x14ac:dyDescent="0.3">
      <c r="A498" s="38">
        <v>4</v>
      </c>
      <c r="B498" s="39" t="s">
        <v>272</v>
      </c>
      <c r="C498" s="39" t="s">
        <v>522</v>
      </c>
      <c r="D498" s="39" t="s">
        <v>524</v>
      </c>
      <c r="E498" s="40" t="s">
        <v>85</v>
      </c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</row>
    <row r="499" spans="1:55" ht="17.25" customHeight="1" x14ac:dyDescent="0.3">
      <c r="A499" s="38">
        <v>5</v>
      </c>
      <c r="B499" s="39" t="s">
        <v>272</v>
      </c>
      <c r="C499" s="39" t="s">
        <v>522</v>
      </c>
      <c r="D499" s="39" t="s">
        <v>293</v>
      </c>
      <c r="E499" s="40" t="s">
        <v>166</v>
      </c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</row>
    <row r="500" spans="1:55" ht="17.25" customHeight="1" x14ac:dyDescent="0.3">
      <c r="A500" s="38">
        <v>6</v>
      </c>
      <c r="B500" s="39" t="s">
        <v>53</v>
      </c>
      <c r="C500" s="39" t="s">
        <v>22</v>
      </c>
      <c r="D500" s="39" t="s">
        <v>525</v>
      </c>
      <c r="E500" s="40" t="s">
        <v>526</v>
      </c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</row>
    <row r="501" spans="1:55" ht="17.25" customHeight="1" x14ac:dyDescent="0.3">
      <c r="A501" s="38">
        <v>7</v>
      </c>
      <c r="B501" s="39" t="s">
        <v>53</v>
      </c>
      <c r="C501" s="39" t="s">
        <v>143</v>
      </c>
      <c r="D501" s="39" t="s">
        <v>527</v>
      </c>
      <c r="E501" s="40" t="s">
        <v>54</v>
      </c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</row>
    <row r="502" spans="1:55" ht="17.25" customHeight="1" x14ac:dyDescent="0.3">
      <c r="A502" s="38">
        <v>8</v>
      </c>
      <c r="B502" s="39" t="s">
        <v>528</v>
      </c>
      <c r="C502" s="39" t="s">
        <v>27</v>
      </c>
      <c r="D502" s="39" t="s">
        <v>273</v>
      </c>
      <c r="E502" s="40" t="s">
        <v>529</v>
      </c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</row>
    <row r="503" spans="1:55" ht="17.25" customHeight="1" x14ac:dyDescent="0.3">
      <c r="A503" s="38">
        <v>9</v>
      </c>
      <c r="B503" s="39" t="s">
        <v>274</v>
      </c>
      <c r="C503" s="39" t="s">
        <v>275</v>
      </c>
      <c r="D503" s="39" t="s">
        <v>530</v>
      </c>
      <c r="E503" s="40" t="s">
        <v>54</v>
      </c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</row>
    <row r="504" spans="1:55" ht="17.25" customHeight="1" x14ac:dyDescent="0.3">
      <c r="A504" s="38">
        <v>10</v>
      </c>
      <c r="B504" s="39" t="s">
        <v>24</v>
      </c>
      <c r="C504" s="39" t="s">
        <v>25</v>
      </c>
      <c r="D504" s="39" t="s">
        <v>26</v>
      </c>
      <c r="E504" s="40" t="s">
        <v>529</v>
      </c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</row>
    <row r="505" spans="1:55" ht="17.25" customHeight="1" x14ac:dyDescent="0.3">
      <c r="A505" s="38">
        <v>11</v>
      </c>
      <c r="B505" s="39" t="s">
        <v>24</v>
      </c>
      <c r="C505" s="39" t="s">
        <v>25</v>
      </c>
      <c r="D505" s="39" t="s">
        <v>276</v>
      </c>
      <c r="E505" s="40" t="s">
        <v>462</v>
      </c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</row>
    <row r="506" spans="1:55" ht="17.25" customHeight="1" x14ac:dyDescent="0.3">
      <c r="A506" s="38">
        <v>12</v>
      </c>
      <c r="B506" s="39" t="s">
        <v>531</v>
      </c>
      <c r="C506" s="39" t="s">
        <v>20</v>
      </c>
      <c r="D506" s="39" t="s">
        <v>532</v>
      </c>
      <c r="E506" s="40" t="s">
        <v>526</v>
      </c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</row>
    <row r="507" spans="1:55" ht="17.25" customHeight="1" x14ac:dyDescent="0.3">
      <c r="A507" s="38">
        <v>13</v>
      </c>
      <c r="B507" s="39" t="s">
        <v>531</v>
      </c>
      <c r="C507" s="39" t="s">
        <v>20</v>
      </c>
      <c r="D507" s="39" t="s">
        <v>589</v>
      </c>
      <c r="E507" s="40" t="s">
        <v>58</v>
      </c>
      <c r="F507" s="7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</row>
    <row r="508" spans="1:55" ht="17.25" customHeight="1" x14ac:dyDescent="0.3">
      <c r="A508" s="38">
        <v>14</v>
      </c>
      <c r="B508" s="49" t="s">
        <v>50</v>
      </c>
      <c r="C508" s="39" t="s">
        <v>459</v>
      </c>
      <c r="D508" s="39" t="s">
        <v>533</v>
      </c>
      <c r="E508" s="40" t="s">
        <v>271</v>
      </c>
      <c r="F508" s="7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</row>
    <row r="509" spans="1:55" x14ac:dyDescent="0.3">
      <c r="A509" s="35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3">
      <c r="A510" s="35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21" spans="1:55" x14ac:dyDescent="0.3">
      <c r="F521" s="54" t="s">
        <v>47</v>
      </c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16"/>
      <c r="Z521" s="16"/>
      <c r="AA521" s="16"/>
      <c r="AB521" s="16"/>
      <c r="AC521" s="16"/>
      <c r="AD521" s="16"/>
      <c r="AE521" s="16"/>
      <c r="AF521" s="54" t="str">
        <f>C491</f>
        <v>Sr. Norberto Javier Rojas Quispe</v>
      </c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</row>
    <row r="522" spans="1:55" x14ac:dyDescent="0.3">
      <c r="AF522" s="55" t="s">
        <v>202</v>
      </c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</row>
    <row r="525" spans="1:55" ht="24" x14ac:dyDescent="0.3">
      <c r="A525" s="56" t="s">
        <v>0</v>
      </c>
      <c r="B525" s="57"/>
      <c r="C525" s="57"/>
      <c r="D525" s="57"/>
      <c r="E525" s="1">
        <v>16</v>
      </c>
      <c r="F525" s="58" t="s">
        <v>1</v>
      </c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</row>
    <row r="526" spans="1:55" x14ac:dyDescent="0.3">
      <c r="A526" s="65" t="s">
        <v>2</v>
      </c>
      <c r="B526" s="66"/>
      <c r="C526" s="3">
        <f>VLOOKUP(BUS_16,[1]DATOS!$B$9:$G$28,5)</f>
        <v>2</v>
      </c>
      <c r="D526" s="59" t="str">
        <f>VLOOKUP(BUS_16,[1]DATOS!$B$9:$G$28,6)</f>
        <v>FEBRERO</v>
      </c>
      <c r="E526" s="59"/>
      <c r="F526" s="60" t="str">
        <f>$F$2</f>
        <v>MARZO</v>
      </c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</row>
    <row r="527" spans="1:55" x14ac:dyDescent="0.3">
      <c r="A527" s="61" t="s">
        <v>3</v>
      </c>
      <c r="B527" s="59"/>
      <c r="C527" s="59" t="str">
        <f>VLOOKUP(BUS_16,[1]DATOS!$B$9:$G$28,2)</f>
        <v>Sr. Bruno Remberto Licon Monrroy</v>
      </c>
      <c r="D527" s="59"/>
      <c r="E527" s="4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</row>
    <row r="528" spans="1:55" x14ac:dyDescent="0.3">
      <c r="A528" s="61" t="s">
        <v>4</v>
      </c>
      <c r="B528" s="59"/>
      <c r="C528" s="59">
        <f>VLOOKUP(BUS_16,[1]DATOS!$B$9:$G$28,4)</f>
        <v>78946670</v>
      </c>
      <c r="D528" s="59"/>
      <c r="E528" s="4"/>
      <c r="F528" s="64" t="s">
        <v>5</v>
      </c>
      <c r="G528" s="64"/>
      <c r="H528" s="64" t="s">
        <v>6</v>
      </c>
      <c r="I528" s="64"/>
      <c r="J528" s="64" t="s">
        <v>6</v>
      </c>
      <c r="K528" s="64"/>
      <c r="L528" s="64" t="s">
        <v>7</v>
      </c>
      <c r="M528" s="64"/>
      <c r="N528" s="64" t="s">
        <v>8</v>
      </c>
      <c r="O528" s="64"/>
      <c r="P528" s="64" t="s">
        <v>5</v>
      </c>
      <c r="Q528" s="64"/>
      <c r="R528" s="64" t="s">
        <v>6</v>
      </c>
      <c r="S528" s="64"/>
      <c r="T528" s="64" t="s">
        <v>6</v>
      </c>
      <c r="U528" s="64"/>
      <c r="V528" s="64" t="s">
        <v>7</v>
      </c>
      <c r="W528" s="64"/>
      <c r="X528" s="64" t="s">
        <v>8</v>
      </c>
      <c r="Y528" s="64"/>
      <c r="Z528" s="64" t="s">
        <v>5</v>
      </c>
      <c r="AA528" s="64"/>
      <c r="AB528" s="64" t="s">
        <v>6</v>
      </c>
      <c r="AC528" s="64"/>
      <c r="AD528" s="64" t="s">
        <v>6</v>
      </c>
      <c r="AE528" s="64"/>
      <c r="AF528" s="64" t="s">
        <v>7</v>
      </c>
      <c r="AG528" s="64"/>
      <c r="AH528" s="64" t="s">
        <v>8</v>
      </c>
      <c r="AI528" s="64"/>
      <c r="AJ528" s="64" t="s">
        <v>5</v>
      </c>
      <c r="AK528" s="64"/>
      <c r="AL528" s="64" t="s">
        <v>6</v>
      </c>
      <c r="AM528" s="64"/>
      <c r="AN528" s="64" t="s">
        <v>6</v>
      </c>
      <c r="AO528" s="64"/>
      <c r="AP528" s="64" t="s">
        <v>7</v>
      </c>
      <c r="AQ528" s="64"/>
      <c r="AR528" s="64" t="s">
        <v>8</v>
      </c>
      <c r="AS528" s="64"/>
      <c r="AT528" s="64" t="s">
        <v>5</v>
      </c>
      <c r="AU528" s="64"/>
      <c r="AV528" s="64" t="s">
        <v>6</v>
      </c>
      <c r="AW528" s="64"/>
      <c r="AX528" s="64" t="s">
        <v>6</v>
      </c>
      <c r="AY528" s="64"/>
      <c r="AZ528" s="64" t="s">
        <v>7</v>
      </c>
      <c r="BA528" s="64"/>
      <c r="BB528" s="64" t="s">
        <v>8</v>
      </c>
      <c r="BC528" s="64"/>
    </row>
    <row r="529" spans="1:55" x14ac:dyDescent="0.3">
      <c r="A529" s="62" t="s">
        <v>9</v>
      </c>
      <c r="B529" s="62" t="s">
        <v>10</v>
      </c>
      <c r="C529" s="62" t="s">
        <v>11</v>
      </c>
      <c r="D529" s="62" t="s">
        <v>12</v>
      </c>
      <c r="E529" s="62" t="s">
        <v>13</v>
      </c>
      <c r="F529" s="63">
        <f>$F$5</f>
        <v>2</v>
      </c>
      <c r="G529" s="63"/>
      <c r="H529" s="52">
        <f>$H$5</f>
        <v>3</v>
      </c>
      <c r="I529" s="53"/>
      <c r="J529" s="52">
        <f>$J$5</f>
        <v>4</v>
      </c>
      <c r="K529" s="53"/>
      <c r="L529" s="52">
        <f>$L$5</f>
        <v>5</v>
      </c>
      <c r="M529" s="53"/>
      <c r="N529" s="52">
        <f>$N$5</f>
        <v>6</v>
      </c>
      <c r="O529" s="53"/>
      <c r="P529" s="52">
        <f>$P$5</f>
        <v>9</v>
      </c>
      <c r="Q529" s="53"/>
      <c r="R529" s="52">
        <f>$R$5</f>
        <v>10</v>
      </c>
      <c r="S529" s="53"/>
      <c r="T529" s="52">
        <f>$T$5</f>
        <v>11</v>
      </c>
      <c r="U529" s="53"/>
      <c r="V529" s="52">
        <f>$V$5</f>
        <v>12</v>
      </c>
      <c r="W529" s="53"/>
      <c r="X529" s="52">
        <f>$X$5</f>
        <v>13</v>
      </c>
      <c r="Y529" s="53"/>
      <c r="Z529" s="52">
        <f>$Z$5</f>
        <v>16</v>
      </c>
      <c r="AA529" s="53"/>
      <c r="AB529" s="52">
        <f>$AB$5</f>
        <v>17</v>
      </c>
      <c r="AC529" s="53"/>
      <c r="AD529" s="52">
        <f>$AD$5</f>
        <v>18</v>
      </c>
      <c r="AE529" s="53"/>
      <c r="AF529" s="52">
        <f>$AF$5</f>
        <v>19</v>
      </c>
      <c r="AG529" s="53"/>
      <c r="AH529" s="52">
        <f>$AH$5</f>
        <v>20</v>
      </c>
      <c r="AI529" s="53"/>
      <c r="AJ529" s="52">
        <f>$AJ$5</f>
        <v>23</v>
      </c>
      <c r="AK529" s="53"/>
      <c r="AL529" s="52">
        <f>$AL$5</f>
        <v>24</v>
      </c>
      <c r="AM529" s="53"/>
      <c r="AN529" s="52">
        <f>$AN$5</f>
        <v>25</v>
      </c>
      <c r="AO529" s="53"/>
      <c r="AP529" s="52">
        <f>$AP$5</f>
        <v>26</v>
      </c>
      <c r="AQ529" s="53"/>
      <c r="AR529" s="52">
        <f>$AR$5</f>
        <v>27</v>
      </c>
      <c r="AS529" s="53"/>
      <c r="AT529" s="52">
        <f>$AT$5</f>
        <v>0</v>
      </c>
      <c r="AU529" s="53"/>
      <c r="AV529" s="52">
        <f>$AV$5</f>
        <v>0</v>
      </c>
      <c r="AW529" s="53"/>
      <c r="AX529" s="52">
        <f>$AX$5</f>
        <v>0</v>
      </c>
      <c r="AY529" s="53"/>
      <c r="AZ529" s="52">
        <f>$AZ$5</f>
        <v>0</v>
      </c>
      <c r="BA529" s="53"/>
      <c r="BB529" s="52">
        <f>$BB$5</f>
        <v>0</v>
      </c>
      <c r="BC529" s="53"/>
    </row>
    <row r="530" spans="1:55" x14ac:dyDescent="0.3">
      <c r="A530" s="62"/>
      <c r="B530" s="62"/>
      <c r="C530" s="62"/>
      <c r="D530" s="62"/>
      <c r="E530" s="62"/>
      <c r="F530" s="5" t="s">
        <v>14</v>
      </c>
      <c r="G530" s="5" t="s">
        <v>15</v>
      </c>
      <c r="H530" s="5" t="s">
        <v>14</v>
      </c>
      <c r="I530" s="5" t="s">
        <v>15</v>
      </c>
      <c r="J530" s="5" t="s">
        <v>14</v>
      </c>
      <c r="K530" s="5" t="s">
        <v>15</v>
      </c>
      <c r="L530" s="5" t="s">
        <v>14</v>
      </c>
      <c r="M530" s="5" t="s">
        <v>15</v>
      </c>
      <c r="N530" s="5" t="s">
        <v>14</v>
      </c>
      <c r="O530" s="5" t="s">
        <v>15</v>
      </c>
      <c r="P530" s="5" t="s">
        <v>14</v>
      </c>
      <c r="Q530" s="5" t="s">
        <v>15</v>
      </c>
      <c r="R530" s="5" t="s">
        <v>14</v>
      </c>
      <c r="S530" s="5" t="s">
        <v>15</v>
      </c>
      <c r="T530" s="5" t="s">
        <v>14</v>
      </c>
      <c r="U530" s="5" t="s">
        <v>15</v>
      </c>
      <c r="V530" s="5" t="s">
        <v>14</v>
      </c>
      <c r="W530" s="5" t="s">
        <v>15</v>
      </c>
      <c r="X530" s="5" t="s">
        <v>14</v>
      </c>
      <c r="Y530" s="5" t="s">
        <v>15</v>
      </c>
      <c r="Z530" s="5" t="s">
        <v>14</v>
      </c>
      <c r="AA530" s="5" t="s">
        <v>15</v>
      </c>
      <c r="AB530" s="5" t="s">
        <v>14</v>
      </c>
      <c r="AC530" s="5" t="s">
        <v>15</v>
      </c>
      <c r="AD530" s="5" t="s">
        <v>14</v>
      </c>
      <c r="AE530" s="5" t="s">
        <v>15</v>
      </c>
      <c r="AF530" s="5" t="s">
        <v>14</v>
      </c>
      <c r="AG530" s="5" t="s">
        <v>15</v>
      </c>
      <c r="AH530" s="5" t="s">
        <v>14</v>
      </c>
      <c r="AI530" s="5" t="s">
        <v>15</v>
      </c>
      <c r="AJ530" s="5" t="s">
        <v>14</v>
      </c>
      <c r="AK530" s="5" t="s">
        <v>15</v>
      </c>
      <c r="AL530" s="5" t="s">
        <v>14</v>
      </c>
      <c r="AM530" s="5" t="s">
        <v>15</v>
      </c>
      <c r="AN530" s="5" t="s">
        <v>14</v>
      </c>
      <c r="AO530" s="5" t="s">
        <v>15</v>
      </c>
      <c r="AP530" s="5" t="s">
        <v>14</v>
      </c>
      <c r="AQ530" s="5" t="s">
        <v>15</v>
      </c>
      <c r="AR530" s="5" t="s">
        <v>14</v>
      </c>
      <c r="AS530" s="5" t="s">
        <v>15</v>
      </c>
      <c r="AT530" s="5" t="s">
        <v>14</v>
      </c>
      <c r="AU530" s="5" t="s">
        <v>15</v>
      </c>
      <c r="AV530" s="5" t="s">
        <v>14</v>
      </c>
      <c r="AW530" s="5" t="s">
        <v>15</v>
      </c>
      <c r="AX530" s="5" t="s">
        <v>14</v>
      </c>
      <c r="AY530" s="5" t="s">
        <v>15</v>
      </c>
      <c r="AZ530" s="5" t="s">
        <v>14</v>
      </c>
      <c r="BA530" s="5" t="s">
        <v>15</v>
      </c>
      <c r="BB530" s="5" t="s">
        <v>14</v>
      </c>
      <c r="BC530" s="5" t="s">
        <v>15</v>
      </c>
    </row>
    <row r="531" spans="1:55" ht="17.25" customHeight="1" x14ac:dyDescent="0.3">
      <c r="A531" s="6">
        <v>1</v>
      </c>
      <c r="B531" s="7" t="s">
        <v>130</v>
      </c>
      <c r="C531" s="7" t="s">
        <v>534</v>
      </c>
      <c r="D531" s="7" t="s">
        <v>535</v>
      </c>
      <c r="E531" s="8" t="s">
        <v>29</v>
      </c>
      <c r="F531" s="30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</row>
    <row r="532" spans="1:55" ht="17.25" customHeight="1" x14ac:dyDescent="0.3">
      <c r="A532" s="6">
        <v>2</v>
      </c>
      <c r="B532" s="7" t="s">
        <v>88</v>
      </c>
      <c r="C532" s="7" t="s">
        <v>536</v>
      </c>
      <c r="D532" s="7" t="s">
        <v>537</v>
      </c>
      <c r="E532" s="8" t="s">
        <v>92</v>
      </c>
      <c r="F532" s="30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</row>
    <row r="533" spans="1:55" ht="17.25" customHeight="1" x14ac:dyDescent="0.3">
      <c r="A533" s="6">
        <v>3</v>
      </c>
      <c r="B533" s="7" t="s">
        <v>280</v>
      </c>
      <c r="C533" s="7" t="s">
        <v>538</v>
      </c>
      <c r="D533" s="7" t="s">
        <v>539</v>
      </c>
      <c r="E533" s="28" t="s">
        <v>19</v>
      </c>
      <c r="F533" s="30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</row>
    <row r="534" spans="1:55" ht="17.25" customHeight="1" x14ac:dyDescent="0.3">
      <c r="A534" s="6">
        <v>4</v>
      </c>
      <c r="B534" s="7" t="s">
        <v>280</v>
      </c>
      <c r="C534" s="7" t="s">
        <v>538</v>
      </c>
      <c r="D534" s="7" t="s">
        <v>540</v>
      </c>
      <c r="E534" s="28" t="s">
        <v>63</v>
      </c>
      <c r="F534" s="30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</row>
    <row r="535" spans="1:55" ht="17.25" customHeight="1" x14ac:dyDescent="0.3">
      <c r="A535" s="6">
        <v>5</v>
      </c>
      <c r="B535" s="7" t="s">
        <v>76</v>
      </c>
      <c r="C535" s="7" t="s">
        <v>116</v>
      </c>
      <c r="D535" s="7" t="s">
        <v>117</v>
      </c>
      <c r="E535" s="28" t="s">
        <v>59</v>
      </c>
      <c r="F535" s="30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</row>
    <row r="536" spans="1:55" ht="17.25" customHeight="1" x14ac:dyDescent="0.3">
      <c r="A536" s="6">
        <v>6</v>
      </c>
      <c r="B536" s="7" t="s">
        <v>76</v>
      </c>
      <c r="C536" s="7" t="s">
        <v>116</v>
      </c>
      <c r="D536" s="7" t="s">
        <v>171</v>
      </c>
      <c r="E536" s="28" t="s">
        <v>41</v>
      </c>
      <c r="F536" s="30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</row>
    <row r="537" spans="1:55" ht="17.25" customHeight="1" x14ac:dyDescent="0.3">
      <c r="A537" s="6">
        <v>7</v>
      </c>
      <c r="B537" s="7" t="s">
        <v>69</v>
      </c>
      <c r="C537" s="7" t="s">
        <v>291</v>
      </c>
      <c r="D537" s="7" t="s">
        <v>292</v>
      </c>
      <c r="E537" s="8" t="s">
        <v>41</v>
      </c>
      <c r="F537" s="30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</row>
    <row r="538" spans="1:55" ht="17.25" customHeight="1" x14ac:dyDescent="0.3">
      <c r="A538" s="6">
        <v>8</v>
      </c>
      <c r="B538" s="7" t="s">
        <v>290</v>
      </c>
      <c r="C538" s="7" t="s">
        <v>20</v>
      </c>
      <c r="D538" s="7" t="s">
        <v>541</v>
      </c>
      <c r="E538" s="28" t="s">
        <v>49</v>
      </c>
      <c r="F538" s="30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</row>
    <row r="539" spans="1:55" ht="17.25" customHeight="1" x14ac:dyDescent="0.3">
      <c r="A539" s="6">
        <v>9</v>
      </c>
      <c r="B539" s="7" t="s">
        <v>290</v>
      </c>
      <c r="C539" s="7" t="s">
        <v>20</v>
      </c>
      <c r="D539" s="7" t="s">
        <v>542</v>
      </c>
      <c r="E539" s="28" t="s">
        <v>63</v>
      </c>
      <c r="F539" s="30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</row>
    <row r="540" spans="1:55" ht="17.25" customHeight="1" x14ac:dyDescent="0.3">
      <c r="A540" s="6">
        <v>10</v>
      </c>
      <c r="B540" s="7" t="s">
        <v>147</v>
      </c>
      <c r="C540" s="7" t="s">
        <v>543</v>
      </c>
      <c r="D540" s="7" t="s">
        <v>544</v>
      </c>
      <c r="E540" s="28" t="s">
        <v>49</v>
      </c>
      <c r="F540" s="30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</row>
    <row r="541" spans="1:55" ht="17.25" customHeight="1" x14ac:dyDescent="0.3">
      <c r="A541" s="6">
        <v>11</v>
      </c>
      <c r="B541" s="7" t="s">
        <v>545</v>
      </c>
      <c r="C541" s="7" t="s">
        <v>130</v>
      </c>
      <c r="D541" s="7" t="s">
        <v>546</v>
      </c>
      <c r="E541" s="28" t="s">
        <v>58</v>
      </c>
      <c r="F541" s="30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</row>
    <row r="542" spans="1:55" ht="17.25" customHeight="1" x14ac:dyDescent="0.3">
      <c r="A542" s="6">
        <v>12</v>
      </c>
      <c r="B542" s="7" t="s">
        <v>610</v>
      </c>
      <c r="C542" s="7" t="s">
        <v>548</v>
      </c>
      <c r="D542" s="7" t="s">
        <v>611</v>
      </c>
      <c r="E542" s="28" t="s">
        <v>337</v>
      </c>
      <c r="F542" s="30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</row>
    <row r="543" spans="1:55" ht="17.25" customHeight="1" x14ac:dyDescent="0.3">
      <c r="A543" s="6">
        <v>13</v>
      </c>
      <c r="B543" s="7" t="s">
        <v>547</v>
      </c>
      <c r="C543" s="7" t="s">
        <v>548</v>
      </c>
      <c r="D543" s="7" t="s">
        <v>549</v>
      </c>
      <c r="E543" s="28" t="s">
        <v>92</v>
      </c>
      <c r="F543" s="30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</row>
    <row r="544" spans="1:55" ht="17.25" customHeight="1" x14ac:dyDescent="0.3">
      <c r="A544" s="6">
        <v>14</v>
      </c>
      <c r="B544" s="7" t="s">
        <v>104</v>
      </c>
      <c r="C544" s="7" t="s">
        <v>22</v>
      </c>
      <c r="D544" s="7" t="s">
        <v>470</v>
      </c>
      <c r="E544" s="28" t="s">
        <v>162</v>
      </c>
      <c r="F544" s="30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</row>
    <row r="545" spans="1:55" ht="17.25" customHeight="1" x14ac:dyDescent="0.3">
      <c r="A545" s="6">
        <v>15</v>
      </c>
      <c r="B545" s="22" t="s">
        <v>550</v>
      </c>
      <c r="C545" s="22" t="s">
        <v>536</v>
      </c>
      <c r="D545" s="22" t="s">
        <v>483</v>
      </c>
      <c r="E545" s="22" t="s">
        <v>221</v>
      </c>
      <c r="F545" s="30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</row>
    <row r="546" spans="1:55" x14ac:dyDescent="0.3">
      <c r="A546" s="35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58" spans="1:55" x14ac:dyDescent="0.3">
      <c r="F558" s="54" t="s">
        <v>47</v>
      </c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16"/>
      <c r="Z558" s="16"/>
      <c r="AA558" s="16"/>
      <c r="AB558" s="16"/>
      <c r="AC558" s="16"/>
      <c r="AD558" s="16"/>
      <c r="AE558" s="16"/>
      <c r="AF558" s="54" t="str">
        <f>C527</f>
        <v>Sr. Bruno Remberto Licon Monrroy</v>
      </c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</row>
    <row r="559" spans="1:55" x14ac:dyDescent="0.3">
      <c r="AF559" s="55" t="s">
        <v>201</v>
      </c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</row>
    <row r="562" spans="1:55" ht="24" x14ac:dyDescent="0.3">
      <c r="A562" s="56" t="s">
        <v>0</v>
      </c>
      <c r="B562" s="57"/>
      <c r="C562" s="57"/>
      <c r="D562" s="57"/>
      <c r="E562" s="1">
        <v>17</v>
      </c>
      <c r="F562" s="58" t="s">
        <v>1</v>
      </c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</row>
    <row r="563" spans="1:55" x14ac:dyDescent="0.3">
      <c r="A563" s="65" t="s">
        <v>2</v>
      </c>
      <c r="B563" s="66"/>
      <c r="C563" s="3">
        <f>VLOOKUP(BUS_17,[1]DATOS!$B$9:$G$28,5)</f>
        <v>2</v>
      </c>
      <c r="D563" s="59" t="str">
        <f>VLOOKUP(BUS_17,[1]DATOS!$B$9:$G$28,6)</f>
        <v>FEBRERO</v>
      </c>
      <c r="E563" s="59"/>
      <c r="F563" s="60" t="str">
        <f>$F$2</f>
        <v>MARZO</v>
      </c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</row>
    <row r="564" spans="1:55" x14ac:dyDescent="0.3">
      <c r="A564" s="61" t="s">
        <v>3</v>
      </c>
      <c r="B564" s="59"/>
      <c r="C564" s="59" t="str">
        <f>VLOOKUP(BUS_17,[1]DATOS!$B$9:$G$28,2)</f>
        <v>Sr. Daniel Villca Ticona</v>
      </c>
      <c r="D564" s="59"/>
      <c r="E564" s="4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</row>
    <row r="565" spans="1:55" x14ac:dyDescent="0.3">
      <c r="A565" s="61" t="s">
        <v>4</v>
      </c>
      <c r="B565" s="59"/>
      <c r="C565" s="59">
        <f>VLOOKUP(BUS_17,[1]DATOS!$B$9:$G$28,4)</f>
        <v>73593769</v>
      </c>
      <c r="D565" s="59"/>
      <c r="E565" s="4"/>
      <c r="F565" s="64" t="s">
        <v>5</v>
      </c>
      <c r="G565" s="64"/>
      <c r="H565" s="64" t="s">
        <v>6</v>
      </c>
      <c r="I565" s="64"/>
      <c r="J565" s="64" t="s">
        <v>6</v>
      </c>
      <c r="K565" s="64"/>
      <c r="L565" s="64" t="s">
        <v>7</v>
      </c>
      <c r="M565" s="64"/>
      <c r="N565" s="64" t="s">
        <v>8</v>
      </c>
      <c r="O565" s="64"/>
      <c r="P565" s="64" t="s">
        <v>5</v>
      </c>
      <c r="Q565" s="64"/>
      <c r="R565" s="64" t="s">
        <v>6</v>
      </c>
      <c r="S565" s="64"/>
      <c r="T565" s="64" t="s">
        <v>6</v>
      </c>
      <c r="U565" s="64"/>
      <c r="V565" s="64" t="s">
        <v>7</v>
      </c>
      <c r="W565" s="64"/>
      <c r="X565" s="64" t="s">
        <v>8</v>
      </c>
      <c r="Y565" s="64"/>
      <c r="Z565" s="64" t="s">
        <v>5</v>
      </c>
      <c r="AA565" s="64"/>
      <c r="AB565" s="64" t="s">
        <v>6</v>
      </c>
      <c r="AC565" s="64"/>
      <c r="AD565" s="64" t="s">
        <v>6</v>
      </c>
      <c r="AE565" s="64"/>
      <c r="AF565" s="64" t="s">
        <v>7</v>
      </c>
      <c r="AG565" s="64"/>
      <c r="AH565" s="64" t="s">
        <v>8</v>
      </c>
      <c r="AI565" s="64"/>
      <c r="AJ565" s="64" t="s">
        <v>5</v>
      </c>
      <c r="AK565" s="64"/>
      <c r="AL565" s="64" t="s">
        <v>6</v>
      </c>
      <c r="AM565" s="64"/>
      <c r="AN565" s="64" t="s">
        <v>6</v>
      </c>
      <c r="AO565" s="64"/>
      <c r="AP565" s="64" t="s">
        <v>7</v>
      </c>
      <c r="AQ565" s="64"/>
      <c r="AR565" s="64" t="s">
        <v>8</v>
      </c>
      <c r="AS565" s="64"/>
      <c r="AT565" s="64" t="s">
        <v>5</v>
      </c>
      <c r="AU565" s="64"/>
      <c r="AV565" s="64" t="s">
        <v>6</v>
      </c>
      <c r="AW565" s="64"/>
      <c r="AX565" s="64" t="s">
        <v>6</v>
      </c>
      <c r="AY565" s="64"/>
      <c r="AZ565" s="64" t="s">
        <v>7</v>
      </c>
      <c r="BA565" s="64"/>
      <c r="BB565" s="64" t="s">
        <v>8</v>
      </c>
      <c r="BC565" s="64"/>
    </row>
    <row r="566" spans="1:55" x14ac:dyDescent="0.3">
      <c r="A566" s="62" t="s">
        <v>9</v>
      </c>
      <c r="B566" s="62" t="s">
        <v>10</v>
      </c>
      <c r="C566" s="62" t="s">
        <v>11</v>
      </c>
      <c r="D566" s="62" t="s">
        <v>12</v>
      </c>
      <c r="E566" s="62" t="s">
        <v>13</v>
      </c>
      <c r="F566" s="63">
        <f>$F$5</f>
        <v>2</v>
      </c>
      <c r="G566" s="63"/>
      <c r="H566" s="52">
        <f>$H$5</f>
        <v>3</v>
      </c>
      <c r="I566" s="53"/>
      <c r="J566" s="52">
        <f>$J$5</f>
        <v>4</v>
      </c>
      <c r="K566" s="53"/>
      <c r="L566" s="52">
        <f>$L$5</f>
        <v>5</v>
      </c>
      <c r="M566" s="53"/>
      <c r="N566" s="52">
        <f>$N$5</f>
        <v>6</v>
      </c>
      <c r="O566" s="53"/>
      <c r="P566" s="52">
        <f>$P$5</f>
        <v>9</v>
      </c>
      <c r="Q566" s="53"/>
      <c r="R566" s="52">
        <f>$R$5</f>
        <v>10</v>
      </c>
      <c r="S566" s="53"/>
      <c r="T566" s="52">
        <f>$T$5</f>
        <v>11</v>
      </c>
      <c r="U566" s="53"/>
      <c r="V566" s="52">
        <f>$V$5</f>
        <v>12</v>
      </c>
      <c r="W566" s="53"/>
      <c r="X566" s="52">
        <f>$X$5</f>
        <v>13</v>
      </c>
      <c r="Y566" s="53"/>
      <c r="Z566" s="52">
        <f>$Z$5</f>
        <v>16</v>
      </c>
      <c r="AA566" s="53"/>
      <c r="AB566" s="52">
        <f>$AB$5</f>
        <v>17</v>
      </c>
      <c r="AC566" s="53"/>
      <c r="AD566" s="52">
        <f>$AD$5</f>
        <v>18</v>
      </c>
      <c r="AE566" s="53"/>
      <c r="AF566" s="52">
        <f>$AF$5</f>
        <v>19</v>
      </c>
      <c r="AG566" s="53"/>
      <c r="AH566" s="52">
        <f>$AH$5</f>
        <v>20</v>
      </c>
      <c r="AI566" s="53"/>
      <c r="AJ566" s="52">
        <f>$AJ$5</f>
        <v>23</v>
      </c>
      <c r="AK566" s="53"/>
      <c r="AL566" s="52">
        <f>$AL$5</f>
        <v>24</v>
      </c>
      <c r="AM566" s="53"/>
      <c r="AN566" s="52">
        <f>$AN$5</f>
        <v>25</v>
      </c>
      <c r="AO566" s="53"/>
      <c r="AP566" s="52">
        <f>$AP$5</f>
        <v>26</v>
      </c>
      <c r="AQ566" s="53"/>
      <c r="AR566" s="52">
        <f>$AR$5</f>
        <v>27</v>
      </c>
      <c r="AS566" s="53"/>
      <c r="AT566" s="52">
        <f>$AT$5</f>
        <v>0</v>
      </c>
      <c r="AU566" s="53"/>
      <c r="AV566" s="52">
        <f>$AV$5</f>
        <v>0</v>
      </c>
      <c r="AW566" s="53"/>
      <c r="AX566" s="52">
        <f>$AX$5</f>
        <v>0</v>
      </c>
      <c r="AY566" s="53"/>
      <c r="AZ566" s="52">
        <f>$AZ$5</f>
        <v>0</v>
      </c>
      <c r="BA566" s="53"/>
      <c r="BB566" s="52">
        <f>$BB$5</f>
        <v>0</v>
      </c>
      <c r="BC566" s="53"/>
    </row>
    <row r="567" spans="1:55" x14ac:dyDescent="0.3">
      <c r="A567" s="62"/>
      <c r="B567" s="62"/>
      <c r="C567" s="62"/>
      <c r="D567" s="62"/>
      <c r="E567" s="62"/>
      <c r="F567" s="5" t="s">
        <v>14</v>
      </c>
      <c r="G567" s="5" t="s">
        <v>15</v>
      </c>
      <c r="H567" s="5" t="s">
        <v>14</v>
      </c>
      <c r="I567" s="5" t="s">
        <v>15</v>
      </c>
      <c r="J567" s="5" t="s">
        <v>14</v>
      </c>
      <c r="K567" s="5" t="s">
        <v>15</v>
      </c>
      <c r="L567" s="5" t="s">
        <v>14</v>
      </c>
      <c r="M567" s="5" t="s">
        <v>15</v>
      </c>
      <c r="N567" s="5" t="s">
        <v>14</v>
      </c>
      <c r="O567" s="5" t="s">
        <v>15</v>
      </c>
      <c r="P567" s="5" t="s">
        <v>14</v>
      </c>
      <c r="Q567" s="5" t="s">
        <v>15</v>
      </c>
      <c r="R567" s="5" t="s">
        <v>14</v>
      </c>
      <c r="S567" s="5" t="s">
        <v>15</v>
      </c>
      <c r="T567" s="5" t="s">
        <v>14</v>
      </c>
      <c r="U567" s="5" t="s">
        <v>15</v>
      </c>
      <c r="V567" s="5" t="s">
        <v>14</v>
      </c>
      <c r="W567" s="5" t="s">
        <v>15</v>
      </c>
      <c r="X567" s="5" t="s">
        <v>14</v>
      </c>
      <c r="Y567" s="5" t="s">
        <v>15</v>
      </c>
      <c r="Z567" s="5" t="s">
        <v>14</v>
      </c>
      <c r="AA567" s="5" t="s">
        <v>15</v>
      </c>
      <c r="AB567" s="5" t="s">
        <v>14</v>
      </c>
      <c r="AC567" s="5" t="s">
        <v>15</v>
      </c>
      <c r="AD567" s="5" t="s">
        <v>14</v>
      </c>
      <c r="AE567" s="5" t="s">
        <v>15</v>
      </c>
      <c r="AF567" s="5" t="s">
        <v>14</v>
      </c>
      <c r="AG567" s="5" t="s">
        <v>15</v>
      </c>
      <c r="AH567" s="5" t="s">
        <v>14</v>
      </c>
      <c r="AI567" s="5" t="s">
        <v>15</v>
      </c>
      <c r="AJ567" s="5" t="s">
        <v>14</v>
      </c>
      <c r="AK567" s="5" t="s">
        <v>15</v>
      </c>
      <c r="AL567" s="5" t="s">
        <v>14</v>
      </c>
      <c r="AM567" s="5" t="s">
        <v>15</v>
      </c>
      <c r="AN567" s="5" t="s">
        <v>14</v>
      </c>
      <c r="AO567" s="5" t="s">
        <v>15</v>
      </c>
      <c r="AP567" s="5" t="s">
        <v>14</v>
      </c>
      <c r="AQ567" s="5" t="s">
        <v>15</v>
      </c>
      <c r="AR567" s="5" t="s">
        <v>14</v>
      </c>
      <c r="AS567" s="5" t="s">
        <v>15</v>
      </c>
      <c r="AT567" s="5" t="s">
        <v>14</v>
      </c>
      <c r="AU567" s="5" t="s">
        <v>15</v>
      </c>
      <c r="AV567" s="5" t="s">
        <v>14</v>
      </c>
      <c r="AW567" s="5" t="s">
        <v>15</v>
      </c>
      <c r="AX567" s="5" t="s">
        <v>14</v>
      </c>
      <c r="AY567" s="5" t="s">
        <v>15</v>
      </c>
      <c r="AZ567" s="5" t="s">
        <v>14</v>
      </c>
      <c r="BA567" s="5" t="s">
        <v>15</v>
      </c>
      <c r="BB567" s="5" t="s">
        <v>14</v>
      </c>
      <c r="BC567" s="5" t="s">
        <v>15</v>
      </c>
    </row>
    <row r="568" spans="1:55" ht="17.25" customHeight="1" x14ac:dyDescent="0.3">
      <c r="A568" s="38">
        <v>1</v>
      </c>
      <c r="B568" s="39" t="s">
        <v>551</v>
      </c>
      <c r="C568" s="39" t="s">
        <v>43</v>
      </c>
      <c r="D568" s="39" t="s">
        <v>552</v>
      </c>
      <c r="E568" s="40" t="s">
        <v>381</v>
      </c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</row>
    <row r="569" spans="1:55" ht="17.25" customHeight="1" x14ac:dyDescent="0.3">
      <c r="A569" s="38">
        <v>2</v>
      </c>
      <c r="B569" s="39" t="s">
        <v>551</v>
      </c>
      <c r="C569" s="39" t="s">
        <v>43</v>
      </c>
      <c r="D569" s="39" t="s">
        <v>553</v>
      </c>
      <c r="E569" s="40" t="s">
        <v>384</v>
      </c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</row>
    <row r="570" spans="1:55" ht="17.25" customHeight="1" x14ac:dyDescent="0.3">
      <c r="A570" s="38">
        <v>3</v>
      </c>
      <c r="B570" s="39" t="s">
        <v>69</v>
      </c>
      <c r="C570" s="39" t="s">
        <v>43</v>
      </c>
      <c r="D570" s="39" t="s">
        <v>554</v>
      </c>
      <c r="E570" s="40" t="s">
        <v>421</v>
      </c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</row>
    <row r="571" spans="1:55" ht="17.25" customHeight="1" x14ac:dyDescent="0.3">
      <c r="A571" s="38">
        <v>4</v>
      </c>
      <c r="B571" s="39" t="s">
        <v>69</v>
      </c>
      <c r="C571" s="39" t="s">
        <v>43</v>
      </c>
      <c r="D571" s="39" t="s">
        <v>555</v>
      </c>
      <c r="E571" s="40" t="s">
        <v>402</v>
      </c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</row>
    <row r="572" spans="1:55" ht="17.25" customHeight="1" x14ac:dyDescent="0.3">
      <c r="A572" s="38">
        <v>5</v>
      </c>
      <c r="B572" s="39" t="s">
        <v>215</v>
      </c>
      <c r="C572" s="39" t="s">
        <v>556</v>
      </c>
      <c r="D572" s="39" t="s">
        <v>590</v>
      </c>
      <c r="E572" s="40" t="s">
        <v>402</v>
      </c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</row>
    <row r="573" spans="1:55" ht="17.25" customHeight="1" x14ac:dyDescent="0.3">
      <c r="A573" s="38">
        <v>6</v>
      </c>
      <c r="B573" s="39" t="s">
        <v>133</v>
      </c>
      <c r="C573" s="39" t="s">
        <v>22</v>
      </c>
      <c r="D573" s="39" t="s">
        <v>557</v>
      </c>
      <c r="E573" s="40" t="s">
        <v>415</v>
      </c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</row>
    <row r="574" spans="1:55" ht="17.25" customHeight="1" x14ac:dyDescent="0.3">
      <c r="A574" s="38">
        <v>7</v>
      </c>
      <c r="B574" s="39" t="s">
        <v>20</v>
      </c>
      <c r="C574" s="39" t="s">
        <v>64</v>
      </c>
      <c r="D574" s="39" t="s">
        <v>268</v>
      </c>
      <c r="E574" s="40" t="s">
        <v>421</v>
      </c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</row>
    <row r="575" spans="1:55" ht="17.25" customHeight="1" x14ac:dyDescent="0.3">
      <c r="A575" s="38">
        <v>8</v>
      </c>
      <c r="B575" s="39" t="s">
        <v>20</v>
      </c>
      <c r="C575" s="39" t="s">
        <v>64</v>
      </c>
      <c r="D575" s="39" t="s">
        <v>267</v>
      </c>
      <c r="E575" s="40" t="s">
        <v>406</v>
      </c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</row>
    <row r="576" spans="1:55" ht="17.25" customHeight="1" x14ac:dyDescent="0.3">
      <c r="A576" s="38">
        <v>9</v>
      </c>
      <c r="B576" s="39" t="s">
        <v>225</v>
      </c>
      <c r="C576" s="39" t="s">
        <v>133</v>
      </c>
      <c r="D576" s="39" t="s">
        <v>558</v>
      </c>
      <c r="E576" s="40" t="s">
        <v>242</v>
      </c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</row>
    <row r="577" spans="1:55" ht="17.25" customHeight="1" x14ac:dyDescent="0.3">
      <c r="A577" s="38">
        <v>10</v>
      </c>
      <c r="B577" s="49" t="s">
        <v>612</v>
      </c>
      <c r="C577" s="49" t="s">
        <v>613</v>
      </c>
      <c r="D577" s="49" t="s">
        <v>614</v>
      </c>
      <c r="E577" s="50" t="s">
        <v>615</v>
      </c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</row>
    <row r="578" spans="1:55" ht="17.25" customHeight="1" x14ac:dyDescent="0.3">
      <c r="A578" s="38">
        <v>11</v>
      </c>
      <c r="B578" s="39" t="s">
        <v>103</v>
      </c>
      <c r="C578" s="39" t="s">
        <v>248</v>
      </c>
      <c r="D578" s="39" t="s">
        <v>559</v>
      </c>
      <c r="E578" s="40" t="s">
        <v>402</v>
      </c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</row>
    <row r="579" spans="1:55" ht="17.25" customHeight="1" x14ac:dyDescent="0.3">
      <c r="A579" s="38">
        <v>12</v>
      </c>
      <c r="B579" s="39" t="s">
        <v>560</v>
      </c>
      <c r="C579" s="39" t="s">
        <v>133</v>
      </c>
      <c r="D579" s="39" t="s">
        <v>561</v>
      </c>
      <c r="E579" s="40" t="s">
        <v>415</v>
      </c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</row>
    <row r="580" spans="1:55" ht="17.25" customHeight="1" x14ac:dyDescent="0.3">
      <c r="A580" s="38">
        <v>13</v>
      </c>
      <c r="B580" s="39" t="s">
        <v>301</v>
      </c>
      <c r="C580" s="39" t="s">
        <v>64</v>
      </c>
      <c r="D580" s="39" t="s">
        <v>562</v>
      </c>
      <c r="E580" s="40" t="s">
        <v>426</v>
      </c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</row>
    <row r="581" spans="1:55" x14ac:dyDescent="0.3">
      <c r="A581" s="11"/>
      <c r="B581" s="12"/>
      <c r="C581" s="12"/>
      <c r="D581" s="12"/>
      <c r="E581" s="3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3">
      <c r="A582" s="35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3">
      <c r="A583" s="35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3">
      <c r="A584" s="35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95" spans="1:55" x14ac:dyDescent="0.3">
      <c r="F595" s="54" t="s">
        <v>47</v>
      </c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16"/>
      <c r="Z595" s="16"/>
      <c r="AA595" s="16"/>
      <c r="AB595" s="16"/>
      <c r="AC595" s="16"/>
      <c r="AD595" s="16"/>
      <c r="AE595" s="16"/>
      <c r="AF595" s="54" t="str">
        <f>C564</f>
        <v>Sr. Daniel Villca Ticona</v>
      </c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</row>
    <row r="596" spans="1:55" x14ac:dyDescent="0.3">
      <c r="AF596" s="55" t="s">
        <v>200</v>
      </c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</row>
    <row r="598" spans="1:55" ht="24" x14ac:dyDescent="0.3">
      <c r="A598" s="56" t="s">
        <v>0</v>
      </c>
      <c r="B598" s="57"/>
      <c r="C598" s="57"/>
      <c r="D598" s="57"/>
      <c r="E598" s="1">
        <v>18</v>
      </c>
      <c r="F598" s="58" t="s">
        <v>1</v>
      </c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</row>
    <row r="599" spans="1:55" x14ac:dyDescent="0.3">
      <c r="A599" s="65" t="s">
        <v>2</v>
      </c>
      <c r="B599" s="66"/>
      <c r="C599" s="3">
        <f>VLOOKUP(BUS_18,[1]DATOS!$B$9:$G$28,5)</f>
        <v>2</v>
      </c>
      <c r="D599" s="59" t="str">
        <f>VLOOKUP(BUS_18,[1]DATOS!$B$9:$G$28,6)</f>
        <v>MARZO</v>
      </c>
      <c r="E599" s="59"/>
      <c r="F599" s="60" t="str">
        <f>$F$2</f>
        <v>MARZO</v>
      </c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</row>
    <row r="600" spans="1:55" x14ac:dyDescent="0.3">
      <c r="A600" s="61" t="s">
        <v>3</v>
      </c>
      <c r="B600" s="59"/>
      <c r="C600" s="59" t="str">
        <f>VLOOKUP(BUS_18,[1]DATOS!$B$9:$G$28,2)</f>
        <v>Sr. Miguel Angel Hidalgo Quispe</v>
      </c>
      <c r="D600" s="59"/>
      <c r="E600" s="4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</row>
    <row r="601" spans="1:55" x14ac:dyDescent="0.3">
      <c r="A601" s="61" t="s">
        <v>4</v>
      </c>
      <c r="B601" s="59"/>
      <c r="C601" s="59">
        <f>VLOOKUP(BUS_18,[1]DATOS!$B$9:$G$28,4)</f>
        <v>60575037</v>
      </c>
      <c r="D601" s="59"/>
      <c r="E601" s="4"/>
      <c r="F601" s="64" t="s">
        <v>5</v>
      </c>
      <c r="G601" s="64"/>
      <c r="H601" s="64" t="s">
        <v>6</v>
      </c>
      <c r="I601" s="64"/>
      <c r="J601" s="64" t="s">
        <v>6</v>
      </c>
      <c r="K601" s="64"/>
      <c r="L601" s="64" t="s">
        <v>7</v>
      </c>
      <c r="M601" s="64"/>
      <c r="N601" s="64" t="s">
        <v>8</v>
      </c>
      <c r="O601" s="64"/>
      <c r="P601" s="64" t="s">
        <v>5</v>
      </c>
      <c r="Q601" s="64"/>
      <c r="R601" s="64" t="s">
        <v>6</v>
      </c>
      <c r="S601" s="64"/>
      <c r="T601" s="64" t="s">
        <v>6</v>
      </c>
      <c r="U601" s="64"/>
      <c r="V601" s="64" t="s">
        <v>7</v>
      </c>
      <c r="W601" s="64"/>
      <c r="X601" s="64" t="s">
        <v>8</v>
      </c>
      <c r="Y601" s="64"/>
      <c r="Z601" s="64" t="s">
        <v>5</v>
      </c>
      <c r="AA601" s="64"/>
      <c r="AB601" s="64" t="s">
        <v>6</v>
      </c>
      <c r="AC601" s="64"/>
      <c r="AD601" s="64" t="s">
        <v>6</v>
      </c>
      <c r="AE601" s="64"/>
      <c r="AF601" s="64" t="s">
        <v>7</v>
      </c>
      <c r="AG601" s="64"/>
      <c r="AH601" s="64" t="s">
        <v>8</v>
      </c>
      <c r="AI601" s="64"/>
      <c r="AJ601" s="64" t="s">
        <v>5</v>
      </c>
      <c r="AK601" s="64"/>
      <c r="AL601" s="64" t="s">
        <v>6</v>
      </c>
      <c r="AM601" s="64"/>
      <c r="AN601" s="64" t="s">
        <v>6</v>
      </c>
      <c r="AO601" s="64"/>
      <c r="AP601" s="64" t="s">
        <v>7</v>
      </c>
      <c r="AQ601" s="64"/>
      <c r="AR601" s="64" t="s">
        <v>8</v>
      </c>
      <c r="AS601" s="64"/>
      <c r="AT601" s="64" t="s">
        <v>5</v>
      </c>
      <c r="AU601" s="64"/>
      <c r="AV601" s="64" t="s">
        <v>6</v>
      </c>
      <c r="AW601" s="64"/>
      <c r="AX601" s="64" t="s">
        <v>6</v>
      </c>
      <c r="AY601" s="64"/>
      <c r="AZ601" s="64" t="s">
        <v>7</v>
      </c>
      <c r="BA601" s="64"/>
      <c r="BB601" s="64" t="s">
        <v>8</v>
      </c>
      <c r="BC601" s="64"/>
    </row>
    <row r="602" spans="1:55" x14ac:dyDescent="0.3">
      <c r="A602" s="62" t="s">
        <v>9</v>
      </c>
      <c r="B602" s="62" t="s">
        <v>10</v>
      </c>
      <c r="C602" s="62" t="s">
        <v>11</v>
      </c>
      <c r="D602" s="62" t="s">
        <v>12</v>
      </c>
      <c r="E602" s="62" t="s">
        <v>13</v>
      </c>
      <c r="F602" s="63">
        <f>$F$5</f>
        <v>2</v>
      </c>
      <c r="G602" s="63"/>
      <c r="H602" s="52">
        <f>$H$5</f>
        <v>3</v>
      </c>
      <c r="I602" s="53"/>
      <c r="J602" s="52">
        <f>$J$5</f>
        <v>4</v>
      </c>
      <c r="K602" s="53"/>
      <c r="L602" s="52">
        <f>$L$5</f>
        <v>5</v>
      </c>
      <c r="M602" s="53"/>
      <c r="N602" s="52">
        <f>$N$5</f>
        <v>6</v>
      </c>
      <c r="O602" s="53"/>
      <c r="P602" s="52">
        <f>$P$5</f>
        <v>9</v>
      </c>
      <c r="Q602" s="53"/>
      <c r="R602" s="52">
        <f>$R$5</f>
        <v>10</v>
      </c>
      <c r="S602" s="53"/>
      <c r="T602" s="52">
        <f>$T$5</f>
        <v>11</v>
      </c>
      <c r="U602" s="53"/>
      <c r="V602" s="52">
        <f>$V$5</f>
        <v>12</v>
      </c>
      <c r="W602" s="53"/>
      <c r="X602" s="52">
        <f>$X$5</f>
        <v>13</v>
      </c>
      <c r="Y602" s="53"/>
      <c r="Z602" s="52">
        <f>$Z$5</f>
        <v>16</v>
      </c>
      <c r="AA602" s="53"/>
      <c r="AB602" s="52">
        <f>$AB$5</f>
        <v>17</v>
      </c>
      <c r="AC602" s="53"/>
      <c r="AD602" s="52">
        <f>$AD$5</f>
        <v>18</v>
      </c>
      <c r="AE602" s="53"/>
      <c r="AF602" s="52">
        <f>$AF$5</f>
        <v>19</v>
      </c>
      <c r="AG602" s="53"/>
      <c r="AH602" s="52">
        <f>$AH$5</f>
        <v>20</v>
      </c>
      <c r="AI602" s="53"/>
      <c r="AJ602" s="52">
        <f>$AJ$5</f>
        <v>23</v>
      </c>
      <c r="AK602" s="53"/>
      <c r="AL602" s="52">
        <f>$AL$5</f>
        <v>24</v>
      </c>
      <c r="AM602" s="53"/>
      <c r="AN602" s="52">
        <f>$AN$5</f>
        <v>25</v>
      </c>
      <c r="AO602" s="53"/>
      <c r="AP602" s="52">
        <f>$AP$5</f>
        <v>26</v>
      </c>
      <c r="AQ602" s="53"/>
      <c r="AR602" s="52">
        <f>$AR$5</f>
        <v>27</v>
      </c>
      <c r="AS602" s="53"/>
      <c r="AT602" s="52">
        <f>$AT$5</f>
        <v>0</v>
      </c>
      <c r="AU602" s="53"/>
      <c r="AV602" s="52">
        <f>$AV$5</f>
        <v>0</v>
      </c>
      <c r="AW602" s="53"/>
      <c r="AX602" s="52">
        <f>$AX$5</f>
        <v>0</v>
      </c>
      <c r="AY602" s="53"/>
      <c r="AZ602" s="52">
        <f>$AZ$5</f>
        <v>0</v>
      </c>
      <c r="BA602" s="53"/>
      <c r="BB602" s="52">
        <f>$BB$5</f>
        <v>0</v>
      </c>
      <c r="BC602" s="53"/>
    </row>
    <row r="603" spans="1:55" x14ac:dyDescent="0.3">
      <c r="A603" s="62"/>
      <c r="B603" s="62"/>
      <c r="C603" s="62"/>
      <c r="D603" s="62"/>
      <c r="E603" s="62"/>
      <c r="F603" s="5" t="s">
        <v>14</v>
      </c>
      <c r="G603" s="5" t="s">
        <v>15</v>
      </c>
      <c r="H603" s="5" t="s">
        <v>14</v>
      </c>
      <c r="I603" s="5" t="s">
        <v>15</v>
      </c>
      <c r="J603" s="5" t="s">
        <v>14</v>
      </c>
      <c r="K603" s="5" t="s">
        <v>15</v>
      </c>
      <c r="L603" s="5" t="s">
        <v>14</v>
      </c>
      <c r="M603" s="5" t="s">
        <v>15</v>
      </c>
      <c r="N603" s="5" t="s">
        <v>14</v>
      </c>
      <c r="O603" s="5" t="s">
        <v>15</v>
      </c>
      <c r="P603" s="5" t="s">
        <v>14</v>
      </c>
      <c r="Q603" s="5" t="s">
        <v>15</v>
      </c>
      <c r="R603" s="5" t="s">
        <v>14</v>
      </c>
      <c r="S603" s="5" t="s">
        <v>15</v>
      </c>
      <c r="T603" s="5" t="s">
        <v>14</v>
      </c>
      <c r="U603" s="5" t="s">
        <v>15</v>
      </c>
      <c r="V603" s="5" t="s">
        <v>14</v>
      </c>
      <c r="W603" s="5" t="s">
        <v>15</v>
      </c>
      <c r="X603" s="5" t="s">
        <v>14</v>
      </c>
      <c r="Y603" s="5" t="s">
        <v>15</v>
      </c>
      <c r="Z603" s="5" t="s">
        <v>14</v>
      </c>
      <c r="AA603" s="5" t="s">
        <v>15</v>
      </c>
      <c r="AB603" s="5" t="s">
        <v>14</v>
      </c>
      <c r="AC603" s="5" t="s">
        <v>15</v>
      </c>
      <c r="AD603" s="5" t="s">
        <v>14</v>
      </c>
      <c r="AE603" s="5" t="s">
        <v>15</v>
      </c>
      <c r="AF603" s="5" t="s">
        <v>14</v>
      </c>
      <c r="AG603" s="5" t="s">
        <v>15</v>
      </c>
      <c r="AH603" s="5" t="s">
        <v>14</v>
      </c>
      <c r="AI603" s="5" t="s">
        <v>15</v>
      </c>
      <c r="AJ603" s="5" t="s">
        <v>14</v>
      </c>
      <c r="AK603" s="5" t="s">
        <v>15</v>
      </c>
      <c r="AL603" s="5" t="s">
        <v>14</v>
      </c>
      <c r="AM603" s="5" t="s">
        <v>15</v>
      </c>
      <c r="AN603" s="5" t="s">
        <v>14</v>
      </c>
      <c r="AO603" s="5" t="s">
        <v>15</v>
      </c>
      <c r="AP603" s="5" t="s">
        <v>14</v>
      </c>
      <c r="AQ603" s="5" t="s">
        <v>15</v>
      </c>
      <c r="AR603" s="5" t="s">
        <v>14</v>
      </c>
      <c r="AS603" s="5" t="s">
        <v>15</v>
      </c>
      <c r="AT603" s="5" t="s">
        <v>14</v>
      </c>
      <c r="AU603" s="5" t="s">
        <v>15</v>
      </c>
      <c r="AV603" s="5" t="s">
        <v>14</v>
      </c>
      <c r="AW603" s="5" t="s">
        <v>15</v>
      </c>
      <c r="AX603" s="5" t="s">
        <v>14</v>
      </c>
      <c r="AY603" s="5" t="s">
        <v>15</v>
      </c>
      <c r="AZ603" s="5" t="s">
        <v>14</v>
      </c>
      <c r="BA603" s="5" t="s">
        <v>15</v>
      </c>
      <c r="BB603" s="5" t="s">
        <v>14</v>
      </c>
      <c r="BC603" s="5" t="s">
        <v>15</v>
      </c>
    </row>
    <row r="604" spans="1:55" ht="18" customHeight="1" x14ac:dyDescent="0.3">
      <c r="A604" s="6">
        <v>1</v>
      </c>
      <c r="B604" s="7" t="s">
        <v>563</v>
      </c>
      <c r="C604" s="7" t="s">
        <v>20</v>
      </c>
      <c r="D604" s="7" t="s">
        <v>564</v>
      </c>
      <c r="E604" s="8" t="s">
        <v>44</v>
      </c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</row>
    <row r="605" spans="1:55" ht="18" customHeight="1" x14ac:dyDescent="0.3">
      <c r="A605" s="6">
        <v>2</v>
      </c>
      <c r="B605" s="7" t="s">
        <v>69</v>
      </c>
      <c r="C605" s="7" t="s">
        <v>223</v>
      </c>
      <c r="D605" s="7" t="s">
        <v>565</v>
      </c>
      <c r="E605" s="8" t="s">
        <v>242</v>
      </c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</row>
    <row r="606" spans="1:55" ht="18" customHeight="1" x14ac:dyDescent="0.3">
      <c r="A606" s="6">
        <v>3</v>
      </c>
      <c r="B606" s="7" t="s">
        <v>69</v>
      </c>
      <c r="C606" s="7" t="s">
        <v>223</v>
      </c>
      <c r="D606" s="7" t="s">
        <v>566</v>
      </c>
      <c r="E606" s="28" t="s">
        <v>44</v>
      </c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</row>
    <row r="607" spans="1:55" ht="18" customHeight="1" x14ac:dyDescent="0.3">
      <c r="A607" s="6">
        <v>4</v>
      </c>
      <c r="B607" s="7" t="s">
        <v>182</v>
      </c>
      <c r="C607" s="7" t="s">
        <v>125</v>
      </c>
      <c r="D607" s="7" t="s">
        <v>567</v>
      </c>
      <c r="E607" s="28" t="s">
        <v>568</v>
      </c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</row>
    <row r="608" spans="1:55" ht="18" customHeight="1" x14ac:dyDescent="0.3">
      <c r="A608" s="6">
        <v>5</v>
      </c>
      <c r="B608" s="7" t="s">
        <v>569</v>
      </c>
      <c r="C608" s="7" t="s">
        <v>570</v>
      </c>
      <c r="D608" s="7" t="s">
        <v>571</v>
      </c>
      <c r="E608" s="28" t="s">
        <v>19</v>
      </c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</row>
    <row r="609" spans="1:55" ht="18" customHeight="1" x14ac:dyDescent="0.3">
      <c r="A609" s="6">
        <v>6</v>
      </c>
      <c r="B609" s="7" t="s">
        <v>569</v>
      </c>
      <c r="C609" s="7" t="s">
        <v>570</v>
      </c>
      <c r="D609" s="7" t="s">
        <v>572</v>
      </c>
      <c r="E609" s="28" t="s">
        <v>242</v>
      </c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</row>
    <row r="610" spans="1:55" ht="18" customHeight="1" x14ac:dyDescent="0.3">
      <c r="A610" s="6">
        <v>7</v>
      </c>
      <c r="B610" s="7" t="s">
        <v>569</v>
      </c>
      <c r="C610" s="7" t="s">
        <v>570</v>
      </c>
      <c r="D610" s="7" t="s">
        <v>573</v>
      </c>
      <c r="E610" s="8" t="s">
        <v>63</v>
      </c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</row>
    <row r="611" spans="1:55" ht="18" customHeight="1" x14ac:dyDescent="0.3">
      <c r="A611" s="6">
        <v>8</v>
      </c>
      <c r="B611" s="7" t="s">
        <v>22</v>
      </c>
      <c r="C611" s="7" t="s">
        <v>164</v>
      </c>
      <c r="D611" s="7" t="s">
        <v>165</v>
      </c>
      <c r="E611" s="7" t="s">
        <v>54</v>
      </c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</row>
    <row r="612" spans="1:55" ht="18" customHeight="1" x14ac:dyDescent="0.3">
      <c r="A612" s="6">
        <v>9</v>
      </c>
      <c r="B612" s="7" t="s">
        <v>22</v>
      </c>
      <c r="C612" s="7" t="s">
        <v>164</v>
      </c>
      <c r="D612" s="7" t="s">
        <v>574</v>
      </c>
      <c r="E612" s="7" t="s">
        <v>305</v>
      </c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</row>
    <row r="613" spans="1:55" ht="18" customHeight="1" x14ac:dyDescent="0.3">
      <c r="A613" s="6">
        <v>10</v>
      </c>
      <c r="B613" s="7" t="s">
        <v>22</v>
      </c>
      <c r="C613" s="7" t="s">
        <v>575</v>
      </c>
      <c r="D613" s="7" t="s">
        <v>576</v>
      </c>
      <c r="E613" s="7" t="s">
        <v>52</v>
      </c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</row>
    <row r="614" spans="1:55" ht="18" customHeight="1" x14ac:dyDescent="0.3">
      <c r="A614" s="6">
        <v>11</v>
      </c>
      <c r="B614" s="7" t="s">
        <v>81</v>
      </c>
      <c r="C614" s="7" t="s">
        <v>226</v>
      </c>
      <c r="D614" s="7" t="s">
        <v>228</v>
      </c>
      <c r="E614" s="7" t="s">
        <v>59</v>
      </c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</row>
    <row r="615" spans="1:55" ht="18" customHeight="1" x14ac:dyDescent="0.3">
      <c r="A615" s="6">
        <v>12</v>
      </c>
      <c r="B615" s="7" t="s">
        <v>81</v>
      </c>
      <c r="C615" s="7" t="s">
        <v>82</v>
      </c>
      <c r="D615" s="7" t="s">
        <v>83</v>
      </c>
      <c r="E615" s="7" t="s">
        <v>41</v>
      </c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</row>
    <row r="616" spans="1:55" ht="18" customHeight="1" x14ac:dyDescent="0.3">
      <c r="A616" s="6">
        <v>13</v>
      </c>
      <c r="B616" s="7" t="s">
        <v>229</v>
      </c>
      <c r="C616" s="7" t="s">
        <v>441</v>
      </c>
      <c r="D616" s="7" t="s">
        <v>577</v>
      </c>
      <c r="E616" s="7" t="s">
        <v>92</v>
      </c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</row>
    <row r="617" spans="1:55" ht="18" customHeight="1" x14ac:dyDescent="0.3">
      <c r="A617" s="6">
        <v>14</v>
      </c>
      <c r="B617" s="7" t="s">
        <v>229</v>
      </c>
      <c r="C617" s="7" t="s">
        <v>441</v>
      </c>
      <c r="D617" s="7" t="s">
        <v>231</v>
      </c>
      <c r="E617" s="7" t="s">
        <v>52</v>
      </c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</row>
    <row r="618" spans="1:55" ht="18" customHeight="1" x14ac:dyDescent="0.3">
      <c r="A618" s="6">
        <v>15</v>
      </c>
      <c r="B618" s="7" t="s">
        <v>269</v>
      </c>
      <c r="C618" s="7" t="s">
        <v>270</v>
      </c>
      <c r="D618" s="7" t="s">
        <v>578</v>
      </c>
      <c r="E618" s="7" t="s">
        <v>58</v>
      </c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</row>
    <row r="619" spans="1:55" x14ac:dyDescent="0.3">
      <c r="A619" s="35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9" spans="1:55" x14ac:dyDescent="0.3">
      <c r="F629" s="54" t="s">
        <v>47</v>
      </c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16"/>
      <c r="Z629" s="16"/>
      <c r="AA629" s="16"/>
      <c r="AB629" s="16"/>
      <c r="AC629" s="16"/>
      <c r="AD629" s="16"/>
      <c r="AE629" s="16"/>
      <c r="AF629" s="54" t="str">
        <f>C600</f>
        <v>Sr. Miguel Angel Hidalgo Quispe</v>
      </c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</row>
    <row r="630" spans="1:55" x14ac:dyDescent="0.3"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16"/>
      <c r="Z630" s="16"/>
      <c r="AA630" s="16"/>
      <c r="AB630" s="16"/>
      <c r="AC630" s="16"/>
      <c r="AD630" s="16"/>
      <c r="AE630" s="16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</row>
    <row r="631" spans="1:55" x14ac:dyDescent="0.3">
      <c r="AF631" s="55" t="s">
        <v>579</v>
      </c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</row>
    <row r="632" spans="1:55" x14ac:dyDescent="0.3"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</row>
    <row r="633" spans="1:55" ht="24" x14ac:dyDescent="0.3">
      <c r="A633" s="56" t="s">
        <v>0</v>
      </c>
      <c r="B633" s="57"/>
      <c r="C633" s="57"/>
      <c r="D633" s="57"/>
      <c r="E633" s="1">
        <v>19</v>
      </c>
      <c r="F633" s="58" t="s">
        <v>1</v>
      </c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</row>
    <row r="634" spans="1:55" x14ac:dyDescent="0.3">
      <c r="A634" s="65" t="s">
        <v>2</v>
      </c>
      <c r="B634" s="66"/>
      <c r="C634" s="3">
        <f>VLOOKUP(BUS_18,[1]DATOS!$B$9:$G$28,5)</f>
        <v>2</v>
      </c>
      <c r="D634" s="59" t="str">
        <f>VLOOKUP(BUS_18,[1]DATOS!$B$9:$G$28,6)</f>
        <v>MARZO</v>
      </c>
      <c r="E634" s="59"/>
      <c r="F634" s="60" t="str">
        <f>$F$2</f>
        <v>MARZO</v>
      </c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</row>
    <row r="635" spans="1:55" x14ac:dyDescent="0.3">
      <c r="A635" s="61" t="s">
        <v>3</v>
      </c>
      <c r="B635" s="59"/>
      <c r="C635" s="59" t="s">
        <v>616</v>
      </c>
      <c r="D635" s="59"/>
      <c r="E635" s="4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</row>
    <row r="636" spans="1:55" x14ac:dyDescent="0.3">
      <c r="A636" s="61" t="s">
        <v>4</v>
      </c>
      <c r="B636" s="59"/>
      <c r="C636" s="59">
        <v>76160439</v>
      </c>
      <c r="D636" s="59"/>
      <c r="E636" s="4"/>
      <c r="F636" s="64" t="s">
        <v>5</v>
      </c>
      <c r="G636" s="64"/>
      <c r="H636" s="64" t="s">
        <v>6</v>
      </c>
      <c r="I636" s="64"/>
      <c r="J636" s="64" t="s">
        <v>6</v>
      </c>
      <c r="K636" s="64"/>
      <c r="L636" s="64" t="s">
        <v>7</v>
      </c>
      <c r="M636" s="64"/>
      <c r="N636" s="64" t="s">
        <v>8</v>
      </c>
      <c r="O636" s="64"/>
      <c r="P636" s="64" t="s">
        <v>5</v>
      </c>
      <c r="Q636" s="64"/>
      <c r="R636" s="64" t="s">
        <v>6</v>
      </c>
      <c r="S636" s="64"/>
      <c r="T636" s="64" t="s">
        <v>6</v>
      </c>
      <c r="U636" s="64"/>
      <c r="V636" s="64" t="s">
        <v>7</v>
      </c>
      <c r="W636" s="64"/>
      <c r="X636" s="64" t="s">
        <v>8</v>
      </c>
      <c r="Y636" s="64"/>
      <c r="Z636" s="64" t="s">
        <v>5</v>
      </c>
      <c r="AA636" s="64"/>
      <c r="AB636" s="64" t="s">
        <v>6</v>
      </c>
      <c r="AC636" s="64"/>
      <c r="AD636" s="64" t="s">
        <v>6</v>
      </c>
      <c r="AE636" s="64"/>
      <c r="AF636" s="64" t="s">
        <v>7</v>
      </c>
      <c r="AG636" s="64"/>
      <c r="AH636" s="64" t="s">
        <v>8</v>
      </c>
      <c r="AI636" s="64"/>
      <c r="AJ636" s="64" t="s">
        <v>5</v>
      </c>
      <c r="AK636" s="64"/>
      <c r="AL636" s="64" t="s">
        <v>6</v>
      </c>
      <c r="AM636" s="64"/>
      <c r="AN636" s="64" t="s">
        <v>6</v>
      </c>
      <c r="AO636" s="64"/>
      <c r="AP636" s="64" t="s">
        <v>7</v>
      </c>
      <c r="AQ636" s="64"/>
      <c r="AR636" s="64" t="s">
        <v>8</v>
      </c>
      <c r="AS636" s="64"/>
      <c r="AT636" s="64" t="s">
        <v>5</v>
      </c>
      <c r="AU636" s="64"/>
      <c r="AV636" s="64" t="s">
        <v>6</v>
      </c>
      <c r="AW636" s="64"/>
      <c r="AX636" s="64" t="s">
        <v>6</v>
      </c>
      <c r="AY636" s="64"/>
      <c r="AZ636" s="64" t="s">
        <v>7</v>
      </c>
      <c r="BA636" s="64"/>
      <c r="BB636" s="64" t="s">
        <v>8</v>
      </c>
      <c r="BC636" s="64"/>
    </row>
    <row r="637" spans="1:55" x14ac:dyDescent="0.3">
      <c r="A637" s="62" t="s">
        <v>9</v>
      </c>
      <c r="B637" s="62" t="s">
        <v>10</v>
      </c>
      <c r="C637" s="62" t="s">
        <v>11</v>
      </c>
      <c r="D637" s="62" t="s">
        <v>12</v>
      </c>
      <c r="E637" s="62" t="s">
        <v>13</v>
      </c>
      <c r="F637" s="63">
        <f>$F$5</f>
        <v>2</v>
      </c>
      <c r="G637" s="63"/>
      <c r="H637" s="52">
        <f>$H$5</f>
        <v>3</v>
      </c>
      <c r="I637" s="53"/>
      <c r="J637" s="52">
        <f>$J$5</f>
        <v>4</v>
      </c>
      <c r="K637" s="53"/>
      <c r="L637" s="52">
        <f>$L$5</f>
        <v>5</v>
      </c>
      <c r="M637" s="53"/>
      <c r="N637" s="52">
        <f>$N$5</f>
        <v>6</v>
      </c>
      <c r="O637" s="53"/>
      <c r="P637" s="52">
        <f>$P$5</f>
        <v>9</v>
      </c>
      <c r="Q637" s="53"/>
      <c r="R637" s="52">
        <f>$R$5</f>
        <v>10</v>
      </c>
      <c r="S637" s="53"/>
      <c r="T637" s="52">
        <f>$T$5</f>
        <v>11</v>
      </c>
      <c r="U637" s="53"/>
      <c r="V637" s="52">
        <f>$V$5</f>
        <v>12</v>
      </c>
      <c r="W637" s="53"/>
      <c r="X637" s="52">
        <f>$X$5</f>
        <v>13</v>
      </c>
      <c r="Y637" s="53"/>
      <c r="Z637" s="52">
        <f>$Z$5</f>
        <v>16</v>
      </c>
      <c r="AA637" s="53"/>
      <c r="AB637" s="52">
        <f>$AB$5</f>
        <v>17</v>
      </c>
      <c r="AC637" s="53"/>
      <c r="AD637" s="52">
        <f>$AD$5</f>
        <v>18</v>
      </c>
      <c r="AE637" s="53"/>
      <c r="AF637" s="52">
        <f>$AF$5</f>
        <v>19</v>
      </c>
      <c r="AG637" s="53"/>
      <c r="AH637" s="52">
        <f>$AH$5</f>
        <v>20</v>
      </c>
      <c r="AI637" s="53"/>
      <c r="AJ637" s="52">
        <f>$AJ$5</f>
        <v>23</v>
      </c>
      <c r="AK637" s="53"/>
      <c r="AL637" s="52">
        <f>$AL$5</f>
        <v>24</v>
      </c>
      <c r="AM637" s="53"/>
      <c r="AN637" s="52">
        <f>$AN$5</f>
        <v>25</v>
      </c>
      <c r="AO637" s="53"/>
      <c r="AP637" s="52">
        <f>$AP$5</f>
        <v>26</v>
      </c>
      <c r="AQ637" s="53"/>
      <c r="AR637" s="52">
        <f>$AR$5</f>
        <v>27</v>
      </c>
      <c r="AS637" s="53"/>
      <c r="AT637" s="52">
        <f>$AT$5</f>
        <v>0</v>
      </c>
      <c r="AU637" s="53"/>
      <c r="AV637" s="52">
        <f>$AV$5</f>
        <v>0</v>
      </c>
      <c r="AW637" s="53"/>
      <c r="AX637" s="52">
        <f>$AX$5</f>
        <v>0</v>
      </c>
      <c r="AY637" s="53"/>
      <c r="AZ637" s="52">
        <f>$AZ$5</f>
        <v>0</v>
      </c>
      <c r="BA637" s="53"/>
      <c r="BB637" s="52">
        <f>$BB$5</f>
        <v>0</v>
      </c>
      <c r="BC637" s="53"/>
    </row>
    <row r="638" spans="1:55" x14ac:dyDescent="0.3">
      <c r="A638" s="62"/>
      <c r="B638" s="62"/>
      <c r="C638" s="62"/>
      <c r="D638" s="62"/>
      <c r="E638" s="62"/>
      <c r="F638" s="5" t="s">
        <v>14</v>
      </c>
      <c r="G638" s="5" t="s">
        <v>15</v>
      </c>
      <c r="H638" s="5" t="s">
        <v>14</v>
      </c>
      <c r="I638" s="5" t="s">
        <v>15</v>
      </c>
      <c r="J638" s="5" t="s">
        <v>14</v>
      </c>
      <c r="K638" s="5" t="s">
        <v>15</v>
      </c>
      <c r="L638" s="5" t="s">
        <v>14</v>
      </c>
      <c r="M638" s="5" t="s">
        <v>15</v>
      </c>
      <c r="N638" s="5" t="s">
        <v>14</v>
      </c>
      <c r="O638" s="5" t="s">
        <v>15</v>
      </c>
      <c r="P638" s="5" t="s">
        <v>14</v>
      </c>
      <c r="Q638" s="5" t="s">
        <v>15</v>
      </c>
      <c r="R638" s="5" t="s">
        <v>14</v>
      </c>
      <c r="S638" s="5" t="s">
        <v>15</v>
      </c>
      <c r="T638" s="5" t="s">
        <v>14</v>
      </c>
      <c r="U638" s="5" t="s">
        <v>15</v>
      </c>
      <c r="V638" s="5" t="s">
        <v>14</v>
      </c>
      <c r="W638" s="5" t="s">
        <v>15</v>
      </c>
      <c r="X638" s="5" t="s">
        <v>14</v>
      </c>
      <c r="Y638" s="5" t="s">
        <v>15</v>
      </c>
      <c r="Z638" s="5" t="s">
        <v>14</v>
      </c>
      <c r="AA638" s="5" t="s">
        <v>15</v>
      </c>
      <c r="AB638" s="5" t="s">
        <v>14</v>
      </c>
      <c r="AC638" s="5" t="s">
        <v>15</v>
      </c>
      <c r="AD638" s="5" t="s">
        <v>14</v>
      </c>
      <c r="AE638" s="5" t="s">
        <v>15</v>
      </c>
      <c r="AF638" s="5" t="s">
        <v>14</v>
      </c>
      <c r="AG638" s="5" t="s">
        <v>15</v>
      </c>
      <c r="AH638" s="5" t="s">
        <v>14</v>
      </c>
      <c r="AI638" s="5" t="s">
        <v>15</v>
      </c>
      <c r="AJ638" s="5" t="s">
        <v>14</v>
      </c>
      <c r="AK638" s="5" t="s">
        <v>15</v>
      </c>
      <c r="AL638" s="5" t="s">
        <v>14</v>
      </c>
      <c r="AM638" s="5" t="s">
        <v>15</v>
      </c>
      <c r="AN638" s="5" t="s">
        <v>14</v>
      </c>
      <c r="AO638" s="5" t="s">
        <v>15</v>
      </c>
      <c r="AP638" s="5" t="s">
        <v>14</v>
      </c>
      <c r="AQ638" s="5" t="s">
        <v>15</v>
      </c>
      <c r="AR638" s="5" t="s">
        <v>14</v>
      </c>
      <c r="AS638" s="5" t="s">
        <v>15</v>
      </c>
      <c r="AT638" s="5" t="s">
        <v>14</v>
      </c>
      <c r="AU638" s="5" t="s">
        <v>15</v>
      </c>
      <c r="AV638" s="5" t="s">
        <v>14</v>
      </c>
      <c r="AW638" s="5" t="s">
        <v>15</v>
      </c>
      <c r="AX638" s="5" t="s">
        <v>14</v>
      </c>
      <c r="AY638" s="5" t="s">
        <v>15</v>
      </c>
      <c r="AZ638" s="5" t="s">
        <v>14</v>
      </c>
      <c r="BA638" s="5" t="s">
        <v>15</v>
      </c>
      <c r="BB638" s="5" t="s">
        <v>14</v>
      </c>
      <c r="BC638" s="5" t="s">
        <v>15</v>
      </c>
    </row>
    <row r="639" spans="1:55" x14ac:dyDescent="0.3">
      <c r="A639" s="6">
        <v>1</v>
      </c>
      <c r="B639" s="7" t="s">
        <v>130</v>
      </c>
      <c r="C639" s="7" t="s">
        <v>619</v>
      </c>
      <c r="D639" s="7" t="s">
        <v>620</v>
      </c>
      <c r="E639" s="8" t="s">
        <v>643</v>
      </c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</row>
    <row r="640" spans="1:55" x14ac:dyDescent="0.3">
      <c r="A640" s="6">
        <v>2</v>
      </c>
      <c r="B640" s="7" t="s">
        <v>621</v>
      </c>
      <c r="C640" s="7" t="s">
        <v>310</v>
      </c>
      <c r="D640" s="7" t="s">
        <v>622</v>
      </c>
      <c r="E640" s="8" t="s">
        <v>644</v>
      </c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</row>
    <row r="641" spans="1:55" x14ac:dyDescent="0.3">
      <c r="A641" s="6">
        <v>3</v>
      </c>
      <c r="B641" s="7" t="s">
        <v>142</v>
      </c>
      <c r="C641" s="7" t="s">
        <v>16</v>
      </c>
      <c r="D641" s="7" t="s">
        <v>623</v>
      </c>
      <c r="E641" s="28" t="s">
        <v>645</v>
      </c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</row>
    <row r="642" spans="1:55" x14ac:dyDescent="0.3">
      <c r="A642" s="6">
        <v>4</v>
      </c>
      <c r="B642" s="7" t="s">
        <v>624</v>
      </c>
      <c r="C642" s="7" t="s">
        <v>291</v>
      </c>
      <c r="D642" s="7" t="s">
        <v>625</v>
      </c>
      <c r="E642" s="28" t="s">
        <v>643</v>
      </c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</row>
    <row r="643" spans="1:55" x14ac:dyDescent="0.3">
      <c r="A643" s="6">
        <v>5</v>
      </c>
      <c r="B643" s="7" t="s">
        <v>624</v>
      </c>
      <c r="C643" s="7" t="s">
        <v>291</v>
      </c>
      <c r="D643" s="7" t="s">
        <v>626</v>
      </c>
      <c r="E643" s="28" t="s">
        <v>646</v>
      </c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</row>
    <row r="644" spans="1:55" x14ac:dyDescent="0.3">
      <c r="A644" s="6">
        <v>6</v>
      </c>
      <c r="B644" s="7" t="s">
        <v>627</v>
      </c>
      <c r="C644" s="7" t="s">
        <v>147</v>
      </c>
      <c r="D644" s="7" t="s">
        <v>628</v>
      </c>
      <c r="E644" s="28" t="s">
        <v>647</v>
      </c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</row>
    <row r="645" spans="1:55" x14ac:dyDescent="0.3">
      <c r="A645" s="6">
        <v>7</v>
      </c>
      <c r="B645" s="7" t="s">
        <v>627</v>
      </c>
      <c r="C645" s="7" t="s">
        <v>147</v>
      </c>
      <c r="D645" s="7" t="s">
        <v>629</v>
      </c>
      <c r="E645" s="8" t="s">
        <v>609</v>
      </c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</row>
    <row r="646" spans="1:55" x14ac:dyDescent="0.3">
      <c r="A646" s="6">
        <v>8</v>
      </c>
      <c r="B646" s="7" t="s">
        <v>178</v>
      </c>
      <c r="C646" s="7" t="s">
        <v>635</v>
      </c>
      <c r="D646" s="7" t="s">
        <v>636</v>
      </c>
      <c r="E646" s="7" t="s">
        <v>648</v>
      </c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</row>
    <row r="647" spans="1:55" x14ac:dyDescent="0.3">
      <c r="A647" s="6">
        <v>9</v>
      </c>
      <c r="B647" s="7" t="s">
        <v>630</v>
      </c>
      <c r="C647" s="7" t="s">
        <v>631</v>
      </c>
      <c r="D647" s="7" t="s">
        <v>632</v>
      </c>
      <c r="E647" s="7" t="s">
        <v>649</v>
      </c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</row>
    <row r="648" spans="1:55" x14ac:dyDescent="0.3">
      <c r="A648" s="6">
        <v>10</v>
      </c>
      <c r="B648" s="7" t="s">
        <v>633</v>
      </c>
      <c r="C648" s="7" t="s">
        <v>619</v>
      </c>
      <c r="D648" s="7" t="s">
        <v>634</v>
      </c>
      <c r="E648" s="7" t="s">
        <v>648</v>
      </c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</row>
    <row r="649" spans="1:55" x14ac:dyDescent="0.3">
      <c r="A649" s="6">
        <v>11</v>
      </c>
      <c r="B649" s="7" t="s">
        <v>637</v>
      </c>
      <c r="C649" s="7" t="s">
        <v>638</v>
      </c>
      <c r="D649" s="7" t="s">
        <v>639</v>
      </c>
      <c r="E649" s="7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</row>
    <row r="650" spans="1:55" x14ac:dyDescent="0.3">
      <c r="A650" s="6">
        <v>12</v>
      </c>
      <c r="B650" s="7" t="s">
        <v>640</v>
      </c>
      <c r="C650" s="7" t="s">
        <v>621</v>
      </c>
      <c r="D650" s="7" t="s">
        <v>102</v>
      </c>
      <c r="E650" s="7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</row>
    <row r="651" spans="1:55" x14ac:dyDescent="0.3">
      <c r="A651" s="6">
        <v>13</v>
      </c>
      <c r="B651" s="7" t="s">
        <v>94</v>
      </c>
      <c r="C651" s="7" t="s">
        <v>16</v>
      </c>
      <c r="D651" s="7" t="s">
        <v>641</v>
      </c>
      <c r="E651" s="7" t="s">
        <v>647</v>
      </c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</row>
    <row r="652" spans="1:55" x14ac:dyDescent="0.3">
      <c r="A652" s="6">
        <v>14</v>
      </c>
      <c r="B652" s="7" t="s">
        <v>106</v>
      </c>
      <c r="C652" s="7" t="s">
        <v>120</v>
      </c>
      <c r="D652" s="7" t="s">
        <v>642</v>
      </c>
      <c r="E652" s="7" t="s">
        <v>650</v>
      </c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</row>
    <row r="653" spans="1:55" x14ac:dyDescent="0.3">
      <c r="A653" s="35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63" spans="1:55" x14ac:dyDescent="0.3">
      <c r="F663" s="54" t="s">
        <v>47</v>
      </c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16"/>
      <c r="Z663" s="16"/>
      <c r="AA663" s="16"/>
      <c r="AB663" s="16"/>
      <c r="AC663" s="16"/>
      <c r="AD663" s="16"/>
      <c r="AE663" s="16"/>
      <c r="AF663" s="54" t="str">
        <f>C635</f>
        <v>Sr. Juan Carlos Callisaya Nina</v>
      </c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</row>
    <row r="664" spans="1:55" x14ac:dyDescent="0.3">
      <c r="AF664" s="55" t="s">
        <v>617</v>
      </c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</row>
    <row r="670" spans="1:55" ht="24" x14ac:dyDescent="0.3">
      <c r="A670" s="56" t="s">
        <v>0</v>
      </c>
      <c r="B670" s="57"/>
      <c r="C670" s="57"/>
      <c r="D670" s="57"/>
      <c r="E670" s="1">
        <v>20</v>
      </c>
      <c r="F670" s="58" t="s">
        <v>1</v>
      </c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</row>
    <row r="671" spans="1:55" x14ac:dyDescent="0.3">
      <c r="A671" s="65" t="s">
        <v>2</v>
      </c>
      <c r="B671" s="66"/>
      <c r="C671" s="3">
        <f>VLOOKUP(BUS_18,[1]DATOS!$B$9:$G$28,5)</f>
        <v>2</v>
      </c>
      <c r="D671" s="59" t="str">
        <f>VLOOKUP(BUS_18,[1]DATOS!$B$9:$G$28,6)</f>
        <v>MARZO</v>
      </c>
      <c r="E671" s="59"/>
      <c r="F671" s="60" t="str">
        <f>$F$2</f>
        <v>MARZO</v>
      </c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</row>
    <row r="672" spans="1:55" x14ac:dyDescent="0.3">
      <c r="A672" s="61" t="s">
        <v>3</v>
      </c>
      <c r="B672" s="59"/>
      <c r="C672" s="59" t="s">
        <v>651</v>
      </c>
      <c r="D672" s="59"/>
      <c r="E672" s="4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</row>
    <row r="673" spans="1:55" x14ac:dyDescent="0.3">
      <c r="A673" s="61" t="s">
        <v>4</v>
      </c>
      <c r="B673" s="59"/>
      <c r="C673" s="59">
        <v>78318250</v>
      </c>
      <c r="D673" s="59"/>
      <c r="E673" s="4"/>
      <c r="F673" s="64" t="s">
        <v>5</v>
      </c>
      <c r="G673" s="64"/>
      <c r="H673" s="64" t="s">
        <v>6</v>
      </c>
      <c r="I673" s="64"/>
      <c r="J673" s="64" t="s">
        <v>6</v>
      </c>
      <c r="K673" s="64"/>
      <c r="L673" s="64" t="s">
        <v>7</v>
      </c>
      <c r="M673" s="64"/>
      <c r="N673" s="64" t="s">
        <v>8</v>
      </c>
      <c r="O673" s="64"/>
      <c r="P673" s="64" t="s">
        <v>5</v>
      </c>
      <c r="Q673" s="64"/>
      <c r="R673" s="64" t="s">
        <v>6</v>
      </c>
      <c r="S673" s="64"/>
      <c r="T673" s="64" t="s">
        <v>6</v>
      </c>
      <c r="U673" s="64"/>
      <c r="V673" s="64" t="s">
        <v>7</v>
      </c>
      <c r="W673" s="64"/>
      <c r="X673" s="64" t="s">
        <v>8</v>
      </c>
      <c r="Y673" s="64"/>
      <c r="Z673" s="64" t="s">
        <v>5</v>
      </c>
      <c r="AA673" s="64"/>
      <c r="AB673" s="64" t="s">
        <v>6</v>
      </c>
      <c r="AC673" s="64"/>
      <c r="AD673" s="64" t="s">
        <v>6</v>
      </c>
      <c r="AE673" s="64"/>
      <c r="AF673" s="64" t="s">
        <v>7</v>
      </c>
      <c r="AG673" s="64"/>
      <c r="AH673" s="64" t="s">
        <v>8</v>
      </c>
      <c r="AI673" s="64"/>
      <c r="AJ673" s="64" t="s">
        <v>5</v>
      </c>
      <c r="AK673" s="64"/>
      <c r="AL673" s="64" t="s">
        <v>6</v>
      </c>
      <c r="AM673" s="64"/>
      <c r="AN673" s="64" t="s">
        <v>6</v>
      </c>
      <c r="AO673" s="64"/>
      <c r="AP673" s="64" t="s">
        <v>7</v>
      </c>
      <c r="AQ673" s="64"/>
      <c r="AR673" s="64" t="s">
        <v>8</v>
      </c>
      <c r="AS673" s="64"/>
      <c r="AT673" s="64" t="s">
        <v>5</v>
      </c>
      <c r="AU673" s="64"/>
      <c r="AV673" s="64" t="s">
        <v>6</v>
      </c>
      <c r="AW673" s="64"/>
      <c r="AX673" s="64" t="s">
        <v>6</v>
      </c>
      <c r="AY673" s="64"/>
      <c r="AZ673" s="64" t="s">
        <v>7</v>
      </c>
      <c r="BA673" s="64"/>
      <c r="BB673" s="64" t="s">
        <v>8</v>
      </c>
      <c r="BC673" s="64"/>
    </row>
    <row r="674" spans="1:55" x14ac:dyDescent="0.3">
      <c r="A674" s="62" t="s">
        <v>9</v>
      </c>
      <c r="B674" s="62" t="s">
        <v>10</v>
      </c>
      <c r="C674" s="62" t="s">
        <v>11</v>
      </c>
      <c r="D674" s="62" t="s">
        <v>12</v>
      </c>
      <c r="E674" s="62" t="s">
        <v>13</v>
      </c>
      <c r="F674" s="63">
        <f>$F$5</f>
        <v>2</v>
      </c>
      <c r="G674" s="63"/>
      <c r="H674" s="52">
        <f>$H$5</f>
        <v>3</v>
      </c>
      <c r="I674" s="53"/>
      <c r="J674" s="52">
        <f>$J$5</f>
        <v>4</v>
      </c>
      <c r="K674" s="53"/>
      <c r="L674" s="52">
        <f>$L$5</f>
        <v>5</v>
      </c>
      <c r="M674" s="53"/>
      <c r="N674" s="52">
        <f>$N$5</f>
        <v>6</v>
      </c>
      <c r="O674" s="53"/>
      <c r="P674" s="52">
        <f>$P$5</f>
        <v>9</v>
      </c>
      <c r="Q674" s="53"/>
      <c r="R674" s="52">
        <f>$R$5</f>
        <v>10</v>
      </c>
      <c r="S674" s="53"/>
      <c r="T674" s="52">
        <f>$T$5</f>
        <v>11</v>
      </c>
      <c r="U674" s="53"/>
      <c r="V674" s="52">
        <f>$V$5</f>
        <v>12</v>
      </c>
      <c r="W674" s="53"/>
      <c r="X674" s="52">
        <f>$X$5</f>
        <v>13</v>
      </c>
      <c r="Y674" s="53"/>
      <c r="Z674" s="52">
        <f>$Z$5</f>
        <v>16</v>
      </c>
      <c r="AA674" s="53"/>
      <c r="AB674" s="52">
        <f>$AB$5</f>
        <v>17</v>
      </c>
      <c r="AC674" s="53"/>
      <c r="AD674" s="52">
        <f>$AD$5</f>
        <v>18</v>
      </c>
      <c r="AE674" s="53"/>
      <c r="AF674" s="52">
        <f>$AF$5</f>
        <v>19</v>
      </c>
      <c r="AG674" s="53"/>
      <c r="AH674" s="52">
        <f>$AH$5</f>
        <v>20</v>
      </c>
      <c r="AI674" s="53"/>
      <c r="AJ674" s="52">
        <f>$AJ$5</f>
        <v>23</v>
      </c>
      <c r="AK674" s="53"/>
      <c r="AL674" s="52">
        <f>$AL$5</f>
        <v>24</v>
      </c>
      <c r="AM674" s="53"/>
      <c r="AN674" s="52">
        <f>$AN$5</f>
        <v>25</v>
      </c>
      <c r="AO674" s="53"/>
      <c r="AP674" s="52">
        <f>$AP$5</f>
        <v>26</v>
      </c>
      <c r="AQ674" s="53"/>
      <c r="AR674" s="52">
        <f>$AR$5</f>
        <v>27</v>
      </c>
      <c r="AS674" s="53"/>
      <c r="AT674" s="52">
        <f>$AT$5</f>
        <v>0</v>
      </c>
      <c r="AU674" s="53"/>
      <c r="AV674" s="52">
        <f>$AV$5</f>
        <v>0</v>
      </c>
      <c r="AW674" s="53"/>
      <c r="AX674" s="52">
        <f>$AX$5</f>
        <v>0</v>
      </c>
      <c r="AY674" s="53"/>
      <c r="AZ674" s="52">
        <f>$AZ$5</f>
        <v>0</v>
      </c>
      <c r="BA674" s="53"/>
      <c r="BB674" s="52">
        <f>$BB$5</f>
        <v>0</v>
      </c>
      <c r="BC674" s="53"/>
    </row>
    <row r="675" spans="1:55" x14ac:dyDescent="0.3">
      <c r="A675" s="62"/>
      <c r="B675" s="62"/>
      <c r="C675" s="62"/>
      <c r="D675" s="62"/>
      <c r="E675" s="62"/>
      <c r="F675" s="5" t="s">
        <v>14</v>
      </c>
      <c r="G675" s="5" t="s">
        <v>15</v>
      </c>
      <c r="H675" s="5" t="s">
        <v>14</v>
      </c>
      <c r="I675" s="5" t="s">
        <v>15</v>
      </c>
      <c r="J675" s="5" t="s">
        <v>14</v>
      </c>
      <c r="K675" s="5" t="s">
        <v>15</v>
      </c>
      <c r="L675" s="5" t="s">
        <v>14</v>
      </c>
      <c r="M675" s="5" t="s">
        <v>15</v>
      </c>
      <c r="N675" s="5" t="s">
        <v>14</v>
      </c>
      <c r="O675" s="5" t="s">
        <v>15</v>
      </c>
      <c r="P675" s="5" t="s">
        <v>14</v>
      </c>
      <c r="Q675" s="5" t="s">
        <v>15</v>
      </c>
      <c r="R675" s="5" t="s">
        <v>14</v>
      </c>
      <c r="S675" s="5" t="s">
        <v>15</v>
      </c>
      <c r="T675" s="5" t="s">
        <v>14</v>
      </c>
      <c r="U675" s="5" t="s">
        <v>15</v>
      </c>
      <c r="V675" s="5" t="s">
        <v>14</v>
      </c>
      <c r="W675" s="5" t="s">
        <v>15</v>
      </c>
      <c r="X675" s="5" t="s">
        <v>14</v>
      </c>
      <c r="Y675" s="5" t="s">
        <v>15</v>
      </c>
      <c r="Z675" s="5" t="s">
        <v>14</v>
      </c>
      <c r="AA675" s="5" t="s">
        <v>15</v>
      </c>
      <c r="AB675" s="5" t="s">
        <v>14</v>
      </c>
      <c r="AC675" s="5" t="s">
        <v>15</v>
      </c>
      <c r="AD675" s="5" t="s">
        <v>14</v>
      </c>
      <c r="AE675" s="5" t="s">
        <v>15</v>
      </c>
      <c r="AF675" s="5" t="s">
        <v>14</v>
      </c>
      <c r="AG675" s="5" t="s">
        <v>15</v>
      </c>
      <c r="AH675" s="5" t="s">
        <v>14</v>
      </c>
      <c r="AI675" s="5" t="s">
        <v>15</v>
      </c>
      <c r="AJ675" s="5" t="s">
        <v>14</v>
      </c>
      <c r="AK675" s="5" t="s">
        <v>15</v>
      </c>
      <c r="AL675" s="5" t="s">
        <v>14</v>
      </c>
      <c r="AM675" s="5" t="s">
        <v>15</v>
      </c>
      <c r="AN675" s="5" t="s">
        <v>14</v>
      </c>
      <c r="AO675" s="5" t="s">
        <v>15</v>
      </c>
      <c r="AP675" s="5" t="s">
        <v>14</v>
      </c>
      <c r="AQ675" s="5" t="s">
        <v>15</v>
      </c>
      <c r="AR675" s="5" t="s">
        <v>14</v>
      </c>
      <c r="AS675" s="5" t="s">
        <v>15</v>
      </c>
      <c r="AT675" s="5" t="s">
        <v>14</v>
      </c>
      <c r="AU675" s="5" t="s">
        <v>15</v>
      </c>
      <c r="AV675" s="5" t="s">
        <v>14</v>
      </c>
      <c r="AW675" s="5" t="s">
        <v>15</v>
      </c>
      <c r="AX675" s="5" t="s">
        <v>14</v>
      </c>
      <c r="AY675" s="5" t="s">
        <v>15</v>
      </c>
      <c r="AZ675" s="5" t="s">
        <v>14</v>
      </c>
      <c r="BA675" s="5" t="s">
        <v>15</v>
      </c>
      <c r="BB675" s="5" t="s">
        <v>14</v>
      </c>
      <c r="BC675" s="5" t="s">
        <v>15</v>
      </c>
    </row>
    <row r="676" spans="1:55" x14ac:dyDescent="0.3">
      <c r="A676" s="6">
        <v>1</v>
      </c>
      <c r="B676" s="7" t="s">
        <v>502</v>
      </c>
      <c r="C676" s="7" t="s">
        <v>61</v>
      </c>
      <c r="D676" s="7" t="s">
        <v>295</v>
      </c>
      <c r="E676" s="8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</row>
    <row r="677" spans="1:55" x14ac:dyDescent="0.3">
      <c r="A677" s="6">
        <v>2</v>
      </c>
      <c r="B677" s="7" t="s">
        <v>652</v>
      </c>
      <c r="C677" s="7" t="s">
        <v>22</v>
      </c>
      <c r="D677" s="7" t="s">
        <v>653</v>
      </c>
      <c r="E677" s="8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</row>
    <row r="678" spans="1:55" x14ac:dyDescent="0.3">
      <c r="A678" s="6">
        <v>3</v>
      </c>
      <c r="B678" s="7" t="s">
        <v>652</v>
      </c>
      <c r="C678" s="7" t="s">
        <v>22</v>
      </c>
      <c r="D678" s="7" t="s">
        <v>654</v>
      </c>
      <c r="E678" s="28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</row>
    <row r="679" spans="1:55" x14ac:dyDescent="0.3">
      <c r="A679" s="6">
        <v>4</v>
      </c>
      <c r="B679" s="7" t="s">
        <v>655</v>
      </c>
      <c r="C679" s="7" t="s">
        <v>656</v>
      </c>
      <c r="D679" s="7" t="s">
        <v>657</v>
      </c>
      <c r="E679" s="28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</row>
    <row r="680" spans="1:55" x14ac:dyDescent="0.3">
      <c r="A680" s="6">
        <v>5</v>
      </c>
      <c r="B680" s="7" t="s">
        <v>655</v>
      </c>
      <c r="C680" s="7" t="s">
        <v>656</v>
      </c>
      <c r="D680" s="7" t="s">
        <v>658</v>
      </c>
      <c r="E680" s="28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</row>
    <row r="681" spans="1:55" x14ac:dyDescent="0.3">
      <c r="A681" s="6">
        <v>6</v>
      </c>
      <c r="B681" s="7" t="s">
        <v>655</v>
      </c>
      <c r="C681" s="7" t="s">
        <v>656</v>
      </c>
      <c r="D681" s="7" t="s">
        <v>659</v>
      </c>
      <c r="E681" s="28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</row>
    <row r="682" spans="1:55" x14ac:dyDescent="0.3">
      <c r="A682" s="6">
        <v>7</v>
      </c>
      <c r="B682" s="7" t="s">
        <v>24</v>
      </c>
      <c r="C682" s="7" t="s">
        <v>493</v>
      </c>
      <c r="D682" s="7" t="s">
        <v>660</v>
      </c>
      <c r="E682" s="8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</row>
    <row r="683" spans="1:55" x14ac:dyDescent="0.3">
      <c r="A683" s="6">
        <v>8</v>
      </c>
      <c r="B683" s="7" t="s">
        <v>24</v>
      </c>
      <c r="C683" s="7" t="s">
        <v>493</v>
      </c>
      <c r="D683" s="7" t="s">
        <v>661</v>
      </c>
      <c r="E683" s="7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</row>
    <row r="684" spans="1:55" x14ac:dyDescent="0.3">
      <c r="A684" s="6">
        <v>9</v>
      </c>
      <c r="B684" s="7" t="s">
        <v>293</v>
      </c>
      <c r="C684" s="7" t="s">
        <v>20</v>
      </c>
      <c r="D684" s="7" t="s">
        <v>662</v>
      </c>
      <c r="E684" s="7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</row>
    <row r="685" spans="1:55" x14ac:dyDescent="0.3">
      <c r="A685" s="6">
        <v>10</v>
      </c>
      <c r="B685" s="7" t="s">
        <v>666</v>
      </c>
      <c r="C685" s="7" t="s">
        <v>225</v>
      </c>
      <c r="D685" s="7" t="s">
        <v>667</v>
      </c>
      <c r="E685" s="7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</row>
    <row r="686" spans="1:55" x14ac:dyDescent="0.3">
      <c r="A686" s="6">
        <v>11</v>
      </c>
      <c r="B686" s="7" t="s">
        <v>663</v>
      </c>
      <c r="C686" s="7" t="s">
        <v>664</v>
      </c>
      <c r="D686" s="7" t="s">
        <v>665</v>
      </c>
      <c r="E686" s="7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</row>
    <row r="687" spans="1:55" x14ac:dyDescent="0.3">
      <c r="A687" s="6">
        <v>12</v>
      </c>
      <c r="B687" s="7" t="s">
        <v>114</v>
      </c>
      <c r="C687" s="7" t="s">
        <v>668</v>
      </c>
      <c r="D687" s="7" t="s">
        <v>669</v>
      </c>
      <c r="E687" s="7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</row>
    <row r="688" spans="1:55" x14ac:dyDescent="0.3">
      <c r="A688" s="6">
        <v>13</v>
      </c>
      <c r="B688" s="7"/>
      <c r="C688" s="7"/>
      <c r="D688" s="7"/>
      <c r="E688" s="7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</row>
    <row r="689" spans="1:55" x14ac:dyDescent="0.3">
      <c r="A689" s="6">
        <v>14</v>
      </c>
      <c r="B689" s="7"/>
      <c r="C689" s="7"/>
      <c r="D689" s="7"/>
      <c r="E689" s="7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</row>
    <row r="690" spans="1:55" x14ac:dyDescent="0.3">
      <c r="A690" s="6">
        <v>15</v>
      </c>
      <c r="B690" s="7"/>
      <c r="C690" s="7"/>
      <c r="D690" s="7"/>
      <c r="E690" s="7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</row>
    <row r="691" spans="1:55" x14ac:dyDescent="0.3">
      <c r="A691" s="35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</row>
    <row r="701" spans="1:55" x14ac:dyDescent="0.3">
      <c r="F701" s="54" t="s">
        <v>47</v>
      </c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16"/>
      <c r="Z701" s="16"/>
      <c r="AA701" s="16"/>
      <c r="AB701" s="16"/>
      <c r="AC701" s="16"/>
      <c r="AD701" s="16"/>
      <c r="AE701" s="16"/>
      <c r="AF701" s="54" t="str">
        <f>C672</f>
        <v>Raul Antonio Calle Huari</v>
      </c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</row>
    <row r="702" spans="1:55" x14ac:dyDescent="0.3">
      <c r="AF702" s="55" t="s">
        <v>618</v>
      </c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</row>
  </sheetData>
  <mergeCells count="1340">
    <mergeCell ref="F629:X629"/>
    <mergeCell ref="AF629:AX629"/>
    <mergeCell ref="AF631:AX631"/>
    <mergeCell ref="BB601:BC601"/>
    <mergeCell ref="A602:A603"/>
    <mergeCell ref="B602:B603"/>
    <mergeCell ref="C602:C603"/>
    <mergeCell ref="D602:D603"/>
    <mergeCell ref="E602:E603"/>
    <mergeCell ref="F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A602"/>
    <mergeCell ref="AB602:AC602"/>
    <mergeCell ref="AD602:AE602"/>
    <mergeCell ref="AF602:AG602"/>
    <mergeCell ref="AH602:AI602"/>
    <mergeCell ref="AJ602:AK602"/>
    <mergeCell ref="AL602:AM602"/>
    <mergeCell ref="AN602:AO602"/>
    <mergeCell ref="AP602:AQ602"/>
    <mergeCell ref="AR602:AS602"/>
    <mergeCell ref="AT602:AU602"/>
    <mergeCell ref="AV602:AW602"/>
    <mergeCell ref="AX602:AY602"/>
    <mergeCell ref="AZ602:BA602"/>
    <mergeCell ref="BB602:BC602"/>
    <mergeCell ref="A598:D598"/>
    <mergeCell ref="F598:BC598"/>
    <mergeCell ref="A599:B599"/>
    <mergeCell ref="F599:BC600"/>
    <mergeCell ref="A600:B600"/>
    <mergeCell ref="C600:D600"/>
    <mergeCell ref="A601:B601"/>
    <mergeCell ref="C601:D601"/>
    <mergeCell ref="F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A601"/>
    <mergeCell ref="AB601:AC601"/>
    <mergeCell ref="AD601:AE601"/>
    <mergeCell ref="AF601:AG601"/>
    <mergeCell ref="AH601:AI601"/>
    <mergeCell ref="AJ601:AK601"/>
    <mergeCell ref="AL601:AM601"/>
    <mergeCell ref="AN601:AO601"/>
    <mergeCell ref="AP601:AQ601"/>
    <mergeCell ref="AR601:AS601"/>
    <mergeCell ref="AT601:AU601"/>
    <mergeCell ref="AV601:AW601"/>
    <mergeCell ref="AX601:AY601"/>
    <mergeCell ref="AZ601:BA601"/>
    <mergeCell ref="A566:A567"/>
    <mergeCell ref="F566:G566"/>
    <mergeCell ref="H566:I566"/>
    <mergeCell ref="J566:K566"/>
    <mergeCell ref="L566:M566"/>
    <mergeCell ref="N566:O566"/>
    <mergeCell ref="P566:Q566"/>
    <mergeCell ref="R566:S566"/>
    <mergeCell ref="T566:U566"/>
    <mergeCell ref="AZ529:BA529"/>
    <mergeCell ref="BB529:BC529"/>
    <mergeCell ref="F558:X558"/>
    <mergeCell ref="AF558:AX558"/>
    <mergeCell ref="AF559:AX559"/>
    <mergeCell ref="A562:D562"/>
    <mergeCell ref="F562:BC562"/>
    <mergeCell ref="A563:B563"/>
    <mergeCell ref="F563:BC564"/>
    <mergeCell ref="A564:B564"/>
    <mergeCell ref="C564:D564"/>
    <mergeCell ref="A529:A530"/>
    <mergeCell ref="F529:G529"/>
    <mergeCell ref="H529:I529"/>
    <mergeCell ref="J529:K529"/>
    <mergeCell ref="L529:M529"/>
    <mergeCell ref="N529:O529"/>
    <mergeCell ref="P529:Q529"/>
    <mergeCell ref="AL529:AM529"/>
    <mergeCell ref="AN529:AO529"/>
    <mergeCell ref="AP529:AQ529"/>
    <mergeCell ref="AR529:AS529"/>
    <mergeCell ref="AT529:AU529"/>
    <mergeCell ref="AV529:AW529"/>
    <mergeCell ref="AX529:AY529"/>
    <mergeCell ref="AL528:AM528"/>
    <mergeCell ref="AN528:AO528"/>
    <mergeCell ref="AP528:AQ528"/>
    <mergeCell ref="AR528:AS528"/>
    <mergeCell ref="AT528:AU528"/>
    <mergeCell ref="AZ566:BA566"/>
    <mergeCell ref="BB566:BC566"/>
    <mergeCell ref="F595:X595"/>
    <mergeCell ref="AF595:AX595"/>
    <mergeCell ref="AF596:AX596"/>
    <mergeCell ref="A525:D525"/>
    <mergeCell ref="F525:BC525"/>
    <mergeCell ref="A526:B526"/>
    <mergeCell ref="F526:BC527"/>
    <mergeCell ref="A527:B527"/>
    <mergeCell ref="C527:D527"/>
    <mergeCell ref="A528:B528"/>
    <mergeCell ref="C528:D528"/>
    <mergeCell ref="F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AF566:AG566"/>
    <mergeCell ref="AH566:AI566"/>
    <mergeCell ref="AJ566:AK566"/>
    <mergeCell ref="AL566:AM566"/>
    <mergeCell ref="AN566:AO566"/>
    <mergeCell ref="AP566:AQ566"/>
    <mergeCell ref="AR566:AS566"/>
    <mergeCell ref="AT566:AU566"/>
    <mergeCell ref="AV566:AW566"/>
    <mergeCell ref="AX566:AY566"/>
    <mergeCell ref="V566:W566"/>
    <mergeCell ref="X566:Y566"/>
    <mergeCell ref="Z566:AA566"/>
    <mergeCell ref="AB566:AC566"/>
    <mergeCell ref="AD566:AE566"/>
    <mergeCell ref="B566:B567"/>
    <mergeCell ref="C566:C567"/>
    <mergeCell ref="D566:D567"/>
    <mergeCell ref="E566:E567"/>
    <mergeCell ref="AL565:AM565"/>
    <mergeCell ref="AN565:AO565"/>
    <mergeCell ref="AP565:AQ565"/>
    <mergeCell ref="AR565:AS565"/>
    <mergeCell ref="AT565:AU565"/>
    <mergeCell ref="AV565:AW565"/>
    <mergeCell ref="AX565:AY565"/>
    <mergeCell ref="AZ565:BA565"/>
    <mergeCell ref="BB565:BC565"/>
    <mergeCell ref="T565:U565"/>
    <mergeCell ref="V565:W565"/>
    <mergeCell ref="X565:Y565"/>
    <mergeCell ref="Z565:AA565"/>
    <mergeCell ref="AB565:AC565"/>
    <mergeCell ref="AD565:AE565"/>
    <mergeCell ref="AF565:AG565"/>
    <mergeCell ref="AH565:AI565"/>
    <mergeCell ref="AJ565:AK565"/>
    <mergeCell ref="A565:B565"/>
    <mergeCell ref="C565:D565"/>
    <mergeCell ref="F565:G565"/>
    <mergeCell ref="H565:I565"/>
    <mergeCell ref="J565:K565"/>
    <mergeCell ref="L565:M565"/>
    <mergeCell ref="N565:O565"/>
    <mergeCell ref="P565:Q565"/>
    <mergeCell ref="R565:S565"/>
    <mergeCell ref="V529:W529"/>
    <mergeCell ref="X529:Y529"/>
    <mergeCell ref="Z529:AA529"/>
    <mergeCell ref="AB529:AC529"/>
    <mergeCell ref="AD529:AE529"/>
    <mergeCell ref="AF529:AG529"/>
    <mergeCell ref="AH529:AI529"/>
    <mergeCell ref="AJ529:AK529"/>
    <mergeCell ref="B529:B530"/>
    <mergeCell ref="C529:C530"/>
    <mergeCell ref="D529:D530"/>
    <mergeCell ref="E529:E530"/>
    <mergeCell ref="R529:S529"/>
    <mergeCell ref="T529:U529"/>
    <mergeCell ref="D563:E563"/>
    <mergeCell ref="AV528:AW528"/>
    <mergeCell ref="AX528:AY528"/>
    <mergeCell ref="AZ528:BA528"/>
    <mergeCell ref="BB528:BC528"/>
    <mergeCell ref="Z528:AA528"/>
    <mergeCell ref="AB528:AC528"/>
    <mergeCell ref="AD528:AE528"/>
    <mergeCell ref="AF528:AG528"/>
    <mergeCell ref="AH528:AI528"/>
    <mergeCell ref="AJ528:AK528"/>
    <mergeCell ref="AX493:AY493"/>
    <mergeCell ref="AZ493:BA493"/>
    <mergeCell ref="BB493:BC493"/>
    <mergeCell ref="F521:X521"/>
    <mergeCell ref="AF521:AX521"/>
    <mergeCell ref="AF522:AX522"/>
    <mergeCell ref="AF493:AG493"/>
    <mergeCell ref="AH493:AI493"/>
    <mergeCell ref="AJ493:AK493"/>
    <mergeCell ref="AL493:AM493"/>
    <mergeCell ref="AN493:AO493"/>
    <mergeCell ref="AP493:AQ493"/>
    <mergeCell ref="AR493:AS493"/>
    <mergeCell ref="AT493:AU493"/>
    <mergeCell ref="AV493:AW493"/>
    <mergeCell ref="N493:O493"/>
    <mergeCell ref="P493:Q493"/>
    <mergeCell ref="R493:S493"/>
    <mergeCell ref="T493:U493"/>
    <mergeCell ref="V493:W493"/>
    <mergeCell ref="X493:Y493"/>
    <mergeCell ref="Z493:AA493"/>
    <mergeCell ref="AB493:AC493"/>
    <mergeCell ref="AD493:AE493"/>
    <mergeCell ref="A493:A494"/>
    <mergeCell ref="B493:B494"/>
    <mergeCell ref="C493:C494"/>
    <mergeCell ref="D493:D494"/>
    <mergeCell ref="E493:E494"/>
    <mergeCell ref="F493:G493"/>
    <mergeCell ref="H493:I493"/>
    <mergeCell ref="J493:K493"/>
    <mergeCell ref="L493:M493"/>
    <mergeCell ref="AL492:AM492"/>
    <mergeCell ref="AN492:AO492"/>
    <mergeCell ref="AP492:AQ492"/>
    <mergeCell ref="AR492:AS492"/>
    <mergeCell ref="AT492:AU492"/>
    <mergeCell ref="AV492:AW492"/>
    <mergeCell ref="AX492:AY492"/>
    <mergeCell ref="AZ492:BA492"/>
    <mergeCell ref="BB492:BC492"/>
    <mergeCell ref="T492:U492"/>
    <mergeCell ref="V492:W492"/>
    <mergeCell ref="X492:Y492"/>
    <mergeCell ref="Z492:AA492"/>
    <mergeCell ref="AB492:AC492"/>
    <mergeCell ref="AD492:AE492"/>
    <mergeCell ref="AF492:AG492"/>
    <mergeCell ref="AH492:AI492"/>
    <mergeCell ref="AJ492:AK492"/>
    <mergeCell ref="A492:B492"/>
    <mergeCell ref="C492:D492"/>
    <mergeCell ref="F492:G492"/>
    <mergeCell ref="H492:I492"/>
    <mergeCell ref="J492:K492"/>
    <mergeCell ref="L492:M492"/>
    <mergeCell ref="N492:O492"/>
    <mergeCell ref="P492:Q492"/>
    <mergeCell ref="R492:S492"/>
    <mergeCell ref="AX457:AY457"/>
    <mergeCell ref="AZ457:BA457"/>
    <mergeCell ref="BB457:BC457"/>
    <mergeCell ref="F485:X485"/>
    <mergeCell ref="AF485:AX485"/>
    <mergeCell ref="AF486:AX486"/>
    <mergeCell ref="A489:D489"/>
    <mergeCell ref="F489:BC489"/>
    <mergeCell ref="A490:B490"/>
    <mergeCell ref="F490:BC491"/>
    <mergeCell ref="A491:B491"/>
    <mergeCell ref="C491:D491"/>
    <mergeCell ref="AF457:AG457"/>
    <mergeCell ref="AH457:AI457"/>
    <mergeCell ref="AJ457:AK457"/>
    <mergeCell ref="AL457:AM457"/>
    <mergeCell ref="AN457:AO457"/>
    <mergeCell ref="AP457:AQ457"/>
    <mergeCell ref="AR457:AS457"/>
    <mergeCell ref="AT457:AU457"/>
    <mergeCell ref="AV457:AW457"/>
    <mergeCell ref="N457:O457"/>
    <mergeCell ref="P457:Q457"/>
    <mergeCell ref="R457:S457"/>
    <mergeCell ref="T457:U457"/>
    <mergeCell ref="V457:W457"/>
    <mergeCell ref="X457:Y457"/>
    <mergeCell ref="Z457:AA457"/>
    <mergeCell ref="AB457:AC457"/>
    <mergeCell ref="AD457:AE457"/>
    <mergeCell ref="A457:A458"/>
    <mergeCell ref="B457:B458"/>
    <mergeCell ref="C457:C458"/>
    <mergeCell ref="D457:D458"/>
    <mergeCell ref="E457:E458"/>
    <mergeCell ref="F457:G457"/>
    <mergeCell ref="H457:I457"/>
    <mergeCell ref="J457:K457"/>
    <mergeCell ref="L457:M457"/>
    <mergeCell ref="AL456:AM456"/>
    <mergeCell ref="AN456:AO456"/>
    <mergeCell ref="AP456:AQ456"/>
    <mergeCell ref="AR456:AS456"/>
    <mergeCell ref="AT456:AU456"/>
    <mergeCell ref="AV456:AW456"/>
    <mergeCell ref="AX456:AY456"/>
    <mergeCell ref="AZ456:BA456"/>
    <mergeCell ref="BB456:BC456"/>
    <mergeCell ref="A453:D453"/>
    <mergeCell ref="F453:BC453"/>
    <mergeCell ref="A454:B454"/>
    <mergeCell ref="F454:BC455"/>
    <mergeCell ref="A455:B455"/>
    <mergeCell ref="C455:D455"/>
    <mergeCell ref="A456:B456"/>
    <mergeCell ref="C456:D456"/>
    <mergeCell ref="F456:G456"/>
    <mergeCell ref="H456:I456"/>
    <mergeCell ref="J456:K456"/>
    <mergeCell ref="L456:M456"/>
    <mergeCell ref="N456:O456"/>
    <mergeCell ref="P456:Q456"/>
    <mergeCell ref="R456:S456"/>
    <mergeCell ref="T456:U456"/>
    <mergeCell ref="AZ422:BA422"/>
    <mergeCell ref="V456:W456"/>
    <mergeCell ref="X456:Y456"/>
    <mergeCell ref="Z456:AA456"/>
    <mergeCell ref="AB456:AC456"/>
    <mergeCell ref="AD456:AE456"/>
    <mergeCell ref="AF456:AG456"/>
    <mergeCell ref="AH456:AI456"/>
    <mergeCell ref="AJ456:AK456"/>
    <mergeCell ref="AX423:AY423"/>
    <mergeCell ref="AZ423:BA423"/>
    <mergeCell ref="BB423:BC423"/>
    <mergeCell ref="F449:X449"/>
    <mergeCell ref="AF449:AX449"/>
    <mergeCell ref="AF450:AX450"/>
    <mergeCell ref="AF423:AG423"/>
    <mergeCell ref="AH423:AI423"/>
    <mergeCell ref="AJ423:AK423"/>
    <mergeCell ref="AL423:AM423"/>
    <mergeCell ref="AN423:AO423"/>
    <mergeCell ref="AP423:AQ423"/>
    <mergeCell ref="AR423:AS423"/>
    <mergeCell ref="AT423:AU423"/>
    <mergeCell ref="AV423:AW423"/>
    <mergeCell ref="N423:O423"/>
    <mergeCell ref="P423:Q423"/>
    <mergeCell ref="R423:S423"/>
    <mergeCell ref="T423:U423"/>
    <mergeCell ref="V423:W423"/>
    <mergeCell ref="X423:Y423"/>
    <mergeCell ref="Z423:AA423"/>
    <mergeCell ref="AB423:AC423"/>
    <mergeCell ref="AJ422:AK422"/>
    <mergeCell ref="A423:A424"/>
    <mergeCell ref="B423:B424"/>
    <mergeCell ref="C423:C424"/>
    <mergeCell ref="D423:D424"/>
    <mergeCell ref="E423:E424"/>
    <mergeCell ref="F423:G423"/>
    <mergeCell ref="H423:I423"/>
    <mergeCell ref="J423:K423"/>
    <mergeCell ref="L423:M423"/>
    <mergeCell ref="AL422:AM422"/>
    <mergeCell ref="AN422:AO422"/>
    <mergeCell ref="AP422:AQ422"/>
    <mergeCell ref="AR422:AS422"/>
    <mergeCell ref="AT422:AU422"/>
    <mergeCell ref="AV422:AW422"/>
    <mergeCell ref="AX422:AY422"/>
    <mergeCell ref="AD423:AE423"/>
    <mergeCell ref="F4:G4"/>
    <mergeCell ref="H4:I4"/>
    <mergeCell ref="J4:K4"/>
    <mergeCell ref="L4:M4"/>
    <mergeCell ref="AX4:AY4"/>
    <mergeCell ref="T4:U4"/>
    <mergeCell ref="V4:W4"/>
    <mergeCell ref="X4:Y4"/>
    <mergeCell ref="BB422:BC422"/>
    <mergeCell ref="A419:D419"/>
    <mergeCell ref="F419:BC419"/>
    <mergeCell ref="A420:B420"/>
    <mergeCell ref="F420:BC421"/>
    <mergeCell ref="A421:B421"/>
    <mergeCell ref="C421:D421"/>
    <mergeCell ref="A422:B422"/>
    <mergeCell ref="C422:D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A422"/>
    <mergeCell ref="AB422:AC422"/>
    <mergeCell ref="AD422:AE422"/>
    <mergeCell ref="AF422:AG422"/>
    <mergeCell ref="AH422:AI422"/>
    <mergeCell ref="H5:I5"/>
    <mergeCell ref="AL4:AM4"/>
    <mergeCell ref="AN4:AO4"/>
    <mergeCell ref="Z4:AA4"/>
    <mergeCell ref="AB4:AC4"/>
    <mergeCell ref="AD4:AE4"/>
    <mergeCell ref="AF4:AG4"/>
    <mergeCell ref="AH4:AI4"/>
    <mergeCell ref="AJ4:AK4"/>
    <mergeCell ref="N4:O4"/>
    <mergeCell ref="P4:Q4"/>
    <mergeCell ref="A1:D1"/>
    <mergeCell ref="F1:BC1"/>
    <mergeCell ref="A2:B2"/>
    <mergeCell ref="F2:BC3"/>
    <mergeCell ref="A3:B3"/>
    <mergeCell ref="C3:D3"/>
    <mergeCell ref="AZ4:BA4"/>
    <mergeCell ref="BB4:BC4"/>
    <mergeCell ref="AP4:AQ4"/>
    <mergeCell ref="AR4:AS4"/>
    <mergeCell ref="AT4:AU4"/>
    <mergeCell ref="AV4:AW4"/>
    <mergeCell ref="R4:S4"/>
    <mergeCell ref="AD5:AE5"/>
    <mergeCell ref="AF5:AG5"/>
    <mergeCell ref="J5:K5"/>
    <mergeCell ref="L5:M5"/>
    <mergeCell ref="N5:O5"/>
    <mergeCell ref="P5:Q5"/>
    <mergeCell ref="A4:B4"/>
    <mergeCell ref="C4:D4"/>
    <mergeCell ref="A36:B36"/>
    <mergeCell ref="F36:BC37"/>
    <mergeCell ref="A37:B37"/>
    <mergeCell ref="C37:D37"/>
    <mergeCell ref="AT5:AU5"/>
    <mergeCell ref="AV5:AW5"/>
    <mergeCell ref="AX5:AY5"/>
    <mergeCell ref="AZ5:BA5"/>
    <mergeCell ref="BB5:BC5"/>
    <mergeCell ref="F31:X31"/>
    <mergeCell ref="AF31:AX31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B5:AC5"/>
    <mergeCell ref="R5:S5"/>
    <mergeCell ref="T5:U5"/>
    <mergeCell ref="AF32:AX32"/>
    <mergeCell ref="A35:D35"/>
    <mergeCell ref="F35:BC35"/>
    <mergeCell ref="A5:A6"/>
    <mergeCell ref="B5:B6"/>
    <mergeCell ref="C5:C6"/>
    <mergeCell ref="D5:D6"/>
    <mergeCell ref="E5:E6"/>
    <mergeCell ref="F5:G5"/>
    <mergeCell ref="AZ38:BA38"/>
    <mergeCell ref="BB38:BC38"/>
    <mergeCell ref="A39:A40"/>
    <mergeCell ref="B39:B40"/>
    <mergeCell ref="C39:C40"/>
    <mergeCell ref="D39:D40"/>
    <mergeCell ref="E39:E40"/>
    <mergeCell ref="F39:G39"/>
    <mergeCell ref="H39:I39"/>
    <mergeCell ref="AL38:AM38"/>
    <mergeCell ref="AN38:AO38"/>
    <mergeCell ref="AP38:AQ38"/>
    <mergeCell ref="AR38:AS38"/>
    <mergeCell ref="AT38:AU38"/>
    <mergeCell ref="AV38:AW38"/>
    <mergeCell ref="Z38:AA38"/>
    <mergeCell ref="AB38:AC38"/>
    <mergeCell ref="AD38:AE38"/>
    <mergeCell ref="AF38:AG38"/>
    <mergeCell ref="L39:M39"/>
    <mergeCell ref="N39:O39"/>
    <mergeCell ref="P39:Q39"/>
    <mergeCell ref="R39:S39"/>
    <mergeCell ref="P38:Q38"/>
    <mergeCell ref="R38:S38"/>
    <mergeCell ref="T38:U38"/>
    <mergeCell ref="V38:W38"/>
    <mergeCell ref="X38:Y38"/>
    <mergeCell ref="A38:B38"/>
    <mergeCell ref="C38:D38"/>
    <mergeCell ref="F38:G38"/>
    <mergeCell ref="H38:I38"/>
    <mergeCell ref="J38:K38"/>
    <mergeCell ref="L38:M38"/>
    <mergeCell ref="T39:U39"/>
    <mergeCell ref="AX38:AY38"/>
    <mergeCell ref="C73:D73"/>
    <mergeCell ref="F73:G73"/>
    <mergeCell ref="H73:I73"/>
    <mergeCell ref="J73:K73"/>
    <mergeCell ref="L73:M73"/>
    <mergeCell ref="AX73:AY73"/>
    <mergeCell ref="T73:U73"/>
    <mergeCell ref="V73:W73"/>
    <mergeCell ref="X73:Y73"/>
    <mergeCell ref="AH38:AI38"/>
    <mergeCell ref="AJ38:AK38"/>
    <mergeCell ref="N38:O38"/>
    <mergeCell ref="AT39:AU39"/>
    <mergeCell ref="AV39:AW39"/>
    <mergeCell ref="AX39:AY39"/>
    <mergeCell ref="AZ39:BA39"/>
    <mergeCell ref="BB39:BC39"/>
    <mergeCell ref="F66:X66"/>
    <mergeCell ref="AF66:AX66"/>
    <mergeCell ref="AH39:AI39"/>
    <mergeCell ref="AJ39:AK39"/>
    <mergeCell ref="AL39:AM39"/>
    <mergeCell ref="AN39:AO39"/>
    <mergeCell ref="AP39:AQ39"/>
    <mergeCell ref="AR39:AS39"/>
    <mergeCell ref="V39:W39"/>
    <mergeCell ref="X39:Y39"/>
    <mergeCell ref="Z39:AA39"/>
    <mergeCell ref="AB39:AC39"/>
    <mergeCell ref="AD39:AE39"/>
    <mergeCell ref="AF39:AG39"/>
    <mergeCell ref="J39:K39"/>
    <mergeCell ref="H74:I74"/>
    <mergeCell ref="AL73:AM73"/>
    <mergeCell ref="AN73:AO73"/>
    <mergeCell ref="Z73:AA73"/>
    <mergeCell ref="AB73:AC73"/>
    <mergeCell ref="AD73:AE73"/>
    <mergeCell ref="AF73:AG73"/>
    <mergeCell ref="AH73:AI73"/>
    <mergeCell ref="AJ73:AK73"/>
    <mergeCell ref="N73:O73"/>
    <mergeCell ref="P73:Q73"/>
    <mergeCell ref="AF67:AX67"/>
    <mergeCell ref="A70:D70"/>
    <mergeCell ref="F70:BC70"/>
    <mergeCell ref="A71:B71"/>
    <mergeCell ref="F71:BC72"/>
    <mergeCell ref="A72:B72"/>
    <mergeCell ref="C72:D72"/>
    <mergeCell ref="AZ73:BA73"/>
    <mergeCell ref="BB73:BC73"/>
    <mergeCell ref="AP73:AQ73"/>
    <mergeCell ref="AR73:AS73"/>
    <mergeCell ref="AT73:AU73"/>
    <mergeCell ref="AV73:AW73"/>
    <mergeCell ref="R73:S73"/>
    <mergeCell ref="AD74:AE74"/>
    <mergeCell ref="AF74:AG74"/>
    <mergeCell ref="J74:K74"/>
    <mergeCell ref="L74:M74"/>
    <mergeCell ref="N74:O74"/>
    <mergeCell ref="P74:Q74"/>
    <mergeCell ref="A73:B73"/>
    <mergeCell ref="A106:B106"/>
    <mergeCell ref="F106:BC107"/>
    <mergeCell ref="A107:B107"/>
    <mergeCell ref="C107:D107"/>
    <mergeCell ref="AT74:AU74"/>
    <mergeCell ref="AV74:AW74"/>
    <mergeCell ref="AX74:AY74"/>
    <mergeCell ref="AZ74:BA74"/>
    <mergeCell ref="BB74:BC74"/>
    <mergeCell ref="F101:X101"/>
    <mergeCell ref="AF101:AX101"/>
    <mergeCell ref="AH74:AI74"/>
    <mergeCell ref="AJ74:AK74"/>
    <mergeCell ref="AL74:AM74"/>
    <mergeCell ref="AN74:AO74"/>
    <mergeCell ref="AP74:AQ74"/>
    <mergeCell ref="AR74:AS74"/>
    <mergeCell ref="V74:W74"/>
    <mergeCell ref="X74:Y74"/>
    <mergeCell ref="Z74:AA74"/>
    <mergeCell ref="AB74:AC74"/>
    <mergeCell ref="R74:S74"/>
    <mergeCell ref="T74:U74"/>
    <mergeCell ref="AF102:AX102"/>
    <mergeCell ref="A105:D105"/>
    <mergeCell ref="F105:BC105"/>
    <mergeCell ref="A74:A75"/>
    <mergeCell ref="B74:B75"/>
    <mergeCell ref="C74:C75"/>
    <mergeCell ref="D74:D75"/>
    <mergeCell ref="E74:E75"/>
    <mergeCell ref="F74:G74"/>
    <mergeCell ref="AZ108:BA108"/>
    <mergeCell ref="BB108:BC108"/>
    <mergeCell ref="A109:A110"/>
    <mergeCell ref="B109:B110"/>
    <mergeCell ref="C109:C110"/>
    <mergeCell ref="D109:D110"/>
    <mergeCell ref="E109:E110"/>
    <mergeCell ref="F109:G109"/>
    <mergeCell ref="H109:I109"/>
    <mergeCell ref="AL108:AM108"/>
    <mergeCell ref="AN108:AO108"/>
    <mergeCell ref="AP108:AQ108"/>
    <mergeCell ref="AR108:AS108"/>
    <mergeCell ref="AT108:AU108"/>
    <mergeCell ref="AV108:AW108"/>
    <mergeCell ref="Z108:AA108"/>
    <mergeCell ref="AB108:AC108"/>
    <mergeCell ref="AD108:AE108"/>
    <mergeCell ref="AF108:AG108"/>
    <mergeCell ref="L109:M109"/>
    <mergeCell ref="N109:O109"/>
    <mergeCell ref="P109:Q109"/>
    <mergeCell ref="R109:S109"/>
    <mergeCell ref="P108:Q108"/>
    <mergeCell ref="R108:S108"/>
    <mergeCell ref="T108:U108"/>
    <mergeCell ref="V108:W108"/>
    <mergeCell ref="X108:Y108"/>
    <mergeCell ref="A108:B108"/>
    <mergeCell ref="C108:D108"/>
    <mergeCell ref="F108:G108"/>
    <mergeCell ref="H108:I108"/>
    <mergeCell ref="J108:K108"/>
    <mergeCell ref="L108:M108"/>
    <mergeCell ref="T109:U109"/>
    <mergeCell ref="AX108:AY108"/>
    <mergeCell ref="C143:D143"/>
    <mergeCell ref="F143:G143"/>
    <mergeCell ref="H143:I143"/>
    <mergeCell ref="J143:K143"/>
    <mergeCell ref="L143:M143"/>
    <mergeCell ref="AX143:AY143"/>
    <mergeCell ref="T143:U143"/>
    <mergeCell ref="V143:W143"/>
    <mergeCell ref="X143:Y143"/>
    <mergeCell ref="AH108:AI108"/>
    <mergeCell ref="AJ108:AK108"/>
    <mergeCell ref="N108:O108"/>
    <mergeCell ref="AT109:AU109"/>
    <mergeCell ref="AV109:AW109"/>
    <mergeCell ref="AX109:AY109"/>
    <mergeCell ref="AZ109:BA109"/>
    <mergeCell ref="BB109:BC109"/>
    <mergeCell ref="F135:X135"/>
    <mergeCell ref="AF135:AX135"/>
    <mergeCell ref="AH109:AI109"/>
    <mergeCell ref="AJ109:AK109"/>
    <mergeCell ref="AL109:AM109"/>
    <mergeCell ref="AN109:AO109"/>
    <mergeCell ref="AP109:AQ109"/>
    <mergeCell ref="AR109:AS109"/>
    <mergeCell ref="V109:W109"/>
    <mergeCell ref="X109:Y109"/>
    <mergeCell ref="Z109:AA109"/>
    <mergeCell ref="AB109:AC109"/>
    <mergeCell ref="AD109:AE109"/>
    <mergeCell ref="AF109:AG109"/>
    <mergeCell ref="J109:K109"/>
    <mergeCell ref="H144:I144"/>
    <mergeCell ref="AL143:AM143"/>
    <mergeCell ref="AN143:AO143"/>
    <mergeCell ref="Z143:AA143"/>
    <mergeCell ref="AB143:AC143"/>
    <mergeCell ref="AD143:AE143"/>
    <mergeCell ref="AF143:AG143"/>
    <mergeCell ref="AH143:AI143"/>
    <mergeCell ref="AJ143:AK143"/>
    <mergeCell ref="N143:O143"/>
    <mergeCell ref="P143:Q143"/>
    <mergeCell ref="AF136:AX136"/>
    <mergeCell ref="A140:D140"/>
    <mergeCell ref="F140:BC140"/>
    <mergeCell ref="A141:B141"/>
    <mergeCell ref="F141:BC142"/>
    <mergeCell ref="A142:B142"/>
    <mergeCell ref="C142:D142"/>
    <mergeCell ref="AZ143:BA143"/>
    <mergeCell ref="BB143:BC143"/>
    <mergeCell ref="AP143:AQ143"/>
    <mergeCell ref="AR143:AS143"/>
    <mergeCell ref="AT143:AU143"/>
    <mergeCell ref="AV143:AW143"/>
    <mergeCell ref="R143:S143"/>
    <mergeCell ref="AD144:AE144"/>
    <mergeCell ref="AF144:AG144"/>
    <mergeCell ref="J144:K144"/>
    <mergeCell ref="L144:M144"/>
    <mergeCell ref="N144:O144"/>
    <mergeCell ref="P144:Q144"/>
    <mergeCell ref="A143:B143"/>
    <mergeCell ref="A177:B177"/>
    <mergeCell ref="F177:BC178"/>
    <mergeCell ref="A178:B178"/>
    <mergeCell ref="C178:D178"/>
    <mergeCell ref="AT144:AU144"/>
    <mergeCell ref="AV144:AW144"/>
    <mergeCell ref="AX144:AY144"/>
    <mergeCell ref="AZ144:BA144"/>
    <mergeCell ref="BB144:BC144"/>
    <mergeCell ref="F171:X171"/>
    <mergeCell ref="AF171:AX171"/>
    <mergeCell ref="AH144:AI144"/>
    <mergeCell ref="AJ144:AK144"/>
    <mergeCell ref="AL144:AM144"/>
    <mergeCell ref="AN144:AO144"/>
    <mergeCell ref="AP144:AQ144"/>
    <mergeCell ref="AR144:AS144"/>
    <mergeCell ref="V144:W144"/>
    <mergeCell ref="X144:Y144"/>
    <mergeCell ref="Z144:AA144"/>
    <mergeCell ref="AB144:AC144"/>
    <mergeCell ref="R144:S144"/>
    <mergeCell ref="T144:U144"/>
    <mergeCell ref="AF172:AX172"/>
    <mergeCell ref="A176:D176"/>
    <mergeCell ref="F176:BC176"/>
    <mergeCell ref="A144:A145"/>
    <mergeCell ref="B144:B145"/>
    <mergeCell ref="C144:C145"/>
    <mergeCell ref="D144:D145"/>
    <mergeCell ref="E144:E145"/>
    <mergeCell ref="F144:G144"/>
    <mergeCell ref="AZ179:BA179"/>
    <mergeCell ref="BB179:BC179"/>
    <mergeCell ref="A180:A181"/>
    <mergeCell ref="B180:B181"/>
    <mergeCell ref="C180:C181"/>
    <mergeCell ref="D180:D181"/>
    <mergeCell ref="E180:E181"/>
    <mergeCell ref="F180:G180"/>
    <mergeCell ref="H180:I180"/>
    <mergeCell ref="AL179:AM179"/>
    <mergeCell ref="AN179:AO179"/>
    <mergeCell ref="AP179:AQ179"/>
    <mergeCell ref="AR179:AS179"/>
    <mergeCell ref="AT179:AU179"/>
    <mergeCell ref="AV179:AW179"/>
    <mergeCell ref="Z179:AA179"/>
    <mergeCell ref="AB179:AC179"/>
    <mergeCell ref="AD179:AE179"/>
    <mergeCell ref="AF179:AG179"/>
    <mergeCell ref="L180:M180"/>
    <mergeCell ref="N180:O180"/>
    <mergeCell ref="P180:Q180"/>
    <mergeCell ref="R180:S180"/>
    <mergeCell ref="P179:Q179"/>
    <mergeCell ref="R179:S179"/>
    <mergeCell ref="T179:U179"/>
    <mergeCell ref="V179:W179"/>
    <mergeCell ref="X179:Y179"/>
    <mergeCell ref="A179:B179"/>
    <mergeCell ref="C179:D179"/>
    <mergeCell ref="F179:G179"/>
    <mergeCell ref="H179:I179"/>
    <mergeCell ref="J179:K179"/>
    <mergeCell ref="L179:M179"/>
    <mergeCell ref="T180:U180"/>
    <mergeCell ref="AX179:AY179"/>
    <mergeCell ref="C214:D214"/>
    <mergeCell ref="F214:G214"/>
    <mergeCell ref="H214:I214"/>
    <mergeCell ref="J214:K214"/>
    <mergeCell ref="L214:M214"/>
    <mergeCell ref="AX214:AY214"/>
    <mergeCell ref="T214:U214"/>
    <mergeCell ref="V214:W214"/>
    <mergeCell ref="X214:Y214"/>
    <mergeCell ref="AH179:AI179"/>
    <mergeCell ref="AJ179:AK179"/>
    <mergeCell ref="N179:O179"/>
    <mergeCell ref="AT180:AU180"/>
    <mergeCell ref="AV180:AW180"/>
    <mergeCell ref="AX180:AY180"/>
    <mergeCell ref="AZ180:BA180"/>
    <mergeCell ref="BB180:BC180"/>
    <mergeCell ref="F206:X206"/>
    <mergeCell ref="AF206:AX206"/>
    <mergeCell ref="AH180:AI180"/>
    <mergeCell ref="AJ180:AK180"/>
    <mergeCell ref="AL180:AM180"/>
    <mergeCell ref="AN180:AO180"/>
    <mergeCell ref="AP180:AQ180"/>
    <mergeCell ref="AR180:AS180"/>
    <mergeCell ref="V180:W180"/>
    <mergeCell ref="X180:Y180"/>
    <mergeCell ref="Z180:AA180"/>
    <mergeCell ref="AB180:AC180"/>
    <mergeCell ref="AD180:AE180"/>
    <mergeCell ref="AF180:AG180"/>
    <mergeCell ref="J180:K180"/>
    <mergeCell ref="H215:I215"/>
    <mergeCell ref="AL214:AM214"/>
    <mergeCell ref="AN214:AO214"/>
    <mergeCell ref="Z214:AA214"/>
    <mergeCell ref="AB214:AC214"/>
    <mergeCell ref="AD214:AE214"/>
    <mergeCell ref="AF214:AG214"/>
    <mergeCell ref="AH214:AI214"/>
    <mergeCell ref="AJ214:AK214"/>
    <mergeCell ref="N214:O214"/>
    <mergeCell ref="P214:Q214"/>
    <mergeCell ref="AF207:AX207"/>
    <mergeCell ref="A211:D211"/>
    <mergeCell ref="F211:BC211"/>
    <mergeCell ref="A212:B212"/>
    <mergeCell ref="F212:BC213"/>
    <mergeCell ref="A213:B213"/>
    <mergeCell ref="C213:D213"/>
    <mergeCell ref="AZ214:BA214"/>
    <mergeCell ref="BB214:BC214"/>
    <mergeCell ref="AP214:AQ214"/>
    <mergeCell ref="AR214:AS214"/>
    <mergeCell ref="AT214:AU214"/>
    <mergeCell ref="AV214:AW214"/>
    <mergeCell ref="R214:S214"/>
    <mergeCell ref="AD215:AE215"/>
    <mergeCell ref="AF215:AG215"/>
    <mergeCell ref="J215:K215"/>
    <mergeCell ref="L215:M215"/>
    <mergeCell ref="N215:O215"/>
    <mergeCell ref="P215:Q215"/>
    <mergeCell ref="A214:B214"/>
    <mergeCell ref="A247:B247"/>
    <mergeCell ref="F247:BC248"/>
    <mergeCell ref="A248:B248"/>
    <mergeCell ref="C248:D248"/>
    <mergeCell ref="AT215:AU215"/>
    <mergeCell ref="AV215:AW215"/>
    <mergeCell ref="AX215:AY215"/>
    <mergeCell ref="AZ215:BA215"/>
    <mergeCell ref="BB215:BC215"/>
    <mergeCell ref="F242:X242"/>
    <mergeCell ref="AF242:AX242"/>
    <mergeCell ref="AH215:AI215"/>
    <mergeCell ref="AJ215:AK215"/>
    <mergeCell ref="AL215:AM215"/>
    <mergeCell ref="AN215:AO215"/>
    <mergeCell ref="AP215:AQ215"/>
    <mergeCell ref="AR215:AS215"/>
    <mergeCell ref="V215:W215"/>
    <mergeCell ref="X215:Y215"/>
    <mergeCell ref="Z215:AA215"/>
    <mergeCell ref="AB215:AC215"/>
    <mergeCell ref="R215:S215"/>
    <mergeCell ref="T215:U215"/>
    <mergeCell ref="AF243:AX243"/>
    <mergeCell ref="A246:D246"/>
    <mergeCell ref="F246:BC246"/>
    <mergeCell ref="A215:A216"/>
    <mergeCell ref="B215:B216"/>
    <mergeCell ref="C215:C216"/>
    <mergeCell ref="D215:D216"/>
    <mergeCell ref="E215:E216"/>
    <mergeCell ref="F215:G215"/>
    <mergeCell ref="AZ249:BA249"/>
    <mergeCell ref="BB249:BC249"/>
    <mergeCell ref="A250:A251"/>
    <mergeCell ref="B250:B251"/>
    <mergeCell ref="C250:C251"/>
    <mergeCell ref="D250:D251"/>
    <mergeCell ref="E250:E251"/>
    <mergeCell ref="F250:G250"/>
    <mergeCell ref="H250:I250"/>
    <mergeCell ref="AL249:AM249"/>
    <mergeCell ref="AN249:AO249"/>
    <mergeCell ref="AP249:AQ249"/>
    <mergeCell ref="AR249:AS249"/>
    <mergeCell ref="AT249:AU249"/>
    <mergeCell ref="AV249:AW249"/>
    <mergeCell ref="Z249:AA249"/>
    <mergeCell ref="AB249:AC249"/>
    <mergeCell ref="AD249:AE249"/>
    <mergeCell ref="AF249:AG249"/>
    <mergeCell ref="L250:M250"/>
    <mergeCell ref="N250:O250"/>
    <mergeCell ref="P250:Q250"/>
    <mergeCell ref="R250:S250"/>
    <mergeCell ref="P249:Q249"/>
    <mergeCell ref="R249:S249"/>
    <mergeCell ref="T249:U249"/>
    <mergeCell ref="V249:W249"/>
    <mergeCell ref="X249:Y249"/>
    <mergeCell ref="A249:B249"/>
    <mergeCell ref="C249:D249"/>
    <mergeCell ref="F249:G249"/>
    <mergeCell ref="H249:I249"/>
    <mergeCell ref="J249:K249"/>
    <mergeCell ref="L249:M249"/>
    <mergeCell ref="T250:U250"/>
    <mergeCell ref="AX249:AY249"/>
    <mergeCell ref="C284:D284"/>
    <mergeCell ref="F284:G284"/>
    <mergeCell ref="H284:I284"/>
    <mergeCell ref="J284:K284"/>
    <mergeCell ref="L284:M284"/>
    <mergeCell ref="AX284:AY284"/>
    <mergeCell ref="T284:U284"/>
    <mergeCell ref="V284:W284"/>
    <mergeCell ref="X284:Y284"/>
    <mergeCell ref="AH249:AI249"/>
    <mergeCell ref="AJ249:AK249"/>
    <mergeCell ref="N249:O249"/>
    <mergeCell ref="AT250:AU250"/>
    <mergeCell ref="AV250:AW250"/>
    <mergeCell ref="AX250:AY250"/>
    <mergeCell ref="AZ250:BA250"/>
    <mergeCell ref="BB250:BC250"/>
    <mergeCell ref="F277:X277"/>
    <mergeCell ref="AF277:AX277"/>
    <mergeCell ref="AH250:AI250"/>
    <mergeCell ref="AJ250:AK250"/>
    <mergeCell ref="AL250:AM250"/>
    <mergeCell ref="AN250:AO250"/>
    <mergeCell ref="AP250:AQ250"/>
    <mergeCell ref="AR250:AS250"/>
    <mergeCell ref="V250:W250"/>
    <mergeCell ref="X250:Y250"/>
    <mergeCell ref="Z250:AA250"/>
    <mergeCell ref="AB250:AC250"/>
    <mergeCell ref="AD250:AE250"/>
    <mergeCell ref="AF250:AG250"/>
    <mergeCell ref="J250:K250"/>
    <mergeCell ref="H285:I285"/>
    <mergeCell ref="AL284:AM284"/>
    <mergeCell ref="AN284:AO284"/>
    <mergeCell ref="Z284:AA284"/>
    <mergeCell ref="AB284:AC284"/>
    <mergeCell ref="AD284:AE284"/>
    <mergeCell ref="AF284:AG284"/>
    <mergeCell ref="AH284:AI284"/>
    <mergeCell ref="AJ284:AK284"/>
    <mergeCell ref="N284:O284"/>
    <mergeCell ref="P284:Q284"/>
    <mergeCell ref="AF278:AX278"/>
    <mergeCell ref="A281:D281"/>
    <mergeCell ref="F281:BC281"/>
    <mergeCell ref="A282:B282"/>
    <mergeCell ref="F282:BC283"/>
    <mergeCell ref="A283:B283"/>
    <mergeCell ref="C283:D283"/>
    <mergeCell ref="AZ284:BA284"/>
    <mergeCell ref="BB284:BC284"/>
    <mergeCell ref="AP284:AQ284"/>
    <mergeCell ref="AR284:AS284"/>
    <mergeCell ref="AT284:AU284"/>
    <mergeCell ref="AV284:AW284"/>
    <mergeCell ref="R284:S284"/>
    <mergeCell ref="AD285:AE285"/>
    <mergeCell ref="AF285:AG285"/>
    <mergeCell ref="J285:K285"/>
    <mergeCell ref="L285:M285"/>
    <mergeCell ref="N285:O285"/>
    <mergeCell ref="P285:Q285"/>
    <mergeCell ref="A284:B284"/>
    <mergeCell ref="A317:B317"/>
    <mergeCell ref="F317:BC318"/>
    <mergeCell ref="A318:B318"/>
    <mergeCell ref="C318:D318"/>
    <mergeCell ref="AT285:AU285"/>
    <mergeCell ref="AV285:AW285"/>
    <mergeCell ref="AX285:AY285"/>
    <mergeCell ref="AZ285:BA285"/>
    <mergeCell ref="BB285:BC285"/>
    <mergeCell ref="F312:X312"/>
    <mergeCell ref="AF312:AX312"/>
    <mergeCell ref="AH285:AI285"/>
    <mergeCell ref="AJ285:AK285"/>
    <mergeCell ref="AL285:AM285"/>
    <mergeCell ref="AN285:AO285"/>
    <mergeCell ref="AP285:AQ285"/>
    <mergeCell ref="AR285:AS285"/>
    <mergeCell ref="V285:W285"/>
    <mergeCell ref="X285:Y285"/>
    <mergeCell ref="Z285:AA285"/>
    <mergeCell ref="AB285:AC285"/>
    <mergeCell ref="R285:S285"/>
    <mergeCell ref="T285:U285"/>
    <mergeCell ref="AF313:AX313"/>
    <mergeCell ref="A316:D316"/>
    <mergeCell ref="F316:BC316"/>
    <mergeCell ref="A285:A286"/>
    <mergeCell ref="B285:B286"/>
    <mergeCell ref="C285:C286"/>
    <mergeCell ref="D285:D286"/>
    <mergeCell ref="E285:E286"/>
    <mergeCell ref="F285:G285"/>
    <mergeCell ref="AZ319:BA319"/>
    <mergeCell ref="BB319:BC319"/>
    <mergeCell ref="A320:A321"/>
    <mergeCell ref="B320:B321"/>
    <mergeCell ref="C320:C321"/>
    <mergeCell ref="D320:D321"/>
    <mergeCell ref="E320:E321"/>
    <mergeCell ref="F320:G320"/>
    <mergeCell ref="H320:I320"/>
    <mergeCell ref="AL319:AM319"/>
    <mergeCell ref="AN319:AO319"/>
    <mergeCell ref="AP319:AQ319"/>
    <mergeCell ref="AR319:AS319"/>
    <mergeCell ref="AT319:AU319"/>
    <mergeCell ref="AV319:AW319"/>
    <mergeCell ref="Z319:AA319"/>
    <mergeCell ref="AB319:AC319"/>
    <mergeCell ref="AD319:AE319"/>
    <mergeCell ref="AF319:AG319"/>
    <mergeCell ref="L320:M320"/>
    <mergeCell ref="N320:O320"/>
    <mergeCell ref="P320:Q320"/>
    <mergeCell ref="R320:S320"/>
    <mergeCell ref="P319:Q319"/>
    <mergeCell ref="R319:S319"/>
    <mergeCell ref="T319:U319"/>
    <mergeCell ref="V319:W319"/>
    <mergeCell ref="X319:Y319"/>
    <mergeCell ref="A319:B319"/>
    <mergeCell ref="C319:D319"/>
    <mergeCell ref="F319:G319"/>
    <mergeCell ref="H319:I319"/>
    <mergeCell ref="J319:K319"/>
    <mergeCell ref="L319:M319"/>
    <mergeCell ref="T320:U320"/>
    <mergeCell ref="AX319:AY319"/>
    <mergeCell ref="C353:D353"/>
    <mergeCell ref="F353:G353"/>
    <mergeCell ref="H353:I353"/>
    <mergeCell ref="J353:K353"/>
    <mergeCell ref="L353:M353"/>
    <mergeCell ref="AX353:AY353"/>
    <mergeCell ref="T353:U353"/>
    <mergeCell ref="V353:W353"/>
    <mergeCell ref="X353:Y353"/>
    <mergeCell ref="AH319:AI319"/>
    <mergeCell ref="AJ319:AK319"/>
    <mergeCell ref="N319:O319"/>
    <mergeCell ref="AT320:AU320"/>
    <mergeCell ref="AV320:AW320"/>
    <mergeCell ref="AX320:AY320"/>
    <mergeCell ref="P354:Q354"/>
    <mergeCell ref="A353:B353"/>
    <mergeCell ref="AZ320:BA320"/>
    <mergeCell ref="BB320:BC320"/>
    <mergeCell ref="F346:X346"/>
    <mergeCell ref="AF346:AX346"/>
    <mergeCell ref="AH320:AI320"/>
    <mergeCell ref="AJ320:AK320"/>
    <mergeCell ref="AL320:AM320"/>
    <mergeCell ref="AN320:AO320"/>
    <mergeCell ref="AP320:AQ320"/>
    <mergeCell ref="AR320:AS320"/>
    <mergeCell ref="V320:W320"/>
    <mergeCell ref="X320:Y320"/>
    <mergeCell ref="Z320:AA320"/>
    <mergeCell ref="AB320:AC320"/>
    <mergeCell ref="AD320:AE320"/>
    <mergeCell ref="AF320:AG320"/>
    <mergeCell ref="J320:K320"/>
    <mergeCell ref="E354:E355"/>
    <mergeCell ref="F354:G354"/>
    <mergeCell ref="H354:I354"/>
    <mergeCell ref="AL353:AM353"/>
    <mergeCell ref="AN353:AO353"/>
    <mergeCell ref="Z353:AA353"/>
    <mergeCell ref="AB353:AC353"/>
    <mergeCell ref="AD353:AE353"/>
    <mergeCell ref="AF353:AG353"/>
    <mergeCell ref="AH353:AI353"/>
    <mergeCell ref="AJ353:AK353"/>
    <mergeCell ref="N353:O353"/>
    <mergeCell ref="P353:Q353"/>
    <mergeCell ref="AF347:AX347"/>
    <mergeCell ref="A350:D350"/>
    <mergeCell ref="F350:BC350"/>
    <mergeCell ref="A351:B351"/>
    <mergeCell ref="F351:BC352"/>
    <mergeCell ref="A352:B352"/>
    <mergeCell ref="C352:D352"/>
    <mergeCell ref="AZ353:BA353"/>
    <mergeCell ref="BB353:BC353"/>
    <mergeCell ref="AP353:AQ353"/>
    <mergeCell ref="AR353:AS353"/>
    <mergeCell ref="AT353:AU353"/>
    <mergeCell ref="AV353:AW353"/>
    <mergeCell ref="R353:S353"/>
    <mergeCell ref="AD354:AE354"/>
    <mergeCell ref="AF354:AG354"/>
    <mergeCell ref="J354:K354"/>
    <mergeCell ref="L354:M354"/>
    <mergeCell ref="N354:O354"/>
    <mergeCell ref="N387:O387"/>
    <mergeCell ref="P387:Q387"/>
    <mergeCell ref="A385:B385"/>
    <mergeCell ref="F385:BC386"/>
    <mergeCell ref="A386:B386"/>
    <mergeCell ref="C386:D386"/>
    <mergeCell ref="AT354:AU354"/>
    <mergeCell ref="AV354:AW354"/>
    <mergeCell ref="AX354:AY354"/>
    <mergeCell ref="AZ354:BA354"/>
    <mergeCell ref="BB354:BC354"/>
    <mergeCell ref="F380:X380"/>
    <mergeCell ref="AF380:AX380"/>
    <mergeCell ref="AH354:AI354"/>
    <mergeCell ref="AJ354:AK354"/>
    <mergeCell ref="AL354:AM354"/>
    <mergeCell ref="AN354:AO354"/>
    <mergeCell ref="AP354:AQ354"/>
    <mergeCell ref="AR354:AS354"/>
    <mergeCell ref="V354:W354"/>
    <mergeCell ref="X354:Y354"/>
    <mergeCell ref="Z354:AA354"/>
    <mergeCell ref="AB354:AC354"/>
    <mergeCell ref="R354:S354"/>
    <mergeCell ref="T354:U354"/>
    <mergeCell ref="AF381:AX381"/>
    <mergeCell ref="A384:D384"/>
    <mergeCell ref="F384:BC384"/>
    <mergeCell ref="A354:A355"/>
    <mergeCell ref="B354:B355"/>
    <mergeCell ref="C354:C355"/>
    <mergeCell ref="D354:D355"/>
    <mergeCell ref="V387:W387"/>
    <mergeCell ref="X387:Y387"/>
    <mergeCell ref="A387:B387"/>
    <mergeCell ref="C387:D387"/>
    <mergeCell ref="F387:G387"/>
    <mergeCell ref="H387:I387"/>
    <mergeCell ref="J387:K387"/>
    <mergeCell ref="L387:M387"/>
    <mergeCell ref="R388:S388"/>
    <mergeCell ref="T388:U388"/>
    <mergeCell ref="AX387:AY387"/>
    <mergeCell ref="AZ387:BA387"/>
    <mergeCell ref="BB387:BC387"/>
    <mergeCell ref="A388:A389"/>
    <mergeCell ref="B388:B389"/>
    <mergeCell ref="C388:C389"/>
    <mergeCell ref="D388:D389"/>
    <mergeCell ref="E388:E389"/>
    <mergeCell ref="F388:G388"/>
    <mergeCell ref="H388:I388"/>
    <mergeCell ref="AL387:AM387"/>
    <mergeCell ref="AN387:AO387"/>
    <mergeCell ref="AP387:AQ387"/>
    <mergeCell ref="AR387:AS387"/>
    <mergeCell ref="AT387:AU387"/>
    <mergeCell ref="AV387:AW387"/>
    <mergeCell ref="Z387:AA387"/>
    <mergeCell ref="AB387:AC387"/>
    <mergeCell ref="AD387:AE387"/>
    <mergeCell ref="AF387:AG387"/>
    <mergeCell ref="AH387:AI387"/>
    <mergeCell ref="AJ387:AK387"/>
    <mergeCell ref="AF415:AX415"/>
    <mergeCell ref="AH388:AI388"/>
    <mergeCell ref="AJ388:AK388"/>
    <mergeCell ref="AL388:AM388"/>
    <mergeCell ref="AN388:AO388"/>
    <mergeCell ref="AP388:AQ388"/>
    <mergeCell ref="AR388:AS388"/>
    <mergeCell ref="V388:W388"/>
    <mergeCell ref="X388:Y388"/>
    <mergeCell ref="Z388:AA388"/>
    <mergeCell ref="AB388:AC388"/>
    <mergeCell ref="AD388:AE388"/>
    <mergeCell ref="AF388:AG388"/>
    <mergeCell ref="J388:K388"/>
    <mergeCell ref="L388:M388"/>
    <mergeCell ref="N388:O388"/>
    <mergeCell ref="P388:Q388"/>
    <mergeCell ref="AX673:AY673"/>
    <mergeCell ref="AZ673:BA673"/>
    <mergeCell ref="BB673:BC673"/>
    <mergeCell ref="A671:B671"/>
    <mergeCell ref="A672:B672"/>
    <mergeCell ref="C672:D672"/>
    <mergeCell ref="D599:E599"/>
    <mergeCell ref="D2:E2"/>
    <mergeCell ref="D36:E36"/>
    <mergeCell ref="D71:E71"/>
    <mergeCell ref="D106:E106"/>
    <mergeCell ref="D141:E141"/>
    <mergeCell ref="D177:E177"/>
    <mergeCell ref="D212:E212"/>
    <mergeCell ref="D247:E247"/>
    <mergeCell ref="D282:E282"/>
    <mergeCell ref="D317:E317"/>
    <mergeCell ref="D351:E351"/>
    <mergeCell ref="D385:E385"/>
    <mergeCell ref="D420:E420"/>
    <mergeCell ref="D454:E454"/>
    <mergeCell ref="D490:E490"/>
    <mergeCell ref="D526:E526"/>
    <mergeCell ref="R387:S387"/>
    <mergeCell ref="T387:U387"/>
    <mergeCell ref="AF416:AX416"/>
    <mergeCell ref="AT388:AU388"/>
    <mergeCell ref="AV388:AW388"/>
    <mergeCell ref="AX388:AY388"/>
    <mergeCell ref="AZ388:BA388"/>
    <mergeCell ref="BB388:BC388"/>
    <mergeCell ref="F415:X415"/>
    <mergeCell ref="AF636:AG636"/>
    <mergeCell ref="AH636:AI636"/>
    <mergeCell ref="AJ636:AK636"/>
    <mergeCell ref="AL636:AM636"/>
    <mergeCell ref="AN636:AO636"/>
    <mergeCell ref="AP636:AQ636"/>
    <mergeCell ref="AR636:AS636"/>
    <mergeCell ref="AT636:AU636"/>
    <mergeCell ref="AV636:AW636"/>
    <mergeCell ref="AX636:AY636"/>
    <mergeCell ref="F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A673"/>
    <mergeCell ref="AB673:AC673"/>
    <mergeCell ref="AD673:AE673"/>
    <mergeCell ref="AF673:AG673"/>
    <mergeCell ref="AH673:AI673"/>
    <mergeCell ref="AJ673:AK673"/>
    <mergeCell ref="AL673:AM673"/>
    <mergeCell ref="AN673:AO673"/>
    <mergeCell ref="AP673:AQ673"/>
    <mergeCell ref="AR673:AS673"/>
    <mergeCell ref="AT673:AU673"/>
    <mergeCell ref="AV673:AW673"/>
    <mergeCell ref="AJ637:AK637"/>
    <mergeCell ref="AL637:AM637"/>
    <mergeCell ref="AN637:AO637"/>
    <mergeCell ref="AP637:AQ637"/>
    <mergeCell ref="AR637:AS637"/>
    <mergeCell ref="AT637:AU637"/>
    <mergeCell ref="AV637:AW637"/>
    <mergeCell ref="AX637:AY637"/>
    <mergeCell ref="AZ637:BA637"/>
    <mergeCell ref="BB637:BC637"/>
    <mergeCell ref="A633:D633"/>
    <mergeCell ref="F633:BC633"/>
    <mergeCell ref="A634:B634"/>
    <mergeCell ref="D634:E634"/>
    <mergeCell ref="F634:BC635"/>
    <mergeCell ref="A635:B635"/>
    <mergeCell ref="C635:D635"/>
    <mergeCell ref="A636:B636"/>
    <mergeCell ref="C636:D636"/>
    <mergeCell ref="F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A636"/>
    <mergeCell ref="AB636:AC636"/>
    <mergeCell ref="AD636:AE636"/>
    <mergeCell ref="V674:W674"/>
    <mergeCell ref="X674:Y674"/>
    <mergeCell ref="Z674:AA674"/>
    <mergeCell ref="AB674:AC674"/>
    <mergeCell ref="AD674:AE674"/>
    <mergeCell ref="AF674:AG674"/>
    <mergeCell ref="AH674:AI674"/>
    <mergeCell ref="AJ674:AK674"/>
    <mergeCell ref="AL674:AM674"/>
    <mergeCell ref="AN674:AO674"/>
    <mergeCell ref="AZ636:BA636"/>
    <mergeCell ref="BB636:BC636"/>
    <mergeCell ref="A637:A638"/>
    <mergeCell ref="B637:B638"/>
    <mergeCell ref="C637:C638"/>
    <mergeCell ref="D637:D638"/>
    <mergeCell ref="E637:E638"/>
    <mergeCell ref="F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A637"/>
    <mergeCell ref="AB637:AC637"/>
    <mergeCell ref="AD637:AE637"/>
    <mergeCell ref="AF637:AG637"/>
    <mergeCell ref="AH637:AI637"/>
    <mergeCell ref="AP674:AQ674"/>
    <mergeCell ref="AR674:AS674"/>
    <mergeCell ref="AT674:AU674"/>
    <mergeCell ref="AV674:AW674"/>
    <mergeCell ref="AX674:AY674"/>
    <mergeCell ref="AZ674:BA674"/>
    <mergeCell ref="BB674:BC674"/>
    <mergeCell ref="F701:X701"/>
    <mergeCell ref="AF701:AX701"/>
    <mergeCell ref="AF702:AX702"/>
    <mergeCell ref="F663:X663"/>
    <mergeCell ref="AF663:AX663"/>
    <mergeCell ref="AF664:AX664"/>
    <mergeCell ref="A670:D670"/>
    <mergeCell ref="F670:BC670"/>
    <mergeCell ref="D671:E671"/>
    <mergeCell ref="F671:BC672"/>
    <mergeCell ref="A673:B673"/>
    <mergeCell ref="C673:D673"/>
    <mergeCell ref="A674:A675"/>
    <mergeCell ref="B674:B675"/>
    <mergeCell ref="C674:C675"/>
    <mergeCell ref="D674:D675"/>
    <mergeCell ref="E674:E675"/>
    <mergeCell ref="F674:G674"/>
    <mergeCell ref="H674:I674"/>
    <mergeCell ref="J674:K674"/>
    <mergeCell ref="L674:M674"/>
    <mergeCell ref="N674:O674"/>
    <mergeCell ref="P674:Q674"/>
    <mergeCell ref="R674:S674"/>
    <mergeCell ref="T674:U674"/>
  </mergeCells>
  <pageMargins left="0.36458333333333331" right="0.3079710144927536" top="0.71875" bottom="0.59375" header="0.3" footer="0.3"/>
  <pageSetup paperSize="10000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18</vt:i4>
      </vt:variant>
    </vt:vector>
  </HeadingPairs>
  <TitlesOfParts>
    <vt:vector size="19" baseType="lpstr">
      <vt:lpstr>ASISTENCIA</vt:lpstr>
      <vt:lpstr>BUS_01</vt:lpstr>
      <vt:lpstr>BUS_02</vt:lpstr>
      <vt:lpstr>BUS_03</vt:lpstr>
      <vt:lpstr>BUS_04</vt:lpstr>
      <vt:lpstr>BUS_05</vt:lpstr>
      <vt:lpstr>BUS_06</vt:lpstr>
      <vt:lpstr>BUS_07</vt:lpstr>
      <vt:lpstr>BUS_08</vt:lpstr>
      <vt:lpstr>BUS_09</vt:lpstr>
      <vt:lpstr>BUS_10</vt:lpstr>
      <vt:lpstr>BUS_11</vt:lpstr>
      <vt:lpstr>BUS_12</vt:lpstr>
      <vt:lpstr>BUS_13</vt:lpstr>
      <vt:lpstr>BUS_14</vt:lpstr>
      <vt:lpstr>BUS_15</vt:lpstr>
      <vt:lpstr>BUS_16</vt:lpstr>
      <vt:lpstr>BUS_17</vt:lpstr>
      <vt:lpstr>BUS_18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Caja-IAB</dc:creator>
  <cp:lastModifiedBy>Jaquelin Blanca Guachalla Nina</cp:lastModifiedBy>
  <cp:lastPrinted>2026-04-27T16:27:36Z</cp:lastPrinted>
  <dcterms:created xsi:type="dcterms:W3CDTF">2024-03-04T16:12:56Z</dcterms:created>
  <dcterms:modified xsi:type="dcterms:W3CDTF">2026-04-28T02:10:41Z</dcterms:modified>
</cp:coreProperties>
</file>