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Albarracin Ch\Downloads\"/>
    </mc:Choice>
  </mc:AlternateContent>
  <xr:revisionPtr revIDLastSave="0" documentId="8_{BDAB9F6C-0388-40EA-ABC8-5D4886B054FC}" xr6:coauthVersionLast="47" xr6:coauthVersionMax="47" xr10:uidLastSave="{00000000-0000-0000-0000-000000000000}"/>
  <bookViews>
    <workbookView xWindow="-120" yWindow="-120" windowWidth="20730" windowHeight="11040" xr2:uid="{1576C6D6-BC49-4E10-A306-9175E21C8E7A}"/>
  </bookViews>
  <sheets>
    <sheet name="ENERO" sheetId="1" r:id="rId1"/>
    <sheet name="FEBRERO" sheetId="2" r:id="rId2"/>
  </sheets>
  <definedNames>
    <definedName name="_xlnm._FilterDatabase" localSheetId="0" hidden="1">ENERO!$B$1:$Q$577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71" i="1" l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N3" i="1"/>
  <c r="J3" i="1" s="1"/>
  <c r="N4" i="1"/>
  <c r="J4" i="1" s="1"/>
  <c r="N5" i="1"/>
  <c r="J5" i="1" s="1"/>
  <c r="N6" i="1"/>
  <c r="J6" i="1" s="1"/>
  <c r="P6" i="1" s="1"/>
  <c r="Q6" i="1" s="1"/>
  <c r="N7" i="1"/>
  <c r="J7" i="1" s="1"/>
  <c r="N8" i="1"/>
  <c r="J8" i="1" s="1"/>
  <c r="N9" i="1"/>
  <c r="J9" i="1" s="1"/>
  <c r="N10" i="1"/>
  <c r="J10" i="1" s="1"/>
  <c r="N11" i="1"/>
  <c r="J11" i="1" s="1"/>
  <c r="N12" i="1"/>
  <c r="J12" i="1" s="1"/>
  <c r="P12" i="1" s="1"/>
  <c r="Q12" i="1" s="1"/>
  <c r="N13" i="1"/>
  <c r="J13" i="1" s="1"/>
  <c r="N14" i="1"/>
  <c r="J14" i="1" s="1"/>
  <c r="N15" i="1"/>
  <c r="N16" i="1"/>
  <c r="J16" i="1" s="1"/>
  <c r="N17" i="1"/>
  <c r="J17" i="1" s="1"/>
  <c r="N18" i="1"/>
  <c r="J18" i="1" s="1"/>
  <c r="N19" i="1"/>
  <c r="J19" i="1" s="1"/>
  <c r="N20" i="1"/>
  <c r="J20" i="1" s="1"/>
  <c r="P20" i="1" s="1"/>
  <c r="Q20" i="1" s="1"/>
  <c r="N21" i="1"/>
  <c r="J21" i="1" s="1"/>
  <c r="N22" i="1"/>
  <c r="J22" i="1" s="1"/>
  <c r="N23" i="1"/>
  <c r="J23" i="1" s="1"/>
  <c r="N24" i="1"/>
  <c r="J24" i="1" s="1"/>
  <c r="N25" i="1"/>
  <c r="J25" i="1" s="1"/>
  <c r="N26" i="1"/>
  <c r="J26" i="1" s="1"/>
  <c r="N27" i="1"/>
  <c r="J27" i="1" s="1"/>
  <c r="N28" i="1"/>
  <c r="J28" i="1" s="1"/>
  <c r="N29" i="1"/>
  <c r="J29" i="1" s="1"/>
  <c r="N30" i="1"/>
  <c r="J30" i="1" s="1"/>
  <c r="N31" i="1"/>
  <c r="J31" i="1" s="1"/>
  <c r="N32" i="1"/>
  <c r="J32" i="1" s="1"/>
  <c r="P32" i="1" s="1"/>
  <c r="Q32" i="1" s="1"/>
  <c r="N33" i="1"/>
  <c r="J33" i="1" s="1"/>
  <c r="N34" i="1"/>
  <c r="J34" i="1" s="1"/>
  <c r="N35" i="1"/>
  <c r="J35" i="1" s="1"/>
  <c r="N36" i="1"/>
  <c r="J36" i="1" s="1"/>
  <c r="P36" i="1" s="1"/>
  <c r="Q36" i="1" s="1"/>
  <c r="N37" i="1"/>
  <c r="J37" i="1" s="1"/>
  <c r="N38" i="1"/>
  <c r="J38" i="1" s="1"/>
  <c r="N39" i="1"/>
  <c r="J39" i="1" s="1"/>
  <c r="N40" i="1"/>
  <c r="J40" i="1" s="1"/>
  <c r="P40" i="1" s="1"/>
  <c r="Q40" i="1" s="1"/>
  <c r="N41" i="1"/>
  <c r="J41" i="1" s="1"/>
  <c r="N42" i="1"/>
  <c r="J42" i="1" s="1"/>
  <c r="N43" i="1"/>
  <c r="J43" i="1" s="1"/>
  <c r="N44" i="1"/>
  <c r="J44" i="1" s="1"/>
  <c r="N45" i="1"/>
  <c r="J45" i="1" s="1"/>
  <c r="N46" i="1"/>
  <c r="J46" i="1" s="1"/>
  <c r="N47" i="1"/>
  <c r="J47" i="1" s="1"/>
  <c r="N48" i="1"/>
  <c r="J48" i="1" s="1"/>
  <c r="P48" i="1" s="1"/>
  <c r="Q48" i="1" s="1"/>
  <c r="N49" i="1"/>
  <c r="J49" i="1" s="1"/>
  <c r="N50" i="1"/>
  <c r="J50" i="1" s="1"/>
  <c r="N51" i="1"/>
  <c r="J51" i="1" s="1"/>
  <c r="N52" i="1"/>
  <c r="J52" i="1" s="1"/>
  <c r="N53" i="1"/>
  <c r="J53" i="1" s="1"/>
  <c r="N54" i="1"/>
  <c r="J54" i="1" s="1"/>
  <c r="N55" i="1"/>
  <c r="J55" i="1" s="1"/>
  <c r="N56" i="1"/>
  <c r="J56" i="1" s="1"/>
  <c r="P56" i="1" s="1"/>
  <c r="Q56" i="1" s="1"/>
  <c r="N57" i="1"/>
  <c r="J57" i="1" s="1"/>
  <c r="N58" i="1"/>
  <c r="J58" i="1" s="1"/>
  <c r="N59" i="1"/>
  <c r="J59" i="1" s="1"/>
  <c r="N60" i="1"/>
  <c r="J60" i="1" s="1"/>
  <c r="P60" i="1" s="1"/>
  <c r="Q60" i="1" s="1"/>
  <c r="N61" i="1"/>
  <c r="J61" i="1" s="1"/>
  <c r="N62" i="1"/>
  <c r="J62" i="1" s="1"/>
  <c r="N63" i="1"/>
  <c r="J63" i="1" s="1"/>
  <c r="N64" i="1"/>
  <c r="J64" i="1" s="1"/>
  <c r="N65" i="1"/>
  <c r="J65" i="1" s="1"/>
  <c r="P65" i="1" s="1"/>
  <c r="Q65" i="1" s="1"/>
  <c r="N66" i="1"/>
  <c r="J66" i="1" s="1"/>
  <c r="P66" i="1" s="1"/>
  <c r="Q66" i="1" s="1"/>
  <c r="N67" i="1"/>
  <c r="J67" i="1" s="1"/>
  <c r="N68" i="1"/>
  <c r="J68" i="1" s="1"/>
  <c r="N69" i="1"/>
  <c r="J69" i="1" s="1"/>
  <c r="N70" i="1"/>
  <c r="J70" i="1" s="1"/>
  <c r="P70" i="1" s="1"/>
  <c r="Q70" i="1" s="1"/>
  <c r="N71" i="1"/>
  <c r="J71" i="1" s="1"/>
  <c r="N72" i="1"/>
  <c r="J72" i="1" s="1"/>
  <c r="N73" i="1"/>
  <c r="J73" i="1" s="1"/>
  <c r="N74" i="1"/>
  <c r="J74" i="1" s="1"/>
  <c r="N75" i="1"/>
  <c r="J75" i="1" s="1"/>
  <c r="N76" i="1"/>
  <c r="J76" i="1" s="1"/>
  <c r="N77" i="1"/>
  <c r="J77" i="1" s="1"/>
  <c r="N78" i="1"/>
  <c r="J78" i="1" s="1"/>
  <c r="N79" i="1"/>
  <c r="J79" i="1" s="1"/>
  <c r="P79" i="1" s="1"/>
  <c r="Q79" i="1" s="1"/>
  <c r="N80" i="1"/>
  <c r="J80" i="1" s="1"/>
  <c r="N81" i="1"/>
  <c r="J81" i="1" s="1"/>
  <c r="N82" i="1"/>
  <c r="J82" i="1" s="1"/>
  <c r="N83" i="1"/>
  <c r="J83" i="1" s="1"/>
  <c r="N84" i="1"/>
  <c r="J84" i="1" s="1"/>
  <c r="N85" i="1"/>
  <c r="J85" i="1" s="1"/>
  <c r="N86" i="1"/>
  <c r="J86" i="1" s="1"/>
  <c r="P86" i="1" s="1"/>
  <c r="Q86" i="1" s="1"/>
  <c r="N87" i="1"/>
  <c r="J87" i="1" s="1"/>
  <c r="N88" i="1"/>
  <c r="J88" i="1" s="1"/>
  <c r="N89" i="1"/>
  <c r="J89" i="1" s="1"/>
  <c r="N90" i="1"/>
  <c r="J90" i="1" s="1"/>
  <c r="N91" i="1"/>
  <c r="J91" i="1" s="1"/>
  <c r="P91" i="1" s="1"/>
  <c r="Q91" i="1" s="1"/>
  <c r="N92" i="1"/>
  <c r="J92" i="1" s="1"/>
  <c r="N93" i="1"/>
  <c r="J93" i="1" s="1"/>
  <c r="N94" i="1"/>
  <c r="J94" i="1" s="1"/>
  <c r="N95" i="1"/>
  <c r="J95" i="1" s="1"/>
  <c r="N96" i="1"/>
  <c r="J96" i="1" s="1"/>
  <c r="N97" i="1"/>
  <c r="J97" i="1" s="1"/>
  <c r="N98" i="1"/>
  <c r="J98" i="1" s="1"/>
  <c r="P98" i="1" s="1"/>
  <c r="Q98" i="1" s="1"/>
  <c r="N99" i="1"/>
  <c r="J99" i="1" s="1"/>
  <c r="P99" i="1" s="1"/>
  <c r="Q99" i="1" s="1"/>
  <c r="N100" i="1"/>
  <c r="J100" i="1" s="1"/>
  <c r="N101" i="1"/>
  <c r="J101" i="1" s="1"/>
  <c r="N102" i="1"/>
  <c r="J102" i="1" s="1"/>
  <c r="N103" i="1"/>
  <c r="J103" i="1" s="1"/>
  <c r="N104" i="1"/>
  <c r="J104" i="1" s="1"/>
  <c r="P104" i="1" s="1"/>
  <c r="Q104" i="1" s="1"/>
  <c r="N105" i="1"/>
  <c r="J105" i="1" s="1"/>
  <c r="N106" i="1"/>
  <c r="J106" i="1" s="1"/>
  <c r="N107" i="1"/>
  <c r="J107" i="1" s="1"/>
  <c r="N108" i="1"/>
  <c r="J108" i="1" s="1"/>
  <c r="N109" i="1"/>
  <c r="J109" i="1" s="1"/>
  <c r="N110" i="1"/>
  <c r="J110" i="1" s="1"/>
  <c r="N111" i="1"/>
  <c r="J111" i="1" s="1"/>
  <c r="N112" i="1"/>
  <c r="J112" i="1" s="1"/>
  <c r="N113" i="1"/>
  <c r="J113" i="1" s="1"/>
  <c r="N114" i="1"/>
  <c r="J114" i="1" s="1"/>
  <c r="N115" i="1"/>
  <c r="J115" i="1" s="1"/>
  <c r="N116" i="1"/>
  <c r="J116" i="1" s="1"/>
  <c r="N117" i="1"/>
  <c r="J117" i="1" s="1"/>
  <c r="N118" i="1"/>
  <c r="J118" i="1" s="1"/>
  <c r="N119" i="1"/>
  <c r="J119" i="1" s="1"/>
  <c r="P119" i="1" s="1"/>
  <c r="Q119" i="1" s="1"/>
  <c r="N120" i="1"/>
  <c r="J120" i="1" s="1"/>
  <c r="N121" i="1"/>
  <c r="J121" i="1" s="1"/>
  <c r="N122" i="1"/>
  <c r="J122" i="1" s="1"/>
  <c r="P122" i="1" s="1"/>
  <c r="Q122" i="1" s="1"/>
  <c r="N123" i="1"/>
  <c r="J123" i="1" s="1"/>
  <c r="N124" i="1"/>
  <c r="J124" i="1" s="1"/>
  <c r="P124" i="1" s="1"/>
  <c r="Q124" i="1" s="1"/>
  <c r="N125" i="1"/>
  <c r="J125" i="1" s="1"/>
  <c r="N126" i="1"/>
  <c r="J126" i="1" s="1"/>
  <c r="N127" i="1"/>
  <c r="J127" i="1" s="1"/>
  <c r="N128" i="1"/>
  <c r="J128" i="1" s="1"/>
  <c r="N129" i="1"/>
  <c r="J129" i="1" s="1"/>
  <c r="N130" i="1"/>
  <c r="J130" i="1" s="1"/>
  <c r="N131" i="1"/>
  <c r="J131" i="1" s="1"/>
  <c r="N132" i="1"/>
  <c r="J132" i="1" s="1"/>
  <c r="N133" i="1"/>
  <c r="J133" i="1" s="1"/>
  <c r="N134" i="1"/>
  <c r="J134" i="1" s="1"/>
  <c r="P134" i="1" s="1"/>
  <c r="Q134" i="1" s="1"/>
  <c r="N135" i="1"/>
  <c r="J135" i="1" s="1"/>
  <c r="N136" i="1"/>
  <c r="J136" i="1" s="1"/>
  <c r="N137" i="1"/>
  <c r="J137" i="1" s="1"/>
  <c r="N138" i="1"/>
  <c r="J138" i="1" s="1"/>
  <c r="N139" i="1"/>
  <c r="J139" i="1" s="1"/>
  <c r="N140" i="1"/>
  <c r="J140" i="1" s="1"/>
  <c r="N141" i="1"/>
  <c r="J141" i="1" s="1"/>
  <c r="N142" i="1"/>
  <c r="J142" i="1" s="1"/>
  <c r="N143" i="1"/>
  <c r="J143" i="1" s="1"/>
  <c r="N144" i="1"/>
  <c r="J144" i="1" s="1"/>
  <c r="N145" i="1"/>
  <c r="J145" i="1" s="1"/>
  <c r="P145" i="1" s="1"/>
  <c r="Q145" i="1" s="1"/>
  <c r="N146" i="1"/>
  <c r="J146" i="1" s="1"/>
  <c r="N147" i="1"/>
  <c r="J147" i="1" s="1"/>
  <c r="N148" i="1"/>
  <c r="J148" i="1" s="1"/>
  <c r="N149" i="1"/>
  <c r="J149" i="1" s="1"/>
  <c r="N150" i="1"/>
  <c r="J150" i="1" s="1"/>
  <c r="N151" i="1"/>
  <c r="J151" i="1" s="1"/>
  <c r="N152" i="1"/>
  <c r="J152" i="1" s="1"/>
  <c r="N153" i="1"/>
  <c r="J153" i="1" s="1"/>
  <c r="N154" i="1"/>
  <c r="J154" i="1" s="1"/>
  <c r="N155" i="1"/>
  <c r="J155" i="1" s="1"/>
  <c r="P155" i="1" s="1"/>
  <c r="Q155" i="1" s="1"/>
  <c r="N156" i="1"/>
  <c r="J156" i="1" s="1"/>
  <c r="N157" i="1"/>
  <c r="J157" i="1" s="1"/>
  <c r="N158" i="1"/>
  <c r="J158" i="1" s="1"/>
  <c r="N159" i="1"/>
  <c r="J159" i="1" s="1"/>
  <c r="N160" i="1"/>
  <c r="J160" i="1" s="1"/>
  <c r="N161" i="1"/>
  <c r="J161" i="1" s="1"/>
  <c r="N162" i="1"/>
  <c r="J162" i="1" s="1"/>
  <c r="N163" i="1"/>
  <c r="J163" i="1" s="1"/>
  <c r="N164" i="1"/>
  <c r="J164" i="1" s="1"/>
  <c r="N165" i="1"/>
  <c r="J165" i="1" s="1"/>
  <c r="N166" i="1"/>
  <c r="J166" i="1" s="1"/>
  <c r="N167" i="1"/>
  <c r="J167" i="1" s="1"/>
  <c r="P167" i="1" s="1"/>
  <c r="Q167" i="1" s="1"/>
  <c r="N168" i="1"/>
  <c r="J168" i="1" s="1"/>
  <c r="N169" i="1"/>
  <c r="J169" i="1" s="1"/>
  <c r="N170" i="1"/>
  <c r="J170" i="1" s="1"/>
  <c r="N171" i="1"/>
  <c r="J171" i="1" s="1"/>
  <c r="N172" i="1"/>
  <c r="J172" i="1" s="1"/>
  <c r="N173" i="1"/>
  <c r="J173" i="1" s="1"/>
  <c r="N174" i="1"/>
  <c r="J174" i="1" s="1"/>
  <c r="P174" i="1" s="1"/>
  <c r="Q174" i="1" s="1"/>
  <c r="N175" i="1"/>
  <c r="J175" i="1" s="1"/>
  <c r="N176" i="1"/>
  <c r="J176" i="1" s="1"/>
  <c r="N177" i="1"/>
  <c r="J177" i="1" s="1"/>
  <c r="N178" i="1"/>
  <c r="J178" i="1" s="1"/>
  <c r="N179" i="1"/>
  <c r="J179" i="1" s="1"/>
  <c r="N180" i="1"/>
  <c r="J180" i="1" s="1"/>
  <c r="P180" i="1" s="1"/>
  <c r="Q180" i="1" s="1"/>
  <c r="N181" i="1"/>
  <c r="J181" i="1" s="1"/>
  <c r="N182" i="1"/>
  <c r="J182" i="1" s="1"/>
  <c r="N183" i="1"/>
  <c r="J183" i="1" s="1"/>
  <c r="P183" i="1" s="1"/>
  <c r="Q183" i="1" s="1"/>
  <c r="N184" i="1"/>
  <c r="J184" i="1" s="1"/>
  <c r="N185" i="1"/>
  <c r="J185" i="1" s="1"/>
  <c r="N186" i="1"/>
  <c r="J186" i="1" s="1"/>
  <c r="N187" i="1"/>
  <c r="J187" i="1" s="1"/>
  <c r="N188" i="1"/>
  <c r="J188" i="1" s="1"/>
  <c r="N189" i="1"/>
  <c r="J189" i="1" s="1"/>
  <c r="N190" i="1"/>
  <c r="J190" i="1" s="1"/>
  <c r="N191" i="1"/>
  <c r="J191" i="1" s="1"/>
  <c r="P191" i="1" s="1"/>
  <c r="Q191" i="1" s="1"/>
  <c r="N192" i="1"/>
  <c r="J192" i="1" s="1"/>
  <c r="N193" i="1"/>
  <c r="J193" i="1" s="1"/>
  <c r="P193" i="1" s="1"/>
  <c r="Q193" i="1" s="1"/>
  <c r="N194" i="1"/>
  <c r="J194" i="1" s="1"/>
  <c r="N195" i="1"/>
  <c r="J195" i="1" s="1"/>
  <c r="N196" i="1"/>
  <c r="J196" i="1" s="1"/>
  <c r="N197" i="1"/>
  <c r="J197" i="1" s="1"/>
  <c r="P197" i="1" s="1"/>
  <c r="Q197" i="1" s="1"/>
  <c r="N198" i="1"/>
  <c r="J198" i="1" s="1"/>
  <c r="N199" i="1"/>
  <c r="J199" i="1" s="1"/>
  <c r="N200" i="1"/>
  <c r="J200" i="1" s="1"/>
  <c r="P200" i="1" s="1"/>
  <c r="Q200" i="1" s="1"/>
  <c r="N201" i="1"/>
  <c r="J201" i="1" s="1"/>
  <c r="N202" i="1"/>
  <c r="J202" i="1" s="1"/>
  <c r="N203" i="1"/>
  <c r="J203" i="1" s="1"/>
  <c r="N204" i="1"/>
  <c r="J204" i="1" s="1"/>
  <c r="N205" i="1"/>
  <c r="J205" i="1" s="1"/>
  <c r="N206" i="1"/>
  <c r="J206" i="1" s="1"/>
  <c r="P206" i="1" s="1"/>
  <c r="Q206" i="1" s="1"/>
  <c r="N207" i="1"/>
  <c r="J207" i="1" s="1"/>
  <c r="N208" i="1"/>
  <c r="J208" i="1" s="1"/>
  <c r="N209" i="1"/>
  <c r="J209" i="1" s="1"/>
  <c r="N210" i="1"/>
  <c r="J210" i="1" s="1"/>
  <c r="N211" i="1"/>
  <c r="J211" i="1" s="1"/>
  <c r="N212" i="1"/>
  <c r="J212" i="1" s="1"/>
  <c r="N213" i="1"/>
  <c r="P213" i="1" s="1"/>
  <c r="Q213" i="1" s="1"/>
  <c r="N214" i="1"/>
  <c r="N215" i="1"/>
  <c r="N216" i="1"/>
  <c r="N217" i="1"/>
  <c r="N218" i="1"/>
  <c r="J218" i="1" s="1"/>
  <c r="N219" i="1"/>
  <c r="J219" i="1" s="1"/>
  <c r="N220" i="1"/>
  <c r="J220" i="1" s="1"/>
  <c r="N221" i="1"/>
  <c r="J221" i="1" s="1"/>
  <c r="N222" i="1"/>
  <c r="J222" i="1" s="1"/>
  <c r="N223" i="1"/>
  <c r="J223" i="1" s="1"/>
  <c r="N224" i="1"/>
  <c r="J224" i="1" s="1"/>
  <c r="N225" i="1"/>
  <c r="J225" i="1" s="1"/>
  <c r="N226" i="1"/>
  <c r="J226" i="1" s="1"/>
  <c r="N227" i="1"/>
  <c r="J227" i="1" s="1"/>
  <c r="N228" i="1"/>
  <c r="J228" i="1" s="1"/>
  <c r="N229" i="1"/>
  <c r="J229" i="1" s="1"/>
  <c r="N230" i="1"/>
  <c r="J230" i="1" s="1"/>
  <c r="N231" i="1"/>
  <c r="J231" i="1" s="1"/>
  <c r="P231" i="1" s="1"/>
  <c r="Q231" i="1" s="1"/>
  <c r="N232" i="1"/>
  <c r="J232" i="1" s="1"/>
  <c r="N233" i="1"/>
  <c r="J233" i="1" s="1"/>
  <c r="N234" i="1"/>
  <c r="J234" i="1" s="1"/>
  <c r="N235" i="1"/>
  <c r="J235" i="1" s="1"/>
  <c r="N236" i="1"/>
  <c r="J236" i="1" s="1"/>
  <c r="N237" i="1"/>
  <c r="J237" i="1" s="1"/>
  <c r="N238" i="1"/>
  <c r="J238" i="1" s="1"/>
  <c r="N239" i="1"/>
  <c r="J239" i="1" s="1"/>
  <c r="P239" i="1" s="1"/>
  <c r="Q239" i="1" s="1"/>
  <c r="N240" i="1"/>
  <c r="J240" i="1" s="1"/>
  <c r="N241" i="1"/>
  <c r="J241" i="1" s="1"/>
  <c r="N242" i="1"/>
  <c r="J242" i="1" s="1"/>
  <c r="P242" i="1" s="1"/>
  <c r="Q242" i="1" s="1"/>
  <c r="N243" i="1"/>
  <c r="J243" i="1" s="1"/>
  <c r="P243" i="1" s="1"/>
  <c r="Q243" i="1" s="1"/>
  <c r="N244" i="1"/>
  <c r="J244" i="1" s="1"/>
  <c r="N245" i="1"/>
  <c r="J245" i="1" s="1"/>
  <c r="N246" i="1"/>
  <c r="J246" i="1" s="1"/>
  <c r="N247" i="1"/>
  <c r="J247" i="1" s="1"/>
  <c r="N248" i="1"/>
  <c r="J248" i="1" s="1"/>
  <c r="N249" i="1"/>
  <c r="J249" i="1" s="1"/>
  <c r="N250" i="1"/>
  <c r="J250" i="1" s="1"/>
  <c r="P250" i="1" s="1"/>
  <c r="Q250" i="1" s="1"/>
  <c r="N251" i="1"/>
  <c r="J251" i="1" s="1"/>
  <c r="N252" i="1"/>
  <c r="J252" i="1" s="1"/>
  <c r="N253" i="1"/>
  <c r="J253" i="1" s="1"/>
  <c r="N254" i="1"/>
  <c r="J254" i="1" s="1"/>
  <c r="N255" i="1"/>
  <c r="J255" i="1" s="1"/>
  <c r="N256" i="1"/>
  <c r="J256" i="1" s="1"/>
  <c r="N257" i="1"/>
  <c r="J257" i="1" s="1"/>
  <c r="N258" i="1"/>
  <c r="J258" i="1" s="1"/>
  <c r="N259" i="1"/>
  <c r="J259" i="1" s="1"/>
  <c r="N260" i="1"/>
  <c r="J260" i="1" s="1"/>
  <c r="N261" i="1"/>
  <c r="J261" i="1" s="1"/>
  <c r="N262" i="1"/>
  <c r="J262" i="1" s="1"/>
  <c r="N263" i="1"/>
  <c r="J263" i="1" s="1"/>
  <c r="N264" i="1"/>
  <c r="J264" i="1" s="1"/>
  <c r="N265" i="1"/>
  <c r="J265" i="1" s="1"/>
  <c r="N266" i="1"/>
  <c r="J266" i="1" s="1"/>
  <c r="N267" i="1"/>
  <c r="J267" i="1" s="1"/>
  <c r="N268" i="1"/>
  <c r="J268" i="1" s="1"/>
  <c r="P268" i="1" s="1"/>
  <c r="Q268" i="1" s="1"/>
  <c r="N269" i="1"/>
  <c r="J269" i="1" s="1"/>
  <c r="N270" i="1"/>
  <c r="J270" i="1" s="1"/>
  <c r="N271" i="1"/>
  <c r="J271" i="1" s="1"/>
  <c r="N272" i="1"/>
  <c r="J272" i="1" s="1"/>
  <c r="N273" i="1"/>
  <c r="J273" i="1" s="1"/>
  <c r="N274" i="1"/>
  <c r="J274" i="1" s="1"/>
  <c r="N275" i="1"/>
  <c r="J275" i="1" s="1"/>
  <c r="N276" i="1"/>
  <c r="J276" i="1" s="1"/>
  <c r="N277" i="1"/>
  <c r="J277" i="1" s="1"/>
  <c r="N278" i="1"/>
  <c r="J278" i="1" s="1"/>
  <c r="N279" i="1"/>
  <c r="J279" i="1" s="1"/>
  <c r="N280" i="1"/>
  <c r="J280" i="1" s="1"/>
  <c r="P280" i="1" s="1"/>
  <c r="Q280" i="1" s="1"/>
  <c r="N281" i="1"/>
  <c r="J281" i="1" s="1"/>
  <c r="N282" i="1"/>
  <c r="J282" i="1" s="1"/>
  <c r="N283" i="1"/>
  <c r="J283" i="1" s="1"/>
  <c r="N284" i="1"/>
  <c r="J284" i="1" s="1"/>
  <c r="N285" i="1"/>
  <c r="J285" i="1" s="1"/>
  <c r="P285" i="1" s="1"/>
  <c r="Q285" i="1" s="1"/>
  <c r="N286" i="1"/>
  <c r="J286" i="1" s="1"/>
  <c r="N287" i="1"/>
  <c r="J287" i="1" s="1"/>
  <c r="N288" i="1"/>
  <c r="N289" i="1"/>
  <c r="P289" i="1" s="1"/>
  <c r="Q289" i="1" s="1"/>
  <c r="N290" i="1"/>
  <c r="N291" i="1"/>
  <c r="P291" i="1" s="1"/>
  <c r="Q291" i="1" s="1"/>
  <c r="N292" i="1"/>
  <c r="P292" i="1" s="1"/>
  <c r="Q292" i="1" s="1"/>
  <c r="N293" i="1"/>
  <c r="N294" i="1"/>
  <c r="N295" i="1"/>
  <c r="N296" i="1"/>
  <c r="N297" i="1"/>
  <c r="J297" i="1" s="1"/>
  <c r="P297" i="1" s="1"/>
  <c r="Q297" i="1" s="1"/>
  <c r="N298" i="1"/>
  <c r="J298" i="1" s="1"/>
  <c r="N299" i="1"/>
  <c r="J299" i="1" s="1"/>
  <c r="N300" i="1"/>
  <c r="J300" i="1" s="1"/>
  <c r="N301" i="1"/>
  <c r="J301" i="1" s="1"/>
  <c r="N302" i="1"/>
  <c r="J302" i="1" s="1"/>
  <c r="N303" i="1"/>
  <c r="J303" i="1" s="1"/>
  <c r="P303" i="1" s="1"/>
  <c r="Q303" i="1" s="1"/>
  <c r="N304" i="1"/>
  <c r="J304" i="1" s="1"/>
  <c r="N305" i="1"/>
  <c r="J305" i="1" s="1"/>
  <c r="N306" i="1"/>
  <c r="J306" i="1" s="1"/>
  <c r="N307" i="1"/>
  <c r="J307" i="1" s="1"/>
  <c r="N308" i="1"/>
  <c r="J308" i="1" s="1"/>
  <c r="N309" i="1"/>
  <c r="J309" i="1" s="1"/>
  <c r="N310" i="1"/>
  <c r="J310" i="1" s="1"/>
  <c r="N311" i="1"/>
  <c r="J311" i="1" s="1"/>
  <c r="N312" i="1"/>
  <c r="J312" i="1" s="1"/>
  <c r="N313" i="1"/>
  <c r="J313" i="1" s="1"/>
  <c r="N314" i="1"/>
  <c r="J314" i="1" s="1"/>
  <c r="N315" i="1"/>
  <c r="J315" i="1" s="1"/>
  <c r="N316" i="1"/>
  <c r="J316" i="1" s="1"/>
  <c r="P316" i="1" s="1"/>
  <c r="Q316" i="1" s="1"/>
  <c r="N317" i="1"/>
  <c r="J317" i="1" s="1"/>
  <c r="N318" i="1"/>
  <c r="J318" i="1" s="1"/>
  <c r="N319" i="1"/>
  <c r="J319" i="1" s="1"/>
  <c r="N320" i="1"/>
  <c r="J320" i="1" s="1"/>
  <c r="N321" i="1"/>
  <c r="J321" i="1" s="1"/>
  <c r="P321" i="1" s="1"/>
  <c r="Q321" i="1" s="1"/>
  <c r="N322" i="1"/>
  <c r="J322" i="1" s="1"/>
  <c r="N323" i="1"/>
  <c r="J323" i="1" s="1"/>
  <c r="N324" i="1"/>
  <c r="J324" i="1" s="1"/>
  <c r="N325" i="1"/>
  <c r="J325" i="1" s="1"/>
  <c r="N326" i="1"/>
  <c r="J326" i="1" s="1"/>
  <c r="N327" i="1"/>
  <c r="J327" i="1" s="1"/>
  <c r="N328" i="1"/>
  <c r="J328" i="1" s="1"/>
  <c r="N329" i="1"/>
  <c r="J329" i="1" s="1"/>
  <c r="N330" i="1"/>
  <c r="J330" i="1" s="1"/>
  <c r="N331" i="1"/>
  <c r="J331" i="1" s="1"/>
  <c r="N332" i="1"/>
  <c r="J332" i="1" s="1"/>
  <c r="N333" i="1"/>
  <c r="J333" i="1" s="1"/>
  <c r="N334" i="1"/>
  <c r="J334" i="1" s="1"/>
  <c r="N335" i="1"/>
  <c r="J335" i="1" s="1"/>
  <c r="N336" i="1"/>
  <c r="J336" i="1" s="1"/>
  <c r="N337" i="1"/>
  <c r="J337" i="1" s="1"/>
  <c r="N338" i="1"/>
  <c r="J338" i="1" s="1"/>
  <c r="N339" i="1"/>
  <c r="J339" i="1" s="1"/>
  <c r="N340" i="1"/>
  <c r="J340" i="1" s="1"/>
  <c r="N341" i="1"/>
  <c r="J341" i="1" s="1"/>
  <c r="N342" i="1"/>
  <c r="J342" i="1" s="1"/>
  <c r="N343" i="1"/>
  <c r="J343" i="1" s="1"/>
  <c r="N344" i="1"/>
  <c r="J344" i="1" s="1"/>
  <c r="P344" i="1" s="1"/>
  <c r="Q344" i="1" s="1"/>
  <c r="N345" i="1"/>
  <c r="J345" i="1" s="1"/>
  <c r="N346" i="1"/>
  <c r="J346" i="1" s="1"/>
  <c r="N347" i="1"/>
  <c r="J347" i="1" s="1"/>
  <c r="N348" i="1"/>
  <c r="J348" i="1" s="1"/>
  <c r="N349" i="1"/>
  <c r="J349" i="1" s="1"/>
  <c r="P349" i="1" s="1"/>
  <c r="Q349" i="1" s="1"/>
  <c r="N350" i="1"/>
  <c r="J350" i="1" s="1"/>
  <c r="N351" i="1"/>
  <c r="J351" i="1" s="1"/>
  <c r="N352" i="1"/>
  <c r="J352" i="1" s="1"/>
  <c r="P352" i="1" s="1"/>
  <c r="Q352" i="1" s="1"/>
  <c r="N353" i="1"/>
  <c r="J353" i="1" s="1"/>
  <c r="N354" i="1"/>
  <c r="J354" i="1" s="1"/>
  <c r="N355" i="1"/>
  <c r="J355" i="1" s="1"/>
  <c r="N356" i="1"/>
  <c r="J356" i="1" s="1"/>
  <c r="N357" i="1"/>
  <c r="J357" i="1" s="1"/>
  <c r="N358" i="1"/>
  <c r="J358" i="1" s="1"/>
  <c r="N359" i="1"/>
  <c r="J359" i="1" s="1"/>
  <c r="N360" i="1"/>
  <c r="J360" i="1" s="1"/>
  <c r="N361" i="1"/>
  <c r="J361" i="1" s="1"/>
  <c r="N362" i="1"/>
  <c r="J362" i="1" s="1"/>
  <c r="N363" i="1"/>
  <c r="J363" i="1" s="1"/>
  <c r="N364" i="1"/>
  <c r="J364" i="1" s="1"/>
  <c r="N365" i="1"/>
  <c r="P365" i="1" s="1"/>
  <c r="Q365" i="1" s="1"/>
  <c r="N366" i="1"/>
  <c r="N367" i="1"/>
  <c r="N368" i="1"/>
  <c r="N369" i="1"/>
  <c r="N370" i="1"/>
  <c r="N371" i="1"/>
  <c r="N372" i="1"/>
  <c r="N373" i="1"/>
  <c r="J373" i="1" s="1"/>
  <c r="N374" i="1"/>
  <c r="J374" i="1" s="1"/>
  <c r="N375" i="1"/>
  <c r="J375" i="1" s="1"/>
  <c r="N376" i="1"/>
  <c r="J376" i="1" s="1"/>
  <c r="P376" i="1" s="1"/>
  <c r="Q376" i="1" s="1"/>
  <c r="N377" i="1"/>
  <c r="J377" i="1" s="1"/>
  <c r="P377" i="1" s="1"/>
  <c r="Q377" i="1" s="1"/>
  <c r="N378" i="1"/>
  <c r="J378" i="1" s="1"/>
  <c r="N379" i="1"/>
  <c r="J379" i="1" s="1"/>
  <c r="N380" i="1"/>
  <c r="J380" i="1" s="1"/>
  <c r="P380" i="1" s="1"/>
  <c r="Q380" i="1" s="1"/>
  <c r="N381" i="1"/>
  <c r="J381" i="1" s="1"/>
  <c r="N382" i="1"/>
  <c r="J382" i="1" s="1"/>
  <c r="N383" i="1"/>
  <c r="J383" i="1" s="1"/>
  <c r="N384" i="1"/>
  <c r="J384" i="1" s="1"/>
  <c r="N385" i="1"/>
  <c r="J385" i="1" s="1"/>
  <c r="P385" i="1" s="1"/>
  <c r="Q385" i="1" s="1"/>
  <c r="N386" i="1"/>
  <c r="J386" i="1" s="1"/>
  <c r="N387" i="1"/>
  <c r="J387" i="1" s="1"/>
  <c r="N388" i="1"/>
  <c r="J388" i="1" s="1"/>
  <c r="N389" i="1"/>
  <c r="J389" i="1" s="1"/>
  <c r="N390" i="1"/>
  <c r="J390" i="1" s="1"/>
  <c r="N391" i="1"/>
  <c r="J391" i="1" s="1"/>
  <c r="P391" i="1" s="1"/>
  <c r="Q391" i="1" s="1"/>
  <c r="N392" i="1"/>
  <c r="J392" i="1" s="1"/>
  <c r="N393" i="1"/>
  <c r="J393" i="1" s="1"/>
  <c r="N394" i="1"/>
  <c r="J394" i="1" s="1"/>
  <c r="N395" i="1"/>
  <c r="J395" i="1" s="1"/>
  <c r="N396" i="1"/>
  <c r="J396" i="1" s="1"/>
  <c r="N397" i="1"/>
  <c r="J397" i="1" s="1"/>
  <c r="N398" i="1"/>
  <c r="J398" i="1" s="1"/>
  <c r="N399" i="1"/>
  <c r="J399" i="1" s="1"/>
  <c r="N400" i="1"/>
  <c r="J400" i="1" s="1"/>
  <c r="N401" i="1"/>
  <c r="J401" i="1" s="1"/>
  <c r="N402" i="1"/>
  <c r="J402" i="1" s="1"/>
  <c r="N403" i="1"/>
  <c r="J403" i="1" s="1"/>
  <c r="N404" i="1"/>
  <c r="J404" i="1" s="1"/>
  <c r="N405" i="1"/>
  <c r="J405" i="1" s="1"/>
  <c r="N406" i="1"/>
  <c r="J406" i="1" s="1"/>
  <c r="N407" i="1"/>
  <c r="J407" i="1" s="1"/>
  <c r="N408" i="1"/>
  <c r="J408" i="1" s="1"/>
  <c r="N409" i="1"/>
  <c r="J409" i="1" s="1"/>
  <c r="N410" i="1"/>
  <c r="J410" i="1" s="1"/>
  <c r="N411" i="1"/>
  <c r="J411" i="1" s="1"/>
  <c r="N412" i="1"/>
  <c r="J412" i="1" s="1"/>
  <c r="N413" i="1"/>
  <c r="J413" i="1" s="1"/>
  <c r="P413" i="1" s="1"/>
  <c r="Q413" i="1" s="1"/>
  <c r="N414" i="1"/>
  <c r="J414" i="1" s="1"/>
  <c r="P414" i="1" s="1"/>
  <c r="Q414" i="1" s="1"/>
  <c r="N415" i="1"/>
  <c r="J415" i="1" s="1"/>
  <c r="N416" i="1"/>
  <c r="J416" i="1" s="1"/>
  <c r="N417" i="1"/>
  <c r="J417" i="1" s="1"/>
  <c r="N418" i="1"/>
  <c r="J418" i="1" s="1"/>
  <c r="N419" i="1"/>
  <c r="J419" i="1" s="1"/>
  <c r="P419" i="1" s="1"/>
  <c r="Q419" i="1" s="1"/>
  <c r="N420" i="1"/>
  <c r="J420" i="1" s="1"/>
  <c r="N421" i="1"/>
  <c r="J421" i="1" s="1"/>
  <c r="N422" i="1"/>
  <c r="J422" i="1" s="1"/>
  <c r="P422" i="1" s="1"/>
  <c r="Q422" i="1" s="1"/>
  <c r="N423" i="1"/>
  <c r="J423" i="1" s="1"/>
  <c r="P423" i="1" s="1"/>
  <c r="Q423" i="1" s="1"/>
  <c r="N424" i="1"/>
  <c r="J424" i="1" s="1"/>
  <c r="N425" i="1"/>
  <c r="J425" i="1" s="1"/>
  <c r="P425" i="1" s="1"/>
  <c r="Q425" i="1" s="1"/>
  <c r="N426" i="1"/>
  <c r="J426" i="1" s="1"/>
  <c r="N427" i="1"/>
  <c r="N428" i="1"/>
  <c r="J428" i="1" s="1"/>
  <c r="N429" i="1"/>
  <c r="J429" i="1" s="1"/>
  <c r="N430" i="1"/>
  <c r="J430" i="1" s="1"/>
  <c r="N431" i="1"/>
  <c r="J431" i="1" s="1"/>
  <c r="N432" i="1"/>
  <c r="J432" i="1" s="1"/>
  <c r="P432" i="1" s="1"/>
  <c r="Q432" i="1" s="1"/>
  <c r="N433" i="1"/>
  <c r="J433" i="1" s="1"/>
  <c r="N434" i="1"/>
  <c r="J434" i="1" s="1"/>
  <c r="N435" i="1"/>
  <c r="J435" i="1" s="1"/>
  <c r="N436" i="1"/>
  <c r="J436" i="1" s="1"/>
  <c r="N437" i="1"/>
  <c r="J437" i="1" s="1"/>
  <c r="P437" i="1" s="1"/>
  <c r="Q437" i="1" s="1"/>
  <c r="N438" i="1"/>
  <c r="J438" i="1" s="1"/>
  <c r="N439" i="1"/>
  <c r="J439" i="1" s="1"/>
  <c r="N440" i="1"/>
  <c r="J440" i="1" s="1"/>
  <c r="N441" i="1"/>
  <c r="J441" i="1" s="1"/>
  <c r="N442" i="1"/>
  <c r="J442" i="1" s="1"/>
  <c r="N443" i="1"/>
  <c r="J443" i="1" s="1"/>
  <c r="N444" i="1"/>
  <c r="J444" i="1" s="1"/>
  <c r="P444" i="1" s="1"/>
  <c r="Q444" i="1" s="1"/>
  <c r="N445" i="1"/>
  <c r="J445" i="1" s="1"/>
  <c r="P445" i="1" s="1"/>
  <c r="Q445" i="1" s="1"/>
  <c r="N446" i="1"/>
  <c r="J446" i="1" s="1"/>
  <c r="N447" i="1"/>
  <c r="J447" i="1" s="1"/>
  <c r="P447" i="1" s="1"/>
  <c r="Q447" i="1" s="1"/>
  <c r="N448" i="1"/>
  <c r="J448" i="1" s="1"/>
  <c r="N449" i="1"/>
  <c r="J449" i="1" s="1"/>
  <c r="N450" i="1"/>
  <c r="J450" i="1" s="1"/>
  <c r="N451" i="1"/>
  <c r="J451" i="1" s="1"/>
  <c r="N452" i="1"/>
  <c r="J452" i="1" s="1"/>
  <c r="N453" i="1"/>
  <c r="J453" i="1" s="1"/>
  <c r="N454" i="1"/>
  <c r="J454" i="1" s="1"/>
  <c r="N455" i="1"/>
  <c r="J455" i="1" s="1"/>
  <c r="N456" i="1"/>
  <c r="J456" i="1" s="1"/>
  <c r="P456" i="1" s="1"/>
  <c r="Q456" i="1" s="1"/>
  <c r="N457" i="1"/>
  <c r="J457" i="1" s="1"/>
  <c r="N458" i="1"/>
  <c r="J458" i="1" s="1"/>
  <c r="N459" i="1"/>
  <c r="J459" i="1" s="1"/>
  <c r="N460" i="1"/>
  <c r="J460" i="1" s="1"/>
  <c r="N461" i="1"/>
  <c r="J461" i="1" s="1"/>
  <c r="N462" i="1"/>
  <c r="J462" i="1" s="1"/>
  <c r="N463" i="1"/>
  <c r="J463" i="1" s="1"/>
  <c r="P463" i="1" s="1"/>
  <c r="Q463" i="1" s="1"/>
  <c r="N464" i="1"/>
  <c r="J464" i="1" s="1"/>
  <c r="N465" i="1"/>
  <c r="J465" i="1" s="1"/>
  <c r="N466" i="1"/>
  <c r="J466" i="1" s="1"/>
  <c r="N467" i="1"/>
  <c r="J467" i="1" s="1"/>
  <c r="N468" i="1"/>
  <c r="J468" i="1" s="1"/>
  <c r="N469" i="1"/>
  <c r="J469" i="1" s="1"/>
  <c r="N470" i="1"/>
  <c r="J470" i="1" s="1"/>
  <c r="N471" i="1"/>
  <c r="J471" i="1" s="1"/>
  <c r="N472" i="1"/>
  <c r="J472" i="1" s="1"/>
  <c r="N473" i="1"/>
  <c r="J473" i="1" s="1"/>
  <c r="P473" i="1" s="1"/>
  <c r="Q473" i="1" s="1"/>
  <c r="N474" i="1"/>
  <c r="J474" i="1" s="1"/>
  <c r="N475" i="1"/>
  <c r="J475" i="1" s="1"/>
  <c r="N476" i="1"/>
  <c r="J476" i="1" s="1"/>
  <c r="N477" i="1"/>
  <c r="J477" i="1" s="1"/>
  <c r="P477" i="1" s="1"/>
  <c r="Q477" i="1" s="1"/>
  <c r="N478" i="1"/>
  <c r="J478" i="1" s="1"/>
  <c r="P478" i="1" s="1"/>
  <c r="Q478" i="1" s="1"/>
  <c r="N479" i="1"/>
  <c r="J479" i="1" s="1"/>
  <c r="N480" i="1"/>
  <c r="J480" i="1" s="1"/>
  <c r="P480" i="1" s="1"/>
  <c r="Q480" i="1" s="1"/>
  <c r="N481" i="1"/>
  <c r="J481" i="1" s="1"/>
  <c r="N482" i="1"/>
  <c r="J482" i="1" s="1"/>
  <c r="P482" i="1" s="1"/>
  <c r="Q482" i="1" s="1"/>
  <c r="N483" i="1"/>
  <c r="J483" i="1" s="1"/>
  <c r="N484" i="1"/>
  <c r="J484" i="1" s="1"/>
  <c r="N485" i="1"/>
  <c r="J485" i="1" s="1"/>
  <c r="N486" i="1"/>
  <c r="J486" i="1" s="1"/>
  <c r="N487" i="1"/>
  <c r="J487" i="1" s="1"/>
  <c r="N488" i="1"/>
  <c r="J488" i="1" s="1"/>
  <c r="N489" i="1"/>
  <c r="J489" i="1" s="1"/>
  <c r="N490" i="1"/>
  <c r="J490" i="1" s="1"/>
  <c r="N491" i="1"/>
  <c r="J491" i="1" s="1"/>
  <c r="N492" i="1"/>
  <c r="J492" i="1" s="1"/>
  <c r="N493" i="1"/>
  <c r="J493" i="1" s="1"/>
  <c r="N494" i="1"/>
  <c r="J494" i="1" s="1"/>
  <c r="N495" i="1"/>
  <c r="J495" i="1" s="1"/>
  <c r="N496" i="1"/>
  <c r="J496" i="1" s="1"/>
  <c r="N497" i="1"/>
  <c r="J497" i="1" s="1"/>
  <c r="N498" i="1"/>
  <c r="J498" i="1" s="1"/>
  <c r="N499" i="1"/>
  <c r="J499" i="1" s="1"/>
  <c r="P499" i="1" s="1"/>
  <c r="Q499" i="1" s="1"/>
  <c r="N500" i="1"/>
  <c r="J500" i="1" s="1"/>
  <c r="N501" i="1"/>
  <c r="J501" i="1" s="1"/>
  <c r="N502" i="1"/>
  <c r="J502" i="1" s="1"/>
  <c r="N503" i="1"/>
  <c r="J503" i="1" s="1"/>
  <c r="N504" i="1"/>
  <c r="J504" i="1" s="1"/>
  <c r="N505" i="1"/>
  <c r="J505" i="1" s="1"/>
  <c r="N506" i="1"/>
  <c r="J506" i="1" s="1"/>
  <c r="N507" i="1"/>
  <c r="J507" i="1" s="1"/>
  <c r="N508" i="1"/>
  <c r="J508" i="1" s="1"/>
  <c r="P508" i="1" s="1"/>
  <c r="Q508" i="1" s="1"/>
  <c r="N509" i="1"/>
  <c r="J509" i="1" s="1"/>
  <c r="N510" i="1"/>
  <c r="J510" i="1" s="1"/>
  <c r="N511" i="1"/>
  <c r="J511" i="1" s="1"/>
  <c r="N512" i="1"/>
  <c r="J512" i="1" s="1"/>
  <c r="P512" i="1" s="1"/>
  <c r="Q512" i="1" s="1"/>
  <c r="N513" i="1"/>
  <c r="J513" i="1" s="1"/>
  <c r="N514" i="1"/>
  <c r="N515" i="1"/>
  <c r="N516" i="1"/>
  <c r="N517" i="1"/>
  <c r="P517" i="1" s="1"/>
  <c r="Q517" i="1" s="1"/>
  <c r="N518" i="1"/>
  <c r="J518" i="1" s="1"/>
  <c r="N519" i="1"/>
  <c r="J519" i="1" s="1"/>
  <c r="N520" i="1"/>
  <c r="J520" i="1" s="1"/>
  <c r="N521" i="1"/>
  <c r="J521" i="1" s="1"/>
  <c r="P521" i="1" s="1"/>
  <c r="Q521" i="1" s="1"/>
  <c r="N522" i="1"/>
  <c r="J522" i="1" s="1"/>
  <c r="N523" i="1"/>
  <c r="J523" i="1" s="1"/>
  <c r="N524" i="1"/>
  <c r="J524" i="1" s="1"/>
  <c r="N525" i="1"/>
  <c r="J525" i="1" s="1"/>
  <c r="N526" i="1"/>
  <c r="J526" i="1" s="1"/>
  <c r="N527" i="1"/>
  <c r="J527" i="1" s="1"/>
  <c r="N528" i="1"/>
  <c r="J528" i="1" s="1"/>
  <c r="N529" i="1"/>
  <c r="J529" i="1" s="1"/>
  <c r="P529" i="1" s="1"/>
  <c r="Q529" i="1" s="1"/>
  <c r="N530" i="1"/>
  <c r="J530" i="1" s="1"/>
  <c r="N531" i="1"/>
  <c r="J531" i="1" s="1"/>
  <c r="N532" i="1"/>
  <c r="J532" i="1" s="1"/>
  <c r="N533" i="1"/>
  <c r="J533" i="1" s="1"/>
  <c r="N534" i="1"/>
  <c r="J534" i="1" s="1"/>
  <c r="N535" i="1"/>
  <c r="J535" i="1" s="1"/>
  <c r="N536" i="1"/>
  <c r="J536" i="1" s="1"/>
  <c r="N537" i="1"/>
  <c r="J537" i="1" s="1"/>
  <c r="P537" i="1" s="1"/>
  <c r="Q537" i="1" s="1"/>
  <c r="N538" i="1"/>
  <c r="J538" i="1" s="1"/>
  <c r="P538" i="1" s="1"/>
  <c r="Q538" i="1" s="1"/>
  <c r="N539" i="1"/>
  <c r="J539" i="1" s="1"/>
  <c r="N540" i="1"/>
  <c r="J540" i="1" s="1"/>
  <c r="N541" i="1"/>
  <c r="J541" i="1" s="1"/>
  <c r="N542" i="1"/>
  <c r="J542" i="1" s="1"/>
  <c r="N543" i="1"/>
  <c r="J543" i="1" s="1"/>
  <c r="P543" i="1" s="1"/>
  <c r="Q543" i="1" s="1"/>
  <c r="N544" i="1"/>
  <c r="J544" i="1" s="1"/>
  <c r="N545" i="1"/>
  <c r="J545" i="1" s="1"/>
  <c r="P545" i="1" s="1"/>
  <c r="Q545" i="1" s="1"/>
  <c r="N546" i="1"/>
  <c r="J546" i="1" s="1"/>
  <c r="N547" i="1"/>
  <c r="J547" i="1" s="1"/>
  <c r="N548" i="1"/>
  <c r="J548" i="1" s="1"/>
  <c r="N549" i="1"/>
  <c r="J549" i="1" s="1"/>
  <c r="N550" i="1"/>
  <c r="J550" i="1" s="1"/>
  <c r="P550" i="1" s="1"/>
  <c r="Q550" i="1" s="1"/>
  <c r="N551" i="1"/>
  <c r="J551" i="1" s="1"/>
  <c r="N552" i="1"/>
  <c r="J552" i="1" s="1"/>
  <c r="N553" i="1"/>
  <c r="P553" i="1" s="1"/>
  <c r="Q553" i="1" s="1"/>
  <c r="N554" i="1"/>
  <c r="N555" i="1"/>
  <c r="J555" i="1" s="1"/>
  <c r="N556" i="1"/>
  <c r="J556" i="1" s="1"/>
  <c r="N557" i="1"/>
  <c r="J557" i="1" s="1"/>
  <c r="P557" i="1" s="1"/>
  <c r="Q557" i="1" s="1"/>
  <c r="N558" i="1"/>
  <c r="J558" i="1" s="1"/>
  <c r="N559" i="1"/>
  <c r="J559" i="1" s="1"/>
  <c r="N560" i="1"/>
  <c r="J560" i="1" s="1"/>
  <c r="N561" i="1"/>
  <c r="J561" i="1" s="1"/>
  <c r="N562" i="1"/>
  <c r="J562" i="1" s="1"/>
  <c r="N563" i="1"/>
  <c r="J563" i="1" s="1"/>
  <c r="N564" i="1"/>
  <c r="J564" i="1" s="1"/>
  <c r="P564" i="1" s="1"/>
  <c r="Q564" i="1" s="1"/>
  <c r="N565" i="1"/>
  <c r="J565" i="1" s="1"/>
  <c r="N566" i="1"/>
  <c r="J566" i="1" s="1"/>
  <c r="P566" i="1" s="1"/>
  <c r="Q566" i="1" s="1"/>
  <c r="N567" i="1"/>
  <c r="J567" i="1" s="1"/>
  <c r="N568" i="1"/>
  <c r="J568" i="1" s="1"/>
  <c r="N569" i="1"/>
  <c r="J569" i="1" s="1"/>
  <c r="N570" i="1"/>
  <c r="J570" i="1" s="1"/>
  <c r="N571" i="1"/>
  <c r="P571" i="1" s="1"/>
  <c r="Q571" i="1" s="1"/>
  <c r="J15" i="1"/>
  <c r="N2" i="1"/>
  <c r="J2" i="1" s="1"/>
  <c r="V3" i="2"/>
  <c r="V4" i="2"/>
  <c r="V5" i="2"/>
  <c r="V6" i="2"/>
  <c r="V7" i="2"/>
  <c r="V8" i="2"/>
  <c r="L68" i="1" l="1"/>
  <c r="P395" i="1"/>
  <c r="Q395" i="1" s="1"/>
  <c r="P179" i="1"/>
  <c r="Q179" i="1" s="1"/>
  <c r="P31" i="1"/>
  <c r="Q31" i="1" s="1"/>
  <c r="P556" i="1"/>
  <c r="Q556" i="1" s="1"/>
  <c r="P130" i="1"/>
  <c r="Q130" i="1" s="1"/>
  <c r="P458" i="1"/>
  <c r="Q458" i="1" s="1"/>
  <c r="P341" i="1"/>
  <c r="Q341" i="1" s="1"/>
  <c r="P74" i="1"/>
  <c r="Q74" i="1" s="1"/>
  <c r="P182" i="1"/>
  <c r="Q182" i="1" s="1"/>
  <c r="P233" i="1"/>
  <c r="Q233" i="1" s="1"/>
  <c r="P474" i="1"/>
  <c r="Q474" i="1" s="1"/>
  <c r="P161" i="1"/>
  <c r="Q161" i="1" s="1"/>
  <c r="P68" i="1"/>
  <c r="Q68" i="1" s="1"/>
  <c r="P555" i="1"/>
  <c r="Q555" i="1" s="1"/>
  <c r="P484" i="1"/>
  <c r="Q484" i="1" s="1"/>
  <c r="P220" i="1"/>
  <c r="Q220" i="1" s="1"/>
  <c r="P62" i="1"/>
  <c r="Q62" i="1" s="1"/>
  <c r="P448" i="1"/>
  <c r="Q448" i="1" s="1"/>
  <c r="P170" i="1"/>
  <c r="Q170" i="1" s="1"/>
  <c r="P2" i="1"/>
  <c r="Q2" i="1" s="1"/>
  <c r="P532" i="1"/>
  <c r="Q532" i="1" s="1"/>
  <c r="P491" i="1"/>
  <c r="Q491" i="1" s="1"/>
  <c r="P481" i="1"/>
  <c r="Q481" i="1" s="1"/>
  <c r="P315" i="1"/>
  <c r="Q315" i="1" s="1"/>
  <c r="P304" i="1"/>
  <c r="Q304" i="1" s="1"/>
  <c r="P212" i="1"/>
  <c r="Q212" i="1" s="1"/>
  <c r="P190" i="1"/>
  <c r="Q190" i="1" s="1"/>
  <c r="P541" i="1"/>
  <c r="Q541" i="1" s="1"/>
  <c r="P520" i="1"/>
  <c r="Q520" i="1" s="1"/>
  <c r="P459" i="1"/>
  <c r="Q459" i="1" s="1"/>
  <c r="P405" i="1"/>
  <c r="Q405" i="1" s="1"/>
  <c r="P267" i="1"/>
  <c r="Q267" i="1" s="1"/>
  <c r="P472" i="1"/>
  <c r="Q472" i="1" s="1"/>
  <c r="P209" i="1"/>
  <c r="Q209" i="1" s="1"/>
  <c r="P510" i="1"/>
  <c r="Q510" i="1" s="1"/>
  <c r="P569" i="1"/>
  <c r="Q569" i="1" s="1"/>
  <c r="P549" i="1"/>
  <c r="Q549" i="1" s="1"/>
  <c r="P496" i="1"/>
  <c r="Q496" i="1" s="1"/>
  <c r="P435" i="1"/>
  <c r="Q435" i="1" s="1"/>
  <c r="P506" i="1"/>
  <c r="Q506" i="1" s="1"/>
  <c r="P146" i="1"/>
  <c r="Q146" i="1" s="1"/>
  <c r="P495" i="1"/>
  <c r="Q495" i="1" s="1"/>
  <c r="P465" i="1"/>
  <c r="Q465" i="1" s="1"/>
  <c r="P410" i="1"/>
  <c r="Q410" i="1" s="1"/>
  <c r="P241" i="1"/>
  <c r="Q241" i="1" s="1"/>
  <c r="P388" i="1"/>
  <c r="Q388" i="1" s="1"/>
  <c r="P428" i="1"/>
  <c r="Q428" i="1" s="1"/>
  <c r="P166" i="1"/>
  <c r="Q166" i="1" s="1"/>
  <c r="P449" i="1"/>
  <c r="Q449" i="1" s="1"/>
  <c r="P203" i="1"/>
  <c r="Q203" i="1" s="1"/>
  <c r="P467" i="1"/>
  <c r="Q467" i="1" s="1"/>
  <c r="P333" i="1"/>
  <c r="Q333" i="1" s="1"/>
  <c r="P247" i="1"/>
  <c r="Q247" i="1" s="1"/>
  <c r="P52" i="1"/>
  <c r="Q52" i="1" s="1"/>
  <c r="P536" i="1"/>
  <c r="Q536" i="1" s="1"/>
  <c r="P462" i="1"/>
  <c r="Q462" i="1" s="1"/>
  <c r="P64" i="1"/>
  <c r="Q64" i="1" s="1"/>
  <c r="P26" i="1"/>
  <c r="Q26" i="1" s="1"/>
  <c r="P535" i="1"/>
  <c r="Q535" i="1" s="1"/>
  <c r="P232" i="1"/>
  <c r="Q232" i="1" s="1"/>
  <c r="P107" i="1"/>
  <c r="Q107" i="1" s="1"/>
  <c r="P534" i="1"/>
  <c r="Q534" i="1" s="1"/>
  <c r="P44" i="1"/>
  <c r="Q44" i="1" s="1"/>
  <c r="P300" i="1"/>
  <c r="Q300" i="1" s="1"/>
  <c r="P150" i="1"/>
  <c r="Q150" i="1" s="1"/>
  <c r="P552" i="1"/>
  <c r="Q552" i="1" s="1"/>
  <c r="P500" i="1"/>
  <c r="Q500" i="1" s="1"/>
  <c r="P483" i="1"/>
  <c r="Q483" i="1" s="1"/>
  <c r="P531" i="1"/>
  <c r="Q531" i="1" s="1"/>
  <c r="P184" i="1"/>
  <c r="Q184" i="1" s="1"/>
  <c r="P260" i="1"/>
  <c r="Q260" i="1" s="1"/>
  <c r="P229" i="1"/>
  <c r="Q229" i="1" s="1"/>
  <c r="P16" i="1"/>
  <c r="Q16" i="1" s="1"/>
  <c r="P486" i="1"/>
  <c r="Q486" i="1" s="1"/>
  <c r="P401" i="1"/>
  <c r="Q401" i="1" s="1"/>
  <c r="P108" i="1"/>
  <c r="Q108" i="1" s="1"/>
  <c r="P117" i="1"/>
  <c r="Q117" i="1" s="1"/>
  <c r="P373" i="1"/>
  <c r="Q373" i="1" s="1"/>
  <c r="P309" i="1"/>
  <c r="Q309" i="1" s="1"/>
  <c r="P218" i="1"/>
  <c r="Q218" i="1" s="1"/>
  <c r="P488" i="1"/>
  <c r="Q488" i="1" s="1"/>
  <c r="P485" i="1"/>
  <c r="Q485" i="1" s="1"/>
  <c r="P398" i="1"/>
  <c r="Q398" i="1" s="1"/>
  <c r="P301" i="1"/>
  <c r="Q301" i="1" s="1"/>
  <c r="P340" i="1"/>
  <c r="Q340" i="1" s="1"/>
  <c r="P263" i="1"/>
  <c r="Q263" i="1" s="1"/>
  <c r="P513" i="1"/>
  <c r="Q513" i="1" s="1"/>
  <c r="P492" i="1"/>
  <c r="Q492" i="1" s="1"/>
  <c r="P142" i="1"/>
  <c r="Q142" i="1" s="1"/>
  <c r="P544" i="1"/>
  <c r="Q544" i="1" s="1"/>
  <c r="P446" i="1"/>
  <c r="Q446" i="1" s="1"/>
  <c r="P426" i="1"/>
  <c r="Q426" i="1" s="1"/>
  <c r="P493" i="1"/>
  <c r="Q493" i="1" s="1"/>
  <c r="P518" i="1"/>
  <c r="Q518" i="1" s="1"/>
  <c r="P489" i="1"/>
  <c r="Q489" i="1" s="1"/>
  <c r="P351" i="1"/>
  <c r="Q351" i="1" s="1"/>
  <c r="P279" i="1"/>
  <c r="Q279" i="1" s="1"/>
  <c r="P455" i="1"/>
  <c r="Q455" i="1" s="1"/>
  <c r="P570" i="1"/>
  <c r="Q570" i="1" s="1"/>
  <c r="P224" i="1"/>
  <c r="Q224" i="1" s="1"/>
  <c r="P307" i="1"/>
  <c r="Q307" i="1" s="1"/>
  <c r="P452" i="1"/>
  <c r="Q452" i="1" s="1"/>
  <c r="P443" i="1"/>
  <c r="Q443" i="1" s="1"/>
  <c r="P539" i="1"/>
  <c r="Q539" i="1" s="1"/>
  <c r="P559" i="1"/>
  <c r="Q559" i="1" s="1"/>
  <c r="P524" i="1"/>
  <c r="Q524" i="1" s="1"/>
  <c r="P515" i="1"/>
  <c r="Q515" i="1" s="1"/>
  <c r="P466" i="1"/>
  <c r="Q466" i="1" s="1"/>
  <c r="P172" i="1"/>
  <c r="Q172" i="1" s="1"/>
  <c r="P522" i="1"/>
  <c r="Q522" i="1" s="1"/>
  <c r="P504" i="1"/>
  <c r="Q504" i="1" s="1"/>
  <c r="P77" i="1"/>
  <c r="Q77" i="1" s="1"/>
  <c r="P408" i="1"/>
  <c r="Q408" i="1" s="1"/>
  <c r="P25" i="1"/>
  <c r="Q25" i="1" s="1"/>
  <c r="P347" i="1"/>
  <c r="Q347" i="1" s="1"/>
  <c r="P312" i="1"/>
  <c r="Q312" i="1" s="1"/>
  <c r="P153" i="1"/>
  <c r="Q153" i="1" s="1"/>
  <c r="P440" i="1"/>
  <c r="Q440" i="1" s="1"/>
  <c r="P274" i="1"/>
  <c r="Q274" i="1" s="1"/>
  <c r="P502" i="1"/>
  <c r="Q502" i="1" s="1"/>
  <c r="P370" i="1"/>
  <c r="Q370" i="1" s="1"/>
  <c r="P159" i="1"/>
  <c r="Q159" i="1" s="1"/>
  <c r="P310" i="1"/>
  <c r="Q310" i="1" s="1"/>
  <c r="P270" i="1"/>
  <c r="Q270" i="1" s="1"/>
  <c r="P76" i="1"/>
  <c r="Q76" i="1" s="1"/>
  <c r="P469" i="1"/>
  <c r="Q469" i="1" s="1"/>
  <c r="P141" i="1"/>
  <c r="Q141" i="1" s="1"/>
  <c r="P94" i="1"/>
  <c r="Q94" i="1" s="1"/>
  <c r="P366" i="1"/>
  <c r="Q366" i="1" s="1"/>
  <c r="P323" i="1"/>
  <c r="Q323" i="1" s="1"/>
  <c r="P135" i="1"/>
  <c r="Q135" i="1" s="1"/>
  <c r="P81" i="1"/>
  <c r="Q81" i="1" s="1"/>
  <c r="P164" i="1"/>
  <c r="Q164" i="1" s="1"/>
  <c r="P416" i="1"/>
  <c r="Q416" i="1" s="1"/>
  <c r="P434" i="1"/>
  <c r="Q434" i="1" s="1"/>
  <c r="P363" i="1"/>
  <c r="Q363" i="1" s="1"/>
  <c r="P324" i="1"/>
  <c r="Q324" i="1" s="1"/>
  <c r="P415" i="1"/>
  <c r="Q415" i="1" s="1"/>
  <c r="P402" i="1"/>
  <c r="Q402" i="1" s="1"/>
  <c r="P360" i="1"/>
  <c r="Q360" i="1" s="1"/>
  <c r="P320" i="1"/>
  <c r="Q320" i="1" s="1"/>
  <c r="P251" i="1"/>
  <c r="Q251" i="1" s="1"/>
  <c r="P223" i="1"/>
  <c r="Q223" i="1" s="1"/>
  <c r="P176" i="1"/>
  <c r="Q176" i="1" s="1"/>
  <c r="P147" i="1"/>
  <c r="Q147" i="1" s="1"/>
  <c r="P115" i="1"/>
  <c r="Q115" i="1" s="1"/>
  <c r="P102" i="1"/>
  <c r="Q102" i="1" s="1"/>
  <c r="P88" i="1"/>
  <c r="Q88" i="1" s="1"/>
  <c r="P71" i="1"/>
  <c r="Q71" i="1" s="1"/>
  <c r="P46" i="1"/>
  <c r="Q46" i="1" s="1"/>
  <c r="P33" i="1"/>
  <c r="Q33" i="1" s="1"/>
  <c r="P563" i="1"/>
  <c r="Q563" i="1" s="1"/>
  <c r="P528" i="1"/>
  <c r="Q528" i="1" s="1"/>
  <c r="P362" i="1"/>
  <c r="Q362" i="1" s="1"/>
  <c r="P305" i="1"/>
  <c r="Q305" i="1" s="1"/>
  <c r="P254" i="1"/>
  <c r="Q254" i="1" s="1"/>
  <c r="P137" i="1"/>
  <c r="Q137" i="1" s="1"/>
  <c r="P128" i="1"/>
  <c r="Q128" i="1" s="1"/>
  <c r="P367" i="1"/>
  <c r="Q367" i="1" s="1"/>
  <c r="P227" i="1"/>
  <c r="Q227" i="1" s="1"/>
  <c r="P37" i="1"/>
  <c r="Q37" i="1" s="1"/>
  <c r="P565" i="1"/>
  <c r="Q565" i="1" s="1"/>
  <c r="P498" i="1"/>
  <c r="Q498" i="1" s="1"/>
  <c r="P418" i="1"/>
  <c r="Q418" i="1" s="1"/>
  <c r="P379" i="1"/>
  <c r="Q379" i="1" s="1"/>
  <c r="P294" i="1"/>
  <c r="Q294" i="1" s="1"/>
  <c r="P240" i="1"/>
  <c r="Q240" i="1" s="1"/>
  <c r="P198" i="1"/>
  <c r="Q198" i="1" s="1"/>
  <c r="P75" i="1"/>
  <c r="Q75" i="1" s="1"/>
  <c r="P226" i="1"/>
  <c r="Q226" i="1" s="1"/>
  <c r="P335" i="1"/>
  <c r="Q335" i="1" s="1"/>
  <c r="P210" i="1"/>
  <c r="Q210" i="1" s="1"/>
  <c r="P178" i="1"/>
  <c r="Q178" i="1" s="1"/>
  <c r="P90" i="1"/>
  <c r="Q90" i="1" s="1"/>
  <c r="P22" i="1"/>
  <c r="Q22" i="1" s="1"/>
  <c r="P256" i="1"/>
  <c r="Q256" i="1" s="1"/>
  <c r="P82" i="1"/>
  <c r="Q82" i="1" s="1"/>
  <c r="P403" i="1"/>
  <c r="Q403" i="1" s="1"/>
  <c r="P177" i="1"/>
  <c r="Q177" i="1" s="1"/>
  <c r="P148" i="1"/>
  <c r="Q148" i="1" s="1"/>
  <c r="P103" i="1"/>
  <c r="Q103" i="1" s="1"/>
  <c r="P34" i="1"/>
  <c r="Q34" i="1" s="1"/>
  <c r="P9" i="1"/>
  <c r="Q9" i="1" s="1"/>
  <c r="P546" i="1"/>
  <c r="Q546" i="1" s="1"/>
  <c r="P511" i="1"/>
  <c r="Q511" i="1" s="1"/>
  <c r="P348" i="1"/>
  <c r="Q348" i="1" s="1"/>
  <c r="P540" i="1"/>
  <c r="Q540" i="1" s="1"/>
  <c r="P442" i="1"/>
  <c r="Q442" i="1" s="1"/>
  <c r="P264" i="1"/>
  <c r="Q264" i="1" s="1"/>
  <c r="P427" i="1"/>
  <c r="Q427" i="1" s="1"/>
  <c r="P113" i="1"/>
  <c r="Q113" i="1" s="1"/>
  <c r="P238" i="1"/>
  <c r="Q238" i="1" s="1"/>
  <c r="P558" i="1"/>
  <c r="Q558" i="1" s="1"/>
  <c r="P523" i="1"/>
  <c r="Q523" i="1" s="1"/>
  <c r="P490" i="1"/>
  <c r="Q490" i="1" s="1"/>
  <c r="P454" i="1"/>
  <c r="Q454" i="1" s="1"/>
  <c r="P288" i="1"/>
  <c r="Q288" i="1" s="1"/>
  <c r="P262" i="1"/>
  <c r="Q262" i="1" s="1"/>
  <c r="P234" i="1"/>
  <c r="Q234" i="1" s="1"/>
  <c r="P371" i="1"/>
  <c r="Q371" i="1" s="1"/>
  <c r="P356" i="1"/>
  <c r="Q356" i="1" s="1"/>
  <c r="P216" i="1"/>
  <c r="Q216" i="1" s="1"/>
  <c r="P125" i="1"/>
  <c r="Q125" i="1" s="1"/>
  <c r="P431" i="1"/>
  <c r="Q431" i="1" s="1"/>
  <c r="P359" i="1"/>
  <c r="Q359" i="1" s="1"/>
  <c r="P337" i="1"/>
  <c r="Q337" i="1" s="1"/>
  <c r="P295" i="1"/>
  <c r="Q295" i="1" s="1"/>
  <c r="P221" i="1"/>
  <c r="Q221" i="1" s="1"/>
  <c r="P464" i="1"/>
  <c r="Q464" i="1" s="1"/>
  <c r="P406" i="1"/>
  <c r="Q406" i="1" s="1"/>
  <c r="P199" i="1"/>
  <c r="Q199" i="1" s="1"/>
  <c r="P151" i="1"/>
  <c r="Q151" i="1" s="1"/>
  <c r="P63" i="1"/>
  <c r="Q63" i="1" s="1"/>
  <c r="P308" i="1"/>
  <c r="Q308" i="1" s="1"/>
  <c r="P392" i="1"/>
  <c r="Q392" i="1" s="1"/>
  <c r="P336" i="1"/>
  <c r="Q336" i="1" s="1"/>
  <c r="P282" i="1"/>
  <c r="Q282" i="1" s="1"/>
  <c r="P211" i="1"/>
  <c r="Q211" i="1" s="1"/>
  <c r="P163" i="1"/>
  <c r="Q163" i="1" s="1"/>
  <c r="P61" i="1"/>
  <c r="Q61" i="1" s="1"/>
  <c r="P283" i="1"/>
  <c r="Q283" i="1" s="1"/>
  <c r="P547" i="1"/>
  <c r="Q547" i="1" s="1"/>
  <c r="P479" i="1"/>
  <c r="Q479" i="1" s="1"/>
  <c r="P404" i="1"/>
  <c r="Q404" i="1" s="1"/>
  <c r="P378" i="1"/>
  <c r="Q378" i="1" s="1"/>
  <c r="P322" i="1"/>
  <c r="Q322" i="1" s="1"/>
  <c r="P133" i="1"/>
  <c r="Q133" i="1" s="1"/>
  <c r="P10" i="1"/>
  <c r="Q10" i="1" s="1"/>
  <c r="P325" i="1"/>
  <c r="Q325" i="1" s="1"/>
  <c r="P217" i="1"/>
  <c r="Q217" i="1" s="1"/>
  <c r="P208" i="1"/>
  <c r="Q208" i="1" s="1"/>
  <c r="P120" i="1"/>
  <c r="Q120" i="1" s="1"/>
  <c r="P430" i="1"/>
  <c r="Q430" i="1" s="1"/>
  <c r="P390" i="1"/>
  <c r="Q390" i="1" s="1"/>
  <c r="P334" i="1"/>
  <c r="Q334" i="1" s="1"/>
  <c r="P306" i="1"/>
  <c r="Q306" i="1" s="1"/>
  <c r="P252" i="1"/>
  <c r="Q252" i="1" s="1"/>
  <c r="P160" i="1"/>
  <c r="Q160" i="1" s="1"/>
  <c r="P89" i="1"/>
  <c r="Q89" i="1" s="1"/>
  <c r="P21" i="1"/>
  <c r="Q21" i="1" s="1"/>
  <c r="P526" i="1"/>
  <c r="Q526" i="1" s="1"/>
  <c r="P346" i="1"/>
  <c r="Q346" i="1" s="1"/>
  <c r="P319" i="1"/>
  <c r="Q319" i="1" s="1"/>
  <c r="P222" i="1"/>
  <c r="Q222" i="1" s="1"/>
  <c r="P114" i="1"/>
  <c r="Q114" i="1" s="1"/>
  <c r="P101" i="1"/>
  <c r="Q101" i="1" s="1"/>
  <c r="P57" i="1"/>
  <c r="Q57" i="1" s="1"/>
  <c r="P45" i="1"/>
  <c r="Q45" i="1" s="1"/>
  <c r="P196" i="1"/>
  <c r="Q196" i="1" s="1"/>
  <c r="P331" i="1"/>
  <c r="Q331" i="1" s="1"/>
  <c r="P173" i="1"/>
  <c r="Q173" i="1" s="1"/>
  <c r="P87" i="1"/>
  <c r="Q87" i="1" s="1"/>
  <c r="P58" i="1"/>
  <c r="Q58" i="1" s="1"/>
  <c r="P332" i="1"/>
  <c r="Q332" i="1" s="1"/>
  <c r="P475" i="1"/>
  <c r="Q475" i="1" s="1"/>
  <c r="P318" i="1"/>
  <c r="Q318" i="1" s="1"/>
  <c r="P276" i="1"/>
  <c r="Q276" i="1" s="1"/>
  <c r="P235" i="1"/>
  <c r="Q235" i="1" s="1"/>
  <c r="P189" i="1"/>
  <c r="Q189" i="1" s="1"/>
  <c r="P127" i="1"/>
  <c r="Q127" i="1" s="1"/>
  <c r="P84" i="1"/>
  <c r="Q84" i="1" s="1"/>
  <c r="P562" i="1"/>
  <c r="Q562" i="1" s="1"/>
  <c r="P313" i="1"/>
  <c r="Q313" i="1" s="1"/>
  <c r="P195" i="1"/>
  <c r="Q195" i="1" s="1"/>
  <c r="P171" i="1"/>
  <c r="Q171" i="1" s="1"/>
  <c r="P372" i="1"/>
  <c r="Q372" i="1" s="1"/>
  <c r="P330" i="1"/>
  <c r="Q330" i="1" s="1"/>
  <c r="P275" i="1"/>
  <c r="Q275" i="1" s="1"/>
  <c r="P204" i="1"/>
  <c r="Q204" i="1" s="1"/>
  <c r="P126" i="1"/>
  <c r="Q126" i="1" s="1"/>
  <c r="P83" i="1"/>
  <c r="Q83" i="1" s="1"/>
  <c r="P567" i="1"/>
  <c r="Q567" i="1" s="1"/>
  <c r="P527" i="1"/>
  <c r="Q527" i="1" s="1"/>
  <c r="P230" i="1"/>
  <c r="Q230" i="1" s="1"/>
  <c r="P503" i="1"/>
  <c r="Q503" i="1" s="1"/>
  <c r="P439" i="1"/>
  <c r="Q439" i="1" s="1"/>
  <c r="P384" i="1"/>
  <c r="Q384" i="1" s="1"/>
  <c r="P287" i="1"/>
  <c r="Q287" i="1" s="1"/>
  <c r="P97" i="1"/>
  <c r="Q97" i="1" s="1"/>
  <c r="P468" i="1"/>
  <c r="Q468" i="1" s="1"/>
  <c r="P383" i="1"/>
  <c r="Q383" i="1" s="1"/>
  <c r="P342" i="1"/>
  <c r="Q342" i="1" s="1"/>
  <c r="P299" i="1"/>
  <c r="Q299" i="1" s="1"/>
  <c r="P246" i="1"/>
  <c r="Q246" i="1" s="1"/>
  <c r="P202" i="1"/>
  <c r="Q202" i="1" s="1"/>
  <c r="P140" i="1"/>
  <c r="Q140" i="1" s="1"/>
  <c r="P15" i="1"/>
  <c r="Q15" i="1" s="1"/>
  <c r="P471" i="1"/>
  <c r="Q471" i="1" s="1"/>
  <c r="P457" i="1"/>
  <c r="Q457" i="1" s="1"/>
  <c r="P551" i="1"/>
  <c r="Q551" i="1" s="1"/>
  <c r="P516" i="1"/>
  <c r="Q516" i="1" s="1"/>
  <c r="P451" i="1"/>
  <c r="Q451" i="1" s="1"/>
  <c r="P382" i="1"/>
  <c r="Q382" i="1" s="1"/>
  <c r="P354" i="1"/>
  <c r="Q354" i="1" s="1"/>
  <c r="P298" i="1"/>
  <c r="Q298" i="1" s="1"/>
  <c r="P259" i="1"/>
  <c r="Q259" i="1" s="1"/>
  <c r="P214" i="1"/>
  <c r="Q214" i="1" s="1"/>
  <c r="P185" i="1"/>
  <c r="Q185" i="1" s="1"/>
  <c r="P139" i="1"/>
  <c r="Q139" i="1" s="1"/>
  <c r="P109" i="1"/>
  <c r="Q109" i="1" s="1"/>
  <c r="P39" i="1"/>
  <c r="Q39" i="1" s="1"/>
  <c r="P560" i="1"/>
  <c r="Q560" i="1" s="1"/>
  <c r="P470" i="1"/>
  <c r="Q470" i="1" s="1"/>
  <c r="P399" i="1"/>
  <c r="Q399" i="1" s="1"/>
  <c r="P358" i="1"/>
  <c r="Q358" i="1" s="1"/>
  <c r="P49" i="1"/>
  <c r="Q49" i="1" s="1"/>
  <c r="P514" i="1"/>
  <c r="Q514" i="1" s="1"/>
  <c r="P487" i="1"/>
  <c r="Q487" i="1" s="1"/>
  <c r="P438" i="1"/>
  <c r="Q438" i="1" s="1"/>
  <c r="P396" i="1"/>
  <c r="Q396" i="1" s="1"/>
  <c r="P355" i="1"/>
  <c r="Q355" i="1" s="1"/>
  <c r="P286" i="1"/>
  <c r="Q286" i="1" s="1"/>
  <c r="P215" i="1"/>
  <c r="Q215" i="1" s="1"/>
  <c r="P186" i="1"/>
  <c r="Q186" i="1" s="1"/>
  <c r="P96" i="1"/>
  <c r="Q96" i="1" s="1"/>
  <c r="P27" i="1"/>
  <c r="Q27" i="1" s="1"/>
  <c r="P3" i="1"/>
  <c r="Q3" i="1" s="1"/>
  <c r="P450" i="1"/>
  <c r="Q450" i="1" s="1"/>
  <c r="P420" i="1"/>
  <c r="Q420" i="1" s="1"/>
  <c r="P407" i="1"/>
  <c r="Q407" i="1" s="1"/>
  <c r="P394" i="1"/>
  <c r="Q394" i="1" s="1"/>
  <c r="P368" i="1"/>
  <c r="Q368" i="1" s="1"/>
  <c r="P311" i="1"/>
  <c r="Q311" i="1" s="1"/>
  <c r="P271" i="1"/>
  <c r="Q271" i="1" s="1"/>
  <c r="P258" i="1"/>
  <c r="Q258" i="1" s="1"/>
  <c r="P228" i="1"/>
  <c r="Q228" i="1" s="1"/>
  <c r="P165" i="1"/>
  <c r="Q165" i="1" s="1"/>
  <c r="P152" i="1"/>
  <c r="Q152" i="1" s="1"/>
  <c r="P138" i="1"/>
  <c r="Q138" i="1" s="1"/>
  <c r="P121" i="1"/>
  <c r="Q121" i="1" s="1"/>
  <c r="P51" i="1"/>
  <c r="Q51" i="1" s="1"/>
  <c r="P13" i="1"/>
  <c r="Q13" i="1" s="1"/>
  <c r="P548" i="1"/>
  <c r="Q548" i="1" s="1"/>
  <c r="P542" i="1"/>
  <c r="Q542" i="1" s="1"/>
  <c r="P525" i="1"/>
  <c r="Q525" i="1" s="1"/>
  <c r="P507" i="1"/>
  <c r="Q507" i="1" s="1"/>
  <c r="P476" i="1"/>
  <c r="Q476" i="1" s="1"/>
  <c r="P374" i="1"/>
  <c r="Q374" i="1" s="1"/>
  <c r="P343" i="1"/>
  <c r="Q343" i="1" s="1"/>
  <c r="P393" i="1"/>
  <c r="Q393" i="1" s="1"/>
  <c r="P357" i="1"/>
  <c r="Q357" i="1" s="1"/>
  <c r="P273" i="1"/>
  <c r="Q273" i="1" s="1"/>
  <c r="P261" i="1"/>
  <c r="Q261" i="1" s="1"/>
  <c r="P249" i="1"/>
  <c r="Q249" i="1" s="1"/>
  <c r="P237" i="1"/>
  <c r="Q237" i="1" s="1"/>
  <c r="P225" i="1"/>
  <c r="Q225" i="1" s="1"/>
  <c r="P201" i="1"/>
  <c r="Q201" i="1" s="1"/>
  <c r="P188" i="1"/>
  <c r="Q188" i="1" s="1"/>
  <c r="P162" i="1"/>
  <c r="Q162" i="1" s="1"/>
  <c r="P100" i="1"/>
  <c r="Q100" i="1" s="1"/>
  <c r="P73" i="1"/>
  <c r="Q73" i="1" s="1"/>
  <c r="P24" i="1"/>
  <c r="Q24" i="1" s="1"/>
  <c r="P296" i="1"/>
  <c r="Q296" i="1" s="1"/>
  <c r="P284" i="1"/>
  <c r="Q284" i="1" s="1"/>
  <c r="P248" i="1"/>
  <c r="Q248" i="1" s="1"/>
  <c r="P236" i="1"/>
  <c r="Q236" i="1" s="1"/>
  <c r="P149" i="1"/>
  <c r="Q149" i="1" s="1"/>
  <c r="P136" i="1"/>
  <c r="Q136" i="1" s="1"/>
  <c r="P123" i="1"/>
  <c r="Q123" i="1" s="1"/>
  <c r="P111" i="1"/>
  <c r="Q111" i="1" s="1"/>
  <c r="P72" i="1"/>
  <c r="Q72" i="1" s="1"/>
  <c r="P59" i="1"/>
  <c r="Q59" i="1" s="1"/>
  <c r="P47" i="1"/>
  <c r="Q47" i="1" s="1"/>
  <c r="P35" i="1"/>
  <c r="Q35" i="1" s="1"/>
  <c r="P23" i="1"/>
  <c r="Q23" i="1" s="1"/>
  <c r="P11" i="1"/>
  <c r="Q11" i="1" s="1"/>
  <c r="P417" i="1"/>
  <c r="Q417" i="1" s="1"/>
  <c r="P369" i="1"/>
  <c r="Q369" i="1" s="1"/>
  <c r="P272" i="1"/>
  <c r="Q272" i="1" s="1"/>
  <c r="P436" i="1"/>
  <c r="Q436" i="1" s="1"/>
  <c r="P424" i="1"/>
  <c r="Q424" i="1" s="1"/>
  <c r="P412" i="1"/>
  <c r="Q412" i="1" s="1"/>
  <c r="P400" i="1"/>
  <c r="Q400" i="1" s="1"/>
  <c r="P364" i="1"/>
  <c r="Q364" i="1" s="1"/>
  <c r="P244" i="1"/>
  <c r="Q244" i="1" s="1"/>
  <c r="P169" i="1"/>
  <c r="Q169" i="1" s="1"/>
  <c r="P144" i="1"/>
  <c r="Q144" i="1" s="1"/>
  <c r="P131" i="1"/>
  <c r="Q131" i="1" s="1"/>
  <c r="P55" i="1"/>
  <c r="Q55" i="1" s="1"/>
  <c r="P19" i="1"/>
  <c r="Q19" i="1" s="1"/>
  <c r="P7" i="1"/>
  <c r="Q7" i="1" s="1"/>
  <c r="P568" i="1"/>
  <c r="Q568" i="1" s="1"/>
  <c r="P530" i="1"/>
  <c r="Q530" i="1" s="1"/>
  <c r="P509" i="1"/>
  <c r="Q509" i="1" s="1"/>
  <c r="P505" i="1"/>
  <c r="Q505" i="1" s="1"/>
  <c r="P453" i="1"/>
  <c r="Q453" i="1" s="1"/>
  <c r="P411" i="1"/>
  <c r="Q411" i="1" s="1"/>
  <c r="P205" i="1"/>
  <c r="Q205" i="1" s="1"/>
  <c r="P187" i="1"/>
  <c r="Q187" i="1" s="1"/>
  <c r="P112" i="1"/>
  <c r="Q112" i="1" s="1"/>
  <c r="P92" i="1"/>
  <c r="Q92" i="1" s="1"/>
  <c r="P53" i="1"/>
  <c r="Q53" i="1" s="1"/>
  <c r="P43" i="1"/>
  <c r="Q43" i="1" s="1"/>
  <c r="P561" i="1"/>
  <c r="Q561" i="1" s="1"/>
  <c r="P554" i="1"/>
  <c r="Q554" i="1" s="1"/>
  <c r="P519" i="1"/>
  <c r="Q519" i="1" s="1"/>
  <c r="P501" i="1"/>
  <c r="Q501" i="1" s="1"/>
  <c r="P494" i="1"/>
  <c r="Q494" i="1" s="1"/>
  <c r="P460" i="1"/>
  <c r="Q460" i="1" s="1"/>
  <c r="P361" i="1"/>
  <c r="Q361" i="1" s="1"/>
  <c r="P350" i="1"/>
  <c r="Q350" i="1" s="1"/>
  <c r="P345" i="1"/>
  <c r="Q345" i="1" s="1"/>
  <c r="P339" i="1"/>
  <c r="Q339" i="1" s="1"/>
  <c r="P328" i="1"/>
  <c r="Q328" i="1" s="1"/>
  <c r="P157" i="1"/>
  <c r="Q157" i="1" s="1"/>
  <c r="P389" i="1"/>
  <c r="Q389" i="1" s="1"/>
  <c r="P353" i="1"/>
  <c r="Q353" i="1" s="1"/>
  <c r="P293" i="1"/>
  <c r="Q293" i="1" s="1"/>
  <c r="P281" i="1"/>
  <c r="Q281" i="1" s="1"/>
  <c r="P269" i="1"/>
  <c r="Q269" i="1" s="1"/>
  <c r="P257" i="1"/>
  <c r="Q257" i="1" s="1"/>
  <c r="P245" i="1"/>
  <c r="Q245" i="1" s="1"/>
  <c r="P132" i="1"/>
  <c r="Q132" i="1" s="1"/>
  <c r="P95" i="1"/>
  <c r="Q95" i="1" s="1"/>
  <c r="P69" i="1"/>
  <c r="Q69" i="1" s="1"/>
  <c r="P8" i="1"/>
  <c r="Q8" i="1" s="1"/>
  <c r="P461" i="1"/>
  <c r="Q461" i="1" s="1"/>
  <c r="P429" i="1"/>
  <c r="Q429" i="1" s="1"/>
  <c r="P329" i="1"/>
  <c r="Q329" i="1" s="1"/>
  <c r="P317" i="1"/>
  <c r="Q317" i="1" s="1"/>
  <c r="P194" i="1"/>
  <c r="Q194" i="1" s="1"/>
  <c r="P375" i="1"/>
  <c r="Q375" i="1" s="1"/>
  <c r="P327" i="1"/>
  <c r="Q327" i="1" s="1"/>
  <c r="P219" i="1"/>
  <c r="Q219" i="1" s="1"/>
  <c r="P181" i="1"/>
  <c r="Q181" i="1" s="1"/>
  <c r="P156" i="1"/>
  <c r="Q156" i="1" s="1"/>
  <c r="P118" i="1"/>
  <c r="Q118" i="1" s="1"/>
  <c r="P326" i="1"/>
  <c r="Q326" i="1" s="1"/>
  <c r="P302" i="1"/>
  <c r="Q302" i="1" s="1"/>
  <c r="P278" i="1"/>
  <c r="Q278" i="1" s="1"/>
  <c r="P105" i="1"/>
  <c r="Q105" i="1" s="1"/>
  <c r="P41" i="1"/>
  <c r="Q41" i="1" s="1"/>
  <c r="P29" i="1"/>
  <c r="Q29" i="1" s="1"/>
  <c r="P17" i="1"/>
  <c r="Q17" i="1" s="1"/>
  <c r="P5" i="1"/>
  <c r="Q5" i="1" s="1"/>
  <c r="P533" i="1"/>
  <c r="Q533" i="1" s="1"/>
  <c r="P441" i="1"/>
  <c r="Q441" i="1" s="1"/>
  <c r="P381" i="1"/>
  <c r="Q381" i="1" s="1"/>
  <c r="P175" i="1"/>
  <c r="Q175" i="1" s="1"/>
  <c r="P85" i="1"/>
  <c r="Q85" i="1" s="1"/>
  <c r="P387" i="1"/>
  <c r="Q387" i="1" s="1"/>
  <c r="P255" i="1"/>
  <c r="Q255" i="1" s="1"/>
  <c r="P207" i="1"/>
  <c r="Q207" i="1" s="1"/>
  <c r="P168" i="1"/>
  <c r="Q168" i="1" s="1"/>
  <c r="P143" i="1"/>
  <c r="Q143" i="1" s="1"/>
  <c r="P106" i="1"/>
  <c r="Q106" i="1" s="1"/>
  <c r="P93" i="1"/>
  <c r="Q93" i="1" s="1"/>
  <c r="P80" i="1"/>
  <c r="Q80" i="1" s="1"/>
  <c r="P338" i="1"/>
  <c r="Q338" i="1" s="1"/>
  <c r="P314" i="1"/>
  <c r="Q314" i="1" s="1"/>
  <c r="P290" i="1"/>
  <c r="Q290" i="1" s="1"/>
  <c r="P266" i="1"/>
  <c r="Q266" i="1" s="1"/>
  <c r="P129" i="1"/>
  <c r="Q129" i="1" s="1"/>
  <c r="P433" i="1"/>
  <c r="Q433" i="1" s="1"/>
  <c r="P421" i="1"/>
  <c r="Q421" i="1" s="1"/>
  <c r="P409" i="1"/>
  <c r="Q409" i="1" s="1"/>
  <c r="P277" i="1"/>
  <c r="Q277" i="1" s="1"/>
  <c r="P265" i="1"/>
  <c r="Q265" i="1" s="1"/>
  <c r="P253" i="1"/>
  <c r="Q253" i="1" s="1"/>
  <c r="P192" i="1"/>
  <c r="Q192" i="1" s="1"/>
  <c r="P154" i="1"/>
  <c r="Q154" i="1" s="1"/>
  <c r="P116" i="1"/>
  <c r="Q116" i="1" s="1"/>
  <c r="P78" i="1"/>
  <c r="Q78" i="1" s="1"/>
  <c r="P28" i="1"/>
  <c r="Q28" i="1" s="1"/>
  <c r="P4" i="1"/>
  <c r="Q4" i="1" s="1"/>
  <c r="P497" i="1"/>
  <c r="Q497" i="1" s="1"/>
  <c r="P397" i="1"/>
  <c r="Q397" i="1" s="1"/>
  <c r="P386" i="1"/>
  <c r="Q386" i="1" s="1"/>
  <c r="P67" i="1"/>
  <c r="Q67" i="1" s="1"/>
  <c r="P54" i="1"/>
  <c r="Q54" i="1" s="1"/>
  <c r="P42" i="1"/>
  <c r="Q42" i="1" s="1"/>
  <c r="P30" i="1"/>
  <c r="Q30" i="1" s="1"/>
  <c r="P18" i="1"/>
  <c r="Q18" i="1" s="1"/>
  <c r="P158" i="1"/>
  <c r="Q158" i="1" s="1"/>
  <c r="P50" i="1"/>
  <c r="Q50" i="1" s="1"/>
  <c r="P14" i="1"/>
  <c r="Q14" i="1" s="1"/>
  <c r="P110" i="1"/>
  <c r="Q110" i="1" s="1"/>
  <c r="P38" i="1"/>
  <c r="Q38" i="1" s="1"/>
  <c r="V25" i="2"/>
  <c r="V26" i="2"/>
  <c r="V27" i="2"/>
  <c r="V28" i="2"/>
  <c r="V20" i="2"/>
  <c r="V21" i="2"/>
  <c r="V22" i="2"/>
  <c r="V23" i="2"/>
  <c r="V24" i="2"/>
  <c r="V16" i="2"/>
  <c r="V17" i="2"/>
  <c r="V18" i="2"/>
  <c r="V19" i="2"/>
  <c r="V15" i="2" l="1"/>
  <c r="V14" i="2"/>
  <c r="V10" i="2" l="1"/>
  <c r="V9" i="2"/>
  <c r="V13" i="2"/>
  <c r="V12" i="2"/>
  <c r="V11" i="2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<sst xmlns="http://schemas.openxmlformats.org/spreadsheetml/2006/main" count="1723" uniqueCount="896">
  <si>
    <t xml:space="preserve">BELTRAN MACHACA GABRIEL CRISTOBAL </t>
  </si>
  <si>
    <t>LIMACHI GOMEZ MATIAS JOSE</t>
  </si>
  <si>
    <t xml:space="preserve">CHACON TICONA IKER ESTEBAN </t>
  </si>
  <si>
    <t xml:space="preserve">DIAZ QUISPE ANDRE JHOSHUA </t>
  </si>
  <si>
    <t xml:space="preserve">DIAZ QUISPE TJ STEVEN </t>
  </si>
  <si>
    <t xml:space="preserve">APAZA QUISPE SEBASTIAN MATIAS </t>
  </si>
  <si>
    <t>MAMANI COARITE BRAYAN JULIAN</t>
  </si>
  <si>
    <t xml:space="preserve">MAMANI COARITE OSMAR AMIR </t>
  </si>
  <si>
    <t xml:space="preserve">PAXI DAVALOS ALESSANDRA RAQUEL </t>
  </si>
  <si>
    <t xml:space="preserve">MAMANI ROJAS DANIELA NICOL </t>
  </si>
  <si>
    <t xml:space="preserve">MAMANI ROJAS NOELIA ZOE </t>
  </si>
  <si>
    <t xml:space="preserve">ESCOBAR QUISBERT DIEGO ALEXANDER </t>
  </si>
  <si>
    <t xml:space="preserve">SANDOVAL BUENO DUDLEY EYAL </t>
  </si>
  <si>
    <t xml:space="preserve">SANDOVAL BUENO GODFREY JUGHEAD SEBASTIAN </t>
  </si>
  <si>
    <t>MAMANI QUISPE REYNER ALEXANDRE</t>
  </si>
  <si>
    <t>APALA YUJRA ROSELIN ANDREA</t>
  </si>
  <si>
    <t xml:space="preserve">HINOJOSA PUSARICO ELENA VICTORIA </t>
  </si>
  <si>
    <t>HINOJOSA PUSARICO SAMANTHA ESMERALDA</t>
  </si>
  <si>
    <t xml:space="preserve">NELGUARDO FLORES ALEKSI IAN </t>
  </si>
  <si>
    <t xml:space="preserve">LUNA MAMANI EMIR MATTEO </t>
  </si>
  <si>
    <t xml:space="preserve">LUNA MAMANI HANDE ARIANE </t>
  </si>
  <si>
    <t xml:space="preserve">ZAPATA TUCO JOANY KEIRA </t>
  </si>
  <si>
    <t xml:space="preserve">ALI GONZALES ALEJANDRO JULIAN </t>
  </si>
  <si>
    <t xml:space="preserve">PALMA CARRILLO MORGAN ARLET </t>
  </si>
  <si>
    <t xml:space="preserve">CARTAGENA MAMANI WILSON GABRIEL </t>
  </si>
  <si>
    <t>SOLIZ HUANCA AMELIA</t>
  </si>
  <si>
    <t xml:space="preserve">FLORES RODRIGUEZ KYLIE MICHELLE </t>
  </si>
  <si>
    <t>MAMANI BLANCO GENESIS JASMIN</t>
  </si>
  <si>
    <t xml:space="preserve">MAMANI BLANCO DAVID BERNAL </t>
  </si>
  <si>
    <t xml:space="preserve">CUSI LLUSCO OLIVER MATIAS </t>
  </si>
  <si>
    <t xml:space="preserve">SALINAS MAMANI MATIAS AGUSTIN </t>
  </si>
  <si>
    <t>SALINAS MAMANI GENESIS ALESSANDRA</t>
  </si>
  <si>
    <t xml:space="preserve">TORREZ QUISPE NOMEI </t>
  </si>
  <si>
    <t xml:space="preserve">TORREZ QUISPE MATEO </t>
  </si>
  <si>
    <t xml:space="preserve">APAZA MOLLINEDO CALEB JEREMY </t>
  </si>
  <si>
    <t xml:space="preserve">LAIME LLUSCO GREIS VALERI </t>
  </si>
  <si>
    <t>LAIME LLUSCO MEYVIS ZOELI</t>
  </si>
  <si>
    <t xml:space="preserve">LAIME LLUSCO NICOLAS SANTIAGO </t>
  </si>
  <si>
    <t xml:space="preserve">VARGAS PUSARICO AMANDA SAMIRA </t>
  </si>
  <si>
    <t>VARGAS PUSARICO LUIS FERNANDO</t>
  </si>
  <si>
    <t xml:space="preserve">COPETICON TICONA MARCO GREGORIO </t>
  </si>
  <si>
    <t xml:space="preserve">VEIZAGA YUJRA GIAN MEJIAN </t>
  </si>
  <si>
    <t>CALAMANI GUTIERREZ GIANNA ESTRELLA</t>
  </si>
  <si>
    <t xml:space="preserve">ROCABADO APAZA JHONAS SAMIR </t>
  </si>
  <si>
    <t xml:space="preserve">ROCABADO APAZA LUKA ERICK </t>
  </si>
  <si>
    <t xml:space="preserve">SIYE SANGINEZ JOSUE </t>
  </si>
  <si>
    <t xml:space="preserve">YUJRA SANGINEZ ANY KHATLEN </t>
  </si>
  <si>
    <t xml:space="preserve">PEREZ LIMACHI CARLOS EDUARDO </t>
  </si>
  <si>
    <t xml:space="preserve">RIVAS LIMACHI  VALERIA FANY </t>
  </si>
  <si>
    <t xml:space="preserve">FLORES POMA CAMILA CRISTEL </t>
  </si>
  <si>
    <t xml:space="preserve">LIPE HUALLPA ELIAS DANIEL </t>
  </si>
  <si>
    <t>YUJRA CHURA YAMILETH NICOLE</t>
  </si>
  <si>
    <t>YUJRA CHURA FRANK ARMAND</t>
  </si>
  <si>
    <t xml:space="preserve">LOPEZ ALANOCA MAYRA </t>
  </si>
  <si>
    <t>VARGAS ZUÑIGA DERYCK MARSHALL</t>
  </si>
  <si>
    <t>VARGAS ZUÑIGA MARJHORY CHARLOTTE</t>
  </si>
  <si>
    <t xml:space="preserve">PLATA MAMANI JAVIER EDUARDO </t>
  </si>
  <si>
    <t xml:space="preserve">PLATA MAMANI  RUBI FIORELA </t>
  </si>
  <si>
    <t xml:space="preserve">APAZA FERNANDEZ JHAIR RENE </t>
  </si>
  <si>
    <t xml:space="preserve">MURGUIA DELGADO DIEGO FABRICIO </t>
  </si>
  <si>
    <t xml:space="preserve">CHAVEZ GARCIA GAEL </t>
  </si>
  <si>
    <t>CHAVEZ GARCIA URIEL</t>
  </si>
  <si>
    <t xml:space="preserve">HUASCO LAURA AYELEN </t>
  </si>
  <si>
    <t xml:space="preserve">HUASCO ALEJANDRO ANTONIO </t>
  </si>
  <si>
    <t xml:space="preserve">CONDORI ROMERO LIA YEN </t>
  </si>
  <si>
    <t>CONDORI ROMERO JADE LIZ</t>
  </si>
  <si>
    <t>FLORES CHIPANA HEYLI ABRIL</t>
  </si>
  <si>
    <t xml:space="preserve">FLORES CHIPANA NEIL SEBASTIAN </t>
  </si>
  <si>
    <t xml:space="preserve">QUENTA FERNANDEZ SAMARA MILDRED </t>
  </si>
  <si>
    <t>MOLLE HILAYA LUKAS CRITOPHER</t>
  </si>
  <si>
    <t>LIMACHI MAYDANA KARINA MAYTE</t>
  </si>
  <si>
    <t>CARHUANI MAMANI CARLA</t>
  </si>
  <si>
    <t>CARHUANI MAMANI DAMARIS</t>
  </si>
  <si>
    <t>MIRANDA MAMANI MAYLEN FRIDA</t>
  </si>
  <si>
    <t>COPANA SANCHEZ JOHN IKER</t>
  </si>
  <si>
    <t>COPANA SANCHEZ THIAGO EDWARD</t>
  </si>
  <si>
    <t>CHOQUE PLATA NICOLAS NEYTHAN</t>
  </si>
  <si>
    <t>COPANA PLATA JAZMANI</t>
  </si>
  <si>
    <t>COPANA PLATA IVON</t>
  </si>
  <si>
    <t>RAMOS CHURA JHON BRAYAN</t>
  </si>
  <si>
    <t xml:space="preserve">RAMOS CHURA JHESICA </t>
  </si>
  <si>
    <t>CACHICATARI CHURA JUAN SEBASTIAN</t>
  </si>
  <si>
    <t>ARRATIA ALIAGA KAROL DANETT EDWINKA</t>
  </si>
  <si>
    <t>ARRATIA ALIAGA EIMMY</t>
  </si>
  <si>
    <t xml:space="preserve">CAJCHAYA MACHACA EVA CATALEYA </t>
  </si>
  <si>
    <t xml:space="preserve">QUISPE CAHUASIQUITA ADRIAN </t>
  </si>
  <si>
    <t xml:space="preserve">QUISPE CAHUASIQUITA FERNANDO </t>
  </si>
  <si>
    <t xml:space="preserve">MAMANI QUISPE ALEXIS LEONARDO </t>
  </si>
  <si>
    <t xml:space="preserve">MAMANI QUISPE CAMILA MIREYA </t>
  </si>
  <si>
    <t xml:space="preserve">VEGA CHAMBI MISUKI YHELENA </t>
  </si>
  <si>
    <t xml:space="preserve">VEGA CHAMBI KENJI GADIEL </t>
  </si>
  <si>
    <t xml:space="preserve">LOZA HUAÑAPACO MARIEL NICOLE </t>
  </si>
  <si>
    <t>LOZA HUAÑAPACO KEYLOR NAYIB</t>
  </si>
  <si>
    <t xml:space="preserve">GUAMAN AMARU MAYA MUNAY </t>
  </si>
  <si>
    <t xml:space="preserve">QUISPE  CHAMBILLA DIEGO AXEL </t>
  </si>
  <si>
    <t xml:space="preserve">COLQUE CHOQUE EYDRIAN EMMANUEL </t>
  </si>
  <si>
    <t>COLQUE CHOQUE ALICE  DAYAMI</t>
  </si>
  <si>
    <t xml:space="preserve">HUANCA CONDORI ZOE MISHEL </t>
  </si>
  <si>
    <t xml:space="preserve">HUANCA CONDORI ANTONI JUAN </t>
  </si>
  <si>
    <t>ANULADO</t>
  </si>
  <si>
    <t xml:space="preserve">APAZA GUTIERREZ EVAN MARTIN </t>
  </si>
  <si>
    <t>HIDALGO HUMEREZ ABIGAIL ASHARA</t>
  </si>
  <si>
    <t>APAZA FERNANDEZ MASSIEL SAMIRA</t>
  </si>
  <si>
    <t>CHAMBI LUQUE JOSE FABIAN</t>
  </si>
  <si>
    <t>LIPA LOZA KENDRA</t>
  </si>
  <si>
    <t>GUZMAN VELASCO DANIELA FATIMA</t>
  </si>
  <si>
    <t>LIMACHI HURTADO MARIANA RUTH</t>
  </si>
  <si>
    <t>TROCHE APAZA MAYA BELEN</t>
  </si>
  <si>
    <t>MARCONI JIMENEZ DANIELA LILI</t>
  </si>
  <si>
    <t>MARCONI JIMENEZ ISABELLA XIOMARA</t>
  </si>
  <si>
    <t>NAVARRO MARQUEZ IAN MANUEL JAIME</t>
  </si>
  <si>
    <t>MAMANI TICONA YUNI MARIANA</t>
  </si>
  <si>
    <t>MAMANI TICONA ISAIN ADRIAN</t>
  </si>
  <si>
    <t>RAMIREZ ALARCON PATRICK ANTHONY</t>
  </si>
  <si>
    <t>MAYTA LUNA ELUNEY VALENTINA</t>
  </si>
  <si>
    <t>MAYTA LUNA JOSE SANTIAGO</t>
  </si>
  <si>
    <t>MAYTA LUNA ISABEL FERNANDA</t>
  </si>
  <si>
    <t>BARRETO CALLE DILAN SEBASTIAN</t>
  </si>
  <si>
    <t>BARRETO CALLE EMIR LEONARDO</t>
  </si>
  <si>
    <t>BARRETO CALLE VANIA YAMILE</t>
  </si>
  <si>
    <t>FLORES RODRIGUEZ JULIAN RICHARD</t>
  </si>
  <si>
    <t>CUEVAS QUISPE AARON LIMBER</t>
  </si>
  <si>
    <t>CUEVAS QUISPE XIOMARA ESTHER</t>
  </si>
  <si>
    <t>CALLE MARQUEZ SOL MADELEY</t>
  </si>
  <si>
    <t>BRAÑEZ QUISPE MATIAS ANDRE</t>
  </si>
  <si>
    <t>BRAÑEZ QUISPE ANTHONY ERICK</t>
  </si>
  <si>
    <t>ITAMARI CALLE THIAGO ANDRE</t>
  </si>
  <si>
    <t>ITAMARI CALLE THIANGO ANDRE</t>
  </si>
  <si>
    <t>GUARACHI APAZA WARA JASMIN</t>
  </si>
  <si>
    <t>SILVA ROJAS GABRIELA VAYOLETH</t>
  </si>
  <si>
    <t>QUISPE PLATA MATIAS SEBASTIAN</t>
  </si>
  <si>
    <t>QUISPE PLATA MARIEL SOFIA</t>
  </si>
  <si>
    <t>LUQUE VALLEJOS DAYNA AYLIN</t>
  </si>
  <si>
    <t>QUISPE HILARI PAOLA ARCELY</t>
  </si>
  <si>
    <t>YUJRA MONZON AGUSNTINO DIEGO</t>
  </si>
  <si>
    <t>YUJRA MONZON ESTEBAN ALBERT</t>
  </si>
  <si>
    <t>CAPIA MENDONZA EYMI JAZMIN</t>
  </si>
  <si>
    <t>MERCADO CHOQUE DUNIA</t>
  </si>
  <si>
    <t>MERCADO CHOQUE SAMIR</t>
  </si>
  <si>
    <t>MERCADO CHOQUE INES ANACLETH</t>
  </si>
  <si>
    <t>GONZALEZ VILLALOBOS GABRIEL SANTIAGO</t>
  </si>
  <si>
    <t>QUISPE CHAMBI AVRIL ANGELES</t>
  </si>
  <si>
    <t>PAUCARA QUISPE SARAHI BELEN</t>
  </si>
  <si>
    <t>PAUCARA QUISPE JOSUE GABRIEL</t>
  </si>
  <si>
    <t>HUANCA YAPU BABEL OCATAVIO</t>
  </si>
  <si>
    <t>HUANCA YAPU YAMILA KENEDY</t>
  </si>
  <si>
    <t>MAMANI ARGANI MATEO CESAR</t>
  </si>
  <si>
    <t>CONTRERAS TROCHE ALISSON BELEN</t>
  </si>
  <si>
    <t>CONTRERAS TROCHEZUMAYA ASHELEN</t>
  </si>
  <si>
    <t>CACERES GONZALES MIRCKO DANIEL</t>
  </si>
  <si>
    <t>SUNTURA GONZALES SAMIR TAEHWA</t>
  </si>
  <si>
    <t>RAMOS QUINTANA VICTOR ALEJANDRO</t>
  </si>
  <si>
    <t>YUJRA COPANA NEYMAR FOREST</t>
  </si>
  <si>
    <t>HUAÑAPACO YUJRA MARCO ANTONIO</t>
  </si>
  <si>
    <t>HUAÑAPACO YUJRA LUZ CAMILA</t>
  </si>
  <si>
    <t>HUANCA FLORES DAVID SANTIAGO</t>
  </si>
  <si>
    <t>HUANCA FLORES SEBASTIAN MARTIN</t>
  </si>
  <si>
    <t>ESTACA TALLACAGUA GABY DEYSI</t>
  </si>
  <si>
    <t>MAMAI BARRETO DAMARIZ LINZDAY</t>
  </si>
  <si>
    <t>MAMAI BARRETO JOSHUA CISNETT</t>
  </si>
  <si>
    <t>HUACANI SUAREZ ARIANNA</t>
  </si>
  <si>
    <t>HUACANI CHAMBI NADIR VALENTINA</t>
  </si>
  <si>
    <t>LUNA LUNA MATIAS TEYLOR</t>
  </si>
  <si>
    <t>CENTELLAS MACHACA CESAR GABRIEL</t>
  </si>
  <si>
    <t>CAJCHAYA MACHACA MILEYA DEL RIO</t>
  </si>
  <si>
    <t>CAJCHAYA MACHACA MILUFER DEL RIO</t>
  </si>
  <si>
    <t>MACHACA CONDORI ARELYS BRISEIDA</t>
  </si>
  <si>
    <t>NELGUARDO MARTINEZ ROMAN SANTOS</t>
  </si>
  <si>
    <t>TICONA CONDORI FERNANDA NOEMI</t>
  </si>
  <si>
    <t>CONDORI CONDORI NICOL HELEN</t>
  </si>
  <si>
    <t>CALLISAYA HUANCA ADALIZ</t>
  </si>
  <si>
    <t>ALCON ARRATIA GONZALO HUGO</t>
  </si>
  <si>
    <t>LAURA ROJAS MIJAEL ABRIEL</t>
  </si>
  <si>
    <t>LAURA ROJAS JULIO EDUARDO</t>
  </si>
  <si>
    <t>MAMANI QUISPE MANUEL DEYNAR</t>
  </si>
  <si>
    <t>MAMANI QUISPE OSAIAS</t>
  </si>
  <si>
    <t>ZAPATA LAYME ADRIANA NICOL</t>
  </si>
  <si>
    <t>HUANCO LIMACHI CELESTE ARIADNE</t>
  </si>
  <si>
    <t>MAMANI HUANCO DAFNE VALENTINA</t>
  </si>
  <si>
    <t>GONZALES LOPEZ DIANA</t>
  </si>
  <si>
    <t>TELLERIA HUANCO HUGO SAMIR</t>
  </si>
  <si>
    <t>RAMOS MAMANI VALERIA ARLETTE</t>
  </si>
  <si>
    <t>LOZA TOLEDO SANTIAGO LEONEL</t>
  </si>
  <si>
    <t>MAMANI ALANOCA SAYURI CAMILA</t>
  </si>
  <si>
    <t>YANIQUE MARQUEZ VALENTINA SOLANGE</t>
  </si>
  <si>
    <t>YANIQUE MARQUEZ JUAN MIGUEL</t>
  </si>
  <si>
    <t>VINO MATTA NEYTHAN ABDIEL</t>
  </si>
  <si>
    <t>VINO MATTA JONATHAN JAIR</t>
  </si>
  <si>
    <t>CONDORI PUSARICO ALEXANDER</t>
  </si>
  <si>
    <t>POMA QUISPE KILIAN SAMIR</t>
  </si>
  <si>
    <t>MAMANI QUISPE AMBAR NAOMI</t>
  </si>
  <si>
    <t>ALANOCA CHOQUE URIEL</t>
  </si>
  <si>
    <t>ALANOCA CHOQUE SAMER</t>
  </si>
  <si>
    <t>TICONA MENDOZA JUAN DANIEL</t>
  </si>
  <si>
    <t>TICONA MENDOZA ANDY SAMIR</t>
  </si>
  <si>
    <t>FLORES MAMANI DILAN ANDY</t>
  </si>
  <si>
    <t>FLORES MAMANI NEYTAN RAUL</t>
  </si>
  <si>
    <t>HUAYHUA FLORES IAN IKER</t>
  </si>
  <si>
    <t>CONDORI MARQUEZ JHUREM ALEJANDRO</t>
  </si>
  <si>
    <t>HUARCA CHAVEZ ZOE TERESA</t>
  </si>
  <si>
    <t>TICONA LIMACHI LUCAS GADIEL</t>
  </si>
  <si>
    <t>VENTURA HUANCA ARACELY SARAHI</t>
  </si>
  <si>
    <t>VENTURA HUANCA YAMIL MATIAS</t>
  </si>
  <si>
    <t>CATARI URIARTE EDUARDO</t>
  </si>
  <si>
    <t>CATARI URIARTE JOSUE ARON</t>
  </si>
  <si>
    <t>LAYME QUISPE IAN CALEB</t>
  </si>
  <si>
    <t>FERNANDEZ QUISPE JHOSUE JHON RICARDO</t>
  </si>
  <si>
    <t>ESPINOZA MAMANI CAMILA ALEJANDRA</t>
  </si>
  <si>
    <t>VILLCA QUISPE JAIR JAVIER</t>
  </si>
  <si>
    <t>VILLCA QUISPE THAIS ARIANA</t>
  </si>
  <si>
    <t>VILLCA QUISPE AMBAR CAMILA</t>
  </si>
  <si>
    <t>CHAMBI TONCONI NIKOL KRISTEN</t>
  </si>
  <si>
    <t>CHAMBI TONCONI EYTAN JHONATAN</t>
  </si>
  <si>
    <t>SEGAL4ES ARUQUIPA ALEX DIETER</t>
  </si>
  <si>
    <t>MOYA BOTELLO THIAGO MATIAS</t>
  </si>
  <si>
    <t>MOYA BOTELLO ZOE ASHLIN</t>
  </si>
  <si>
    <t>DAMIAN LIMA ANA BELEN</t>
  </si>
  <si>
    <t>SIÑANI APAZA LUIS ALEXIS</t>
  </si>
  <si>
    <t>POMA GUTIERREZ ADA MAYELY</t>
  </si>
  <si>
    <t>POMA GUTIERREZ BRIANA MAYUMI</t>
  </si>
  <si>
    <t>URUCHI TAMBILLO ARIAN MONSERRAT</t>
  </si>
  <si>
    <t xml:space="preserve">CALLIZAYA CATACORA JESSICA LUCIANA </t>
  </si>
  <si>
    <t>PEREZ MARTINEZ CESIA STEPHANIE</t>
  </si>
  <si>
    <t>CALDERON ROJAS KATE ANTONELLA</t>
  </si>
  <si>
    <t>RAMOS SACA VALENTINA ALEJANDRA</t>
  </si>
  <si>
    <t>CONDORI CALLIZAYA ALEJANDRO OLIVER</t>
  </si>
  <si>
    <t>CONDORI CALLIZAYA SEBASTIAN GERARDO</t>
  </si>
  <si>
    <t>MAMANI MAMANI NATALY MAYLIN</t>
  </si>
  <si>
    <t>HUACCAYCHUCO CHAMBI ELIF KAROLAYN</t>
  </si>
  <si>
    <t>QUISPE MEJIA RODRIGO FELIX</t>
  </si>
  <si>
    <t>APAZA ROJAS MISHEL</t>
  </si>
  <si>
    <t>VENTURA SALCEDO GABRIEL</t>
  </si>
  <si>
    <t xml:space="preserve">VENTURA SALCEDO LUZ AYLIN </t>
  </si>
  <si>
    <t>ARANO POMA HECTOR ALEXANDER</t>
  </si>
  <si>
    <t>CHOQUE MONTALICO MARINO BRANDON</t>
  </si>
  <si>
    <t>CHOQUE MONTALICO JOSUE DIETHER</t>
  </si>
  <si>
    <t>LIMACHI ROMERO LEANDRO DORUCK</t>
  </si>
  <si>
    <t>BORJA MALDONADO SANTIAGO MARVIN</t>
  </si>
  <si>
    <t>DURAN VEGA LORENZ FELIPE EMIR</t>
  </si>
  <si>
    <t>HUARAHUARA MAMANI ADA PAMELA</t>
  </si>
  <si>
    <t>VALENCIA CARI ABIGAIL</t>
  </si>
  <si>
    <t>VALENCIA CARI ARELY LUCIA</t>
  </si>
  <si>
    <t>MAGNE TORRICO CELESTE MELISANDRE</t>
  </si>
  <si>
    <t>LEDEZMA LIMA EZEQUIEL FERNANDO</t>
  </si>
  <si>
    <t>LEDEZMA LIMA YAHAIRA NADIA</t>
  </si>
  <si>
    <t>MAYTA HUMEREZ YURI DAMARIS</t>
  </si>
  <si>
    <t>MAYTA HUMEREZ ASBEL JOEL</t>
  </si>
  <si>
    <t>NINA CARATA LUIS FLAVIO</t>
  </si>
  <si>
    <t xml:space="preserve">NINA CARATA YHAMIL JOSUE </t>
  </si>
  <si>
    <t xml:space="preserve">APAZA SARZURI ANAHI VALENTINA </t>
  </si>
  <si>
    <t>OBLITAS MARCA ADEMAR FABRICIO</t>
  </si>
  <si>
    <t>OBLITAS MARCA ASBEL YUREM</t>
  </si>
  <si>
    <t>LECOÑA ARRATIA MICHELLE</t>
  </si>
  <si>
    <t>LECOÑA ARRATIA JOSE</t>
  </si>
  <si>
    <t>VILLAZANTE MAMANI FERNANDA VIANCA</t>
  </si>
  <si>
    <t>VILLAZANTE MAMANI YAMIL ALEXANDER</t>
  </si>
  <si>
    <t>LLUSCO CACHI ALEX JULIAN</t>
  </si>
  <si>
    <t>CALLISAYA YUJRA VAJHOLETH AMIRA</t>
  </si>
  <si>
    <t>CACERES FLORES KIMBERLY AVRIL</t>
  </si>
  <si>
    <t>CACERES FLORES EDRICK DAVID</t>
  </si>
  <si>
    <t>VILLAZANTE FERNANDEZ AMIRA AVRIL</t>
  </si>
  <si>
    <t>MOLINA ACARAPI RACHEL SAMANTHA</t>
  </si>
  <si>
    <t>MOLINA ACARAPI GADIEL KARIM</t>
  </si>
  <si>
    <t>LLUPANQUE SELAEZ DEYVID ALEJANDRO</t>
  </si>
  <si>
    <t>MARTINEZ FERNANDEZ ABIGAIL SHEYLA</t>
  </si>
  <si>
    <t>QUISBERT ESPINOZA FABIAN EMILIANO</t>
  </si>
  <si>
    <t>TICONA VALENCIA MICAELA</t>
  </si>
  <si>
    <t>CHOQUE CONDORI ANA ROSA</t>
  </si>
  <si>
    <t>CHOQUE CONDORI MAYRO EMANUEL</t>
  </si>
  <si>
    <t>VILLARROEL COAQUIRA JHOAN GABRIEL</t>
  </si>
  <si>
    <t>VILLARROEL COAQUIRA LEONARDO IVAN</t>
  </si>
  <si>
    <t>PINTADO MAYTA LUIS ANGEL</t>
  </si>
  <si>
    <t>TARQUI RAMOS MISHELL YOMARA</t>
  </si>
  <si>
    <t>TARQUI RAMOS MEYVI MAYTE</t>
  </si>
  <si>
    <t>TARQUI RAMOS FABRICIO MATIAS</t>
  </si>
  <si>
    <t>TARQUI RAMOS JOEL EZEQUIEL</t>
  </si>
  <si>
    <t>ANDRADE PAUCARA VALENTINA MAYRIN</t>
  </si>
  <si>
    <t>ANDRADE PAUCARA GENESIS MARIANA</t>
  </si>
  <si>
    <t>QUISPE CHIPANA AYLEN OLIVIA</t>
  </si>
  <si>
    <t>QUISPE CHIPANA ALICE KAITHYN</t>
  </si>
  <si>
    <t>CONDORI CHOQUE SAYUMI</t>
  </si>
  <si>
    <t>CONDORI CHOQUE AISHA CAMILA</t>
  </si>
  <si>
    <t xml:space="preserve">CONDORI MONTAÑO ADRIANA LIA </t>
  </si>
  <si>
    <t> TITO TACUÑA ROSANGELA</t>
  </si>
  <si>
    <t>MAMANI QUISBERT FELIX SANTIAGO</t>
  </si>
  <si>
    <t>MAMANI QUISBERT FGENESIS WARA</t>
  </si>
  <si>
    <t xml:space="preserve">MONASTERIOS ESPINAL GERSON </t>
  </si>
  <si>
    <t>SUMI CONDORI ABIGAIL YARELY</t>
  </si>
  <si>
    <t>CHOQUE CAYO EVELYN NAYA</t>
  </si>
  <si>
    <t>LICON CHAVEZ AYLIN ZAYRA</t>
  </si>
  <si>
    <t>CONDORI TAPIA SHANON GEMA</t>
  </si>
  <si>
    <t>TAPIA HUAYGUA SHIREL EILEN</t>
  </si>
  <si>
    <t> BARRETO QUISPE</t>
  </si>
  <si>
    <t> PAREDES MURILLLO CANDY BRIGIDA</t>
  </si>
  <si>
    <t>CALLISAYA QUISPECAHUANA DYLAN ROGER</t>
  </si>
  <si>
    <t>MACHICADO VILLANUEVA YAHAIRA CATALINA</t>
  </si>
  <si>
    <t xml:space="preserve">MACHICADO VILLANUEVA IGNACIO TIAGO </t>
  </si>
  <si>
    <t>MACHICADO VILLANUEVA ORIETA DIANA</t>
  </si>
  <si>
    <t>CALLISAYA BLANCO JHUNIOR JOSUE</t>
  </si>
  <si>
    <t>COLQUE SOTO ZAID</t>
  </si>
  <si>
    <t>COLQUE SOTO MELANI MAYTE</t>
  </si>
  <si>
    <t>MORALES CORONEL YOHANELA AYMAR</t>
  </si>
  <si>
    <t>MORALES CORONEL ABNER SANTIAGO</t>
  </si>
  <si>
    <t>QUISPE MENDOZA JOSE ARTURO</t>
  </si>
  <si>
    <t>QUISPE MENDOZA NOELIA JAZMIN</t>
  </si>
  <si>
    <t>MICHME HUANCA RICARDO KAEL</t>
  </si>
  <si>
    <t xml:space="preserve">MICHME HUANCA BASTIAN RAPHAEL </t>
  </si>
  <si>
    <t>CADENA TORREZ JOSE FERNANDO</t>
  </si>
  <si>
    <t>QUISPE MARIANGEL VANESA</t>
  </si>
  <si>
    <t>FLORES ALCAZAR JAEL DANIELA</t>
  </si>
  <si>
    <t>MAMANI RIOS VALERIA PAOLA</t>
  </si>
  <si>
    <t>MAMANI RIOS OLIVIA</t>
  </si>
  <si>
    <t>QUELALI RODRIGUEZ KATERIN</t>
  </si>
  <si>
    <t>SUMI GUARACHI MIGUEL EDUARDO</t>
  </si>
  <si>
    <t>COLQUE YANAPA MARILUZ MILENKA</t>
  </si>
  <si>
    <t>CACERES FLORES NAHOMI NICOLE</t>
  </si>
  <si>
    <t>CACERES FLORES ANGHELINE JAZMIN</t>
  </si>
  <si>
    <t>PANTOJA BLANCO SHALEM JHERUSALAY</t>
  </si>
  <si>
    <t>PEREZ JIMENEZ KRISTTTEN ALEJANDRA</t>
  </si>
  <si>
    <t>SANTOS HUANCA VENUS SHEILA</t>
  </si>
  <si>
    <t>SANTOS HUANCA SHIRLEY ALONDRA</t>
  </si>
  <si>
    <t>SANTOS HUANCA EITAN BRANDON</t>
  </si>
  <si>
    <t>FLORES CARRILLO DIEGO ALAIN</t>
  </si>
  <si>
    <t>SURAN MIRANDA NAYARA</t>
  </si>
  <si>
    <t>MAMANI APAZA LINETH ROCIO</t>
  </si>
  <si>
    <t>CHOQUE RODRIGUEZ DILAN MIJAIL</t>
  </si>
  <si>
    <t>CHALCO ESPEJO BRANDON YHOSTIN</t>
  </si>
  <si>
    <t>SOTO NUÑEZ BELEN ZAIRA</t>
  </si>
  <si>
    <t>SOTO NUÑEZ NICOLAS MATEO</t>
  </si>
  <si>
    <t>GOYTIA APAZA GABRIEL JOANCARLOS</t>
  </si>
  <si>
    <t>APAZA APAZA MONTSERRAT SCARLEN</t>
  </si>
  <si>
    <t>MAMANI QUISPE SELENE DAFNE</t>
  </si>
  <si>
    <t>MAMANI QUISPE HECTOR GAEL</t>
  </si>
  <si>
    <t>DE LA CRUZ MAMANI ALAIN FRANCO</t>
  </si>
  <si>
    <t>DAZA SARZURI KAILY MAELITH</t>
  </si>
  <si>
    <t>POMA OLIVERA ROY GREGOR</t>
  </si>
  <si>
    <t>HUANCA VARGAS AYLIN YAMILE</t>
  </si>
  <si>
    <t>BLANCO CARVAJAL ITHAM NICOLAS</t>
  </si>
  <si>
    <t>QUISPE MOLLISACA EDWARD SEBASTIAN</t>
  </si>
  <si>
    <t>CHOQUE QUISPE ALIZ SHARLINE</t>
  </si>
  <si>
    <t>MASCO AGUILAR BRIZIA ALISON</t>
  </si>
  <si>
    <t>HUACOTO ALEJO JOEL DANIEL</t>
  </si>
  <si>
    <t>CANAVIRI CHOQUE CAMILA JHAMILETH</t>
  </si>
  <si>
    <t>CANAVIRI CHOQUE NICOL WARA</t>
  </si>
  <si>
    <t>CATACORA CHOQUE ADRIANA ELIZABETH</t>
  </si>
  <si>
    <t>ARUQUIPA TORREZ JOSE MANUEL</t>
  </si>
  <si>
    <t>COLQUE IBARRA BRENDA</t>
  </si>
  <si>
    <t>COLQUE IBARRA PEDRO</t>
  </si>
  <si>
    <t>MENDOZA COLQUE AYLIN LORENA</t>
  </si>
  <si>
    <t>HINOJOSA COLQUE NATALIA BELEN</t>
  </si>
  <si>
    <t>HINOJOSA COLQUE DIEGO URIEL</t>
  </si>
  <si>
    <t>CHAMBILLA LLOJLLA LEONEL LEANDRO</t>
  </si>
  <si>
    <t>CHAMBILLA LLOJLLA GAEL IGNACIO</t>
  </si>
  <si>
    <t>CHAMBILLA LLOJLLA ROMINA</t>
  </si>
  <si>
    <t>COLQUEHUANCA MIRANDA GABRIEL JESUS</t>
  </si>
  <si>
    <t>RONDO PAHE MIRANDA ESTEFANY</t>
  </si>
  <si>
    <t xml:space="preserve">RAMIREZ MAMANI ALEJANDRA </t>
  </si>
  <si>
    <t>GOMEZ ROJAS AARON DEYMAR</t>
  </si>
  <si>
    <t>MAYTA CORI LEONEL JHORDAN</t>
  </si>
  <si>
    <t>VARGAS RAMOS MATIAS NICOLAS</t>
  </si>
  <si>
    <t>APAZA TICONA DANAE ALEXANDRA</t>
  </si>
  <si>
    <t>PERCA PATTY ELIANA GENESIS</t>
  </si>
  <si>
    <t>GARFIAS TENORIO EMMANUEL NELSON</t>
  </si>
  <si>
    <t>PLATA CUTIPA MAGABI RUBI</t>
  </si>
  <si>
    <t xml:space="preserve">PLATA CUTIPA AARON </t>
  </si>
  <si>
    <t>MEDRANO CHOQUEHUANCA NOAH ARANTZA</t>
  </si>
  <si>
    <t>MYENI CALLISAYA SANTIAGO DENIS</t>
  </si>
  <si>
    <t>ARO DCALLISAYA SOPHIE RAYSSA</t>
  </si>
  <si>
    <t>VENTO CALLISAYA STEFFANY YARIM</t>
  </si>
  <si>
    <t>GUTIERREZ MAYTA SEBASTIAN</t>
  </si>
  <si>
    <t>RAMIREZ TICONA YAMILETH FABIANA</t>
  </si>
  <si>
    <t>RAMIREZ TICONA YARELY CAMILA</t>
  </si>
  <si>
    <t>GUARACHI LARICO ACIEL EFRAIN</t>
  </si>
  <si>
    <t>GUARACHI LARICO EMIR HEDIM</t>
  </si>
  <si>
    <t xml:space="preserve">CABA PEÑA GREGORIO ADRIAN </t>
  </si>
  <si>
    <t>LUQUE SANGA NICOLAS RUBEN</t>
  </si>
  <si>
    <t>CALLISAYA CORONEL BELLA LUZ JAEL</t>
  </si>
  <si>
    <t>NINA YAHUINCHA EYDAN ENRRIQUE</t>
  </si>
  <si>
    <t>APAZA DONAYRE LUANA YHAMILE</t>
  </si>
  <si>
    <t>APAZA DONAYRE SHERYL MIKEYLA</t>
  </si>
  <si>
    <t>CORONEL QUISPE IVAN MAURICIO</t>
  </si>
  <si>
    <t>TACACHIRA HERBAS EVELYN LUZ</t>
  </si>
  <si>
    <t>TACACHIRA HERBAS ROSMERY BLANCA</t>
  </si>
  <si>
    <t>CANO RODRIGUEZ NAYELY MASSIEL</t>
  </si>
  <si>
    <t>CANO RODRIGUEZ GRISEL CELESTE</t>
  </si>
  <si>
    <t>CALLEJAS MURGUIA ANDREA AYELEN</t>
  </si>
  <si>
    <t>CALLEJAS MURGUIA EDDY VICTOR</t>
  </si>
  <si>
    <t>CALLEJAS MURGUIA ADELE LAURA</t>
  </si>
  <si>
    <t>OSCORI INTIPAMPA ZARAHI MARIANA</t>
  </si>
  <si>
    <t>GUTIERREZ INTIPAMPA ARIANA ANDREA</t>
  </si>
  <si>
    <t>CHURA QUISPE JHOAN AROLDS</t>
  </si>
  <si>
    <t>TICONA OCHOA ALEJANDRA SHANEL</t>
  </si>
  <si>
    <t>TICONA OCHOA YHAIR MATTIAS</t>
  </si>
  <si>
    <t>TICONA OCHOA ARELY DALMA</t>
  </si>
  <si>
    <t>CORONEL RAMOS MALCOM MAURICIO</t>
  </si>
  <si>
    <t>CALLISAYA CRUZ CAMILA RIZEL</t>
  </si>
  <si>
    <t>GUTIERREZ YUJRA SELENE AMBAR</t>
  </si>
  <si>
    <t>LINARES VILLALBA MAYTE FERNANDA</t>
  </si>
  <si>
    <t>LINARES VILLALBA DAFNE MONTSERRAT</t>
  </si>
  <si>
    <t>LOPEZ LIMA ASBEL</t>
  </si>
  <si>
    <t>CALLISAYA MICHME DEIVI REDIM</t>
  </si>
  <si>
    <t>USNAYO ROJAS HUASCAR CRISTOPHER</t>
  </si>
  <si>
    <t>VARGAS CHUQUIMIA MATEO GAEL</t>
  </si>
  <si>
    <t>LIMA QUISPE SAYUMI SANDYBEL</t>
  </si>
  <si>
    <t>ALARCON RODRIGUEZ MARIANA VALENTINA</t>
  </si>
  <si>
    <t>LOPEZ QUISPE AARON CALEB</t>
  </si>
  <si>
    <t>ZEA ROJAS SCARLETT LUZ</t>
  </si>
  <si>
    <t xml:space="preserve">LIMACHI CHOQUE JULIANA CLARIBEL </t>
  </si>
  <si>
    <t>TAPIA CHOQUE IKER MATEO</t>
  </si>
  <si>
    <t>POMA MAMANI LEO MAX LUIS</t>
  </si>
  <si>
    <t>GUASDE VASQUEZ EMILIANA MARTINA</t>
  </si>
  <si>
    <t>PACO CHOQUE NEYELI BRITANI</t>
  </si>
  <si>
    <t>PACO CHOQUE YERSADEN ALFRED</t>
  </si>
  <si>
    <t>ADUVIRI BARRERA ASHELEM JOHANNA</t>
  </si>
  <si>
    <t>JIMENEZ LLUTA KEVIN ALEXANDER</t>
  </si>
  <si>
    <t>QUENALLATA JUSTO NEYMAR</t>
  </si>
  <si>
    <t>MAMANI PAUCARA NICOLE ALEXANDRA</t>
  </si>
  <si>
    <t>MAMANI PAUCARA DIANARA ALINE</t>
  </si>
  <si>
    <t>ARDORES USNAYO CAMERON GAELLE</t>
  </si>
  <si>
    <t xml:space="preserve">MEDINA CHURA CIELO MICHELLE ALEJANDRA </t>
  </si>
  <si>
    <t>LINARES MEDINA ABAD DYLAN</t>
  </si>
  <si>
    <t>ARNAO CEREZO ALEXANDER ANTONY</t>
  </si>
  <si>
    <t>MAMANI CHOQUE LAURA ANABEL</t>
  </si>
  <si>
    <t>MAMANI CHOQUE DANA PATRICIA</t>
  </si>
  <si>
    <t>YAMPARA PAUCARA ESTEFANI</t>
  </si>
  <si>
    <t>CAPRILES CHAVEZ THAYSHA JHOANNA</t>
  </si>
  <si>
    <t>APAZA ANGULO ARELY BIANCA</t>
  </si>
  <si>
    <t>APAZA ANGULO MATIAS SANTIAGO</t>
  </si>
  <si>
    <t>CALAMANI EULATE HAEL DARLYN</t>
  </si>
  <si>
    <t>EULATE LOZA ALEXIS ELDRIDGE</t>
  </si>
  <si>
    <t>FLORES CHURA ALAIN DEYMAR</t>
  </si>
  <si>
    <t>COLQUE COLQUE MATIAS ANDREE</t>
  </si>
  <si>
    <t>FLORES HUAMPO KENYA DAYANA</t>
  </si>
  <si>
    <t>HUANACU SOTO ZIAD RUY</t>
  </si>
  <si>
    <t xml:space="preserve"> VARGAS MUÑOZ KEYLA </t>
  </si>
  <si>
    <t> AJATA SURCO HELEN JAZMIN</t>
  </si>
  <si>
    <t> AJATA SURCO GERALDINE MERLINDA</t>
  </si>
  <si>
    <t xml:space="preserve">QUISPE HUAYCHO ANA MAYERLYN </t>
  </si>
  <si>
    <t>TICONA HERBAS VICTOR DANIEL</t>
  </si>
  <si>
    <t xml:space="preserve">FLORES HERBAS JUAN JOSE </t>
  </si>
  <si>
    <t>GUACHALLA GUTIERREZ SEBASTIAN EITHAN</t>
  </si>
  <si>
    <t>FLORES RIVAS ALEJANDRA GABRIEL</t>
  </si>
  <si>
    <t>SANCHEZ NAVIA JOSE ANDRES</t>
  </si>
  <si>
    <t xml:space="preserve">TAPIA TUSCO IAN ALEXANDER </t>
  </si>
  <si>
    <t>SEGALES QUISPE MATIAS NICOLAS</t>
  </si>
  <si>
    <t>MAMANI ROJAS VALENTINA AMELIA</t>
  </si>
  <si>
    <t>MAMANI ROJAS TATIANA JAZMIN</t>
  </si>
  <si>
    <t>SILVA CRUZ MACIEL GLORIANA</t>
  </si>
  <si>
    <t>SILVA SAAVEDRA YANDER EZEQUIEL</t>
  </si>
  <si>
    <t xml:space="preserve">AMARU QUISPE ALONSO SANTINO </t>
  </si>
  <si>
    <t>CUTILE VELASCO NADIA ZOE</t>
  </si>
  <si>
    <t>ESPINAL VARGAS JOSE MANUEL</t>
  </si>
  <si>
    <t xml:space="preserve">TORREZ QUISPE MAYRA ADRIANA </t>
  </si>
  <si>
    <t>GONZALES CUSSI BRIANA ARLETH</t>
  </si>
  <si>
    <t>VALENCIA CORONEL DAYNET ALEXANDRA</t>
  </si>
  <si>
    <t>VILLCA TARQUI ISAIAS JOSUE</t>
  </si>
  <si>
    <t>CHARCAS COLQUE ALEJANDRA BRIDGET</t>
  </si>
  <si>
    <t xml:space="preserve">LAURA MAMANI TAHIEL GABRIEL </t>
  </si>
  <si>
    <t>SARZURI AJATA KEYLA MADAY</t>
  </si>
  <si>
    <t>LLUSCO QUISPE ABIGAIL SOFIA</t>
  </si>
  <si>
    <t>QUISPE JIMENEZ SEBASTIAN NICOLAS</t>
  </si>
  <si>
    <t>APAZA CHASQUI ERIK ALVARO</t>
  </si>
  <si>
    <t>HUCHANI MOLLERICONA</t>
  </si>
  <si>
    <t>HUCHANI MOLLERICONA NICOL SARAI</t>
  </si>
  <si>
    <t>QUIROZ VILLCA ADRIANA RUTH</t>
  </si>
  <si>
    <t xml:space="preserve">SALOME MAMANI GROVER EMANUEL </t>
  </si>
  <si>
    <t>ESPINOZA MAMANI MAYRA LORENA</t>
  </si>
  <si>
    <t>ESPINOZA MAMANI DAYRA CAMILA</t>
  </si>
  <si>
    <t xml:space="preserve">PACO HUANCA OLIVER WILMER </t>
  </si>
  <si>
    <t>PACO HUANCA HEYDI MIREYA</t>
  </si>
  <si>
    <t>HUAYLLER PEREZ MARINES</t>
  </si>
  <si>
    <t xml:space="preserve">CALLE LOPEZ AMBAR </t>
  </si>
  <si>
    <t xml:space="preserve">VERA MEDRANO LUCIANA ISABELLA </t>
  </si>
  <si>
    <t>HUANCA NINA HAROLD FABIAN</t>
  </si>
  <si>
    <t>HUANCA NINA JEZIEL ADRIAN</t>
  </si>
  <si>
    <t xml:space="preserve">HUANCA NINA SHAEL ANGELES </t>
  </si>
  <si>
    <t>QUISPE ROJAS YOHANA ANABEL</t>
  </si>
  <si>
    <t xml:space="preserve">AGUILAR RAMOS GUILLERMO JAVIER </t>
  </si>
  <si>
    <t>CORONEL LAZO LEONEL ALEJANDRO</t>
  </si>
  <si>
    <t>CORONEL LAZO ANTHONY JOEL</t>
  </si>
  <si>
    <t>HUANCA AVALOS MATIAS FRANCO</t>
  </si>
  <si>
    <t>HUANCA AVALOS LOGAN SANTIAGO</t>
  </si>
  <si>
    <t>VARGAS MORALES ALEJANDRO JHOSMAR</t>
  </si>
  <si>
    <t>BAUTISTA BLANCO GREIS EVANI</t>
  </si>
  <si>
    <t>BALBOA MAMANI WILDER MAYKOL</t>
  </si>
  <si>
    <t xml:space="preserve">BALBOA MAMANI JOSE ANDRE </t>
  </si>
  <si>
    <t>HUALLPA MAMANI SEBASTIAN MATIAS</t>
  </si>
  <si>
    <t xml:space="preserve">HUALLPA MAMANI ISA ARIANNE </t>
  </si>
  <si>
    <t>QUISPE CALLISAYA DAMARIS DANNA</t>
  </si>
  <si>
    <t>QUISPE CALLISAYA LUCIANA VALENTINA</t>
  </si>
  <si>
    <t>LIMACHI MAMANI HELEN</t>
  </si>
  <si>
    <t>LIMACHI MAMANI JAROL</t>
  </si>
  <si>
    <t>MAMANI PATTY LUIS OSCAR</t>
  </si>
  <si>
    <t>MAMANI PATTY ABRIL MARIA</t>
  </si>
  <si>
    <t>MAMANI PATTY DAVID ELIAS</t>
  </si>
  <si>
    <t>MAMANI PATTY SARA FIDELIA</t>
  </si>
  <si>
    <t xml:space="preserve"> CAHUAYA CHOQUE NAYRA BELEN</t>
  </si>
  <si>
    <t>ALIAGA QUECAÑA LISDEY ROSMERY</t>
  </si>
  <si>
    <t>ORTIZ CHARCA OMAR CALEB</t>
  </si>
  <si>
    <t>QUISPE DELGADO ANAHI NOELIA</t>
  </si>
  <si>
    <t>CABEZAS LECOÑA MAICK WILSON</t>
  </si>
  <si>
    <t>QUISPE CALLATA SEBASTIAN</t>
  </si>
  <si>
    <t xml:space="preserve">RAMIREZ LUCANA EVELYN NAYRA </t>
  </si>
  <si>
    <t>RAMIREZ LUCANA WASCAR RODNY</t>
  </si>
  <si>
    <t>IRIARTE MONTESINOS JOSUE WILSON</t>
  </si>
  <si>
    <t>QUISPE PACARI BLANCA ALEJANDRA</t>
  </si>
  <si>
    <t>QUISPE MAQUERA AMILKAR CAMILO</t>
  </si>
  <si>
    <t>QUISPE MAQUERA CAMILA SHAREL</t>
  </si>
  <si>
    <t>MACHACA MONASTERIOS HENRY CALEB</t>
  </si>
  <si>
    <t>QUISBERT CLAURE KELLY</t>
  </si>
  <si>
    <t>CHOQUE VICENTE AYLEN CAMILA</t>
  </si>
  <si>
    <t>IPORRE USCAMAYTA ANDY FRANKLIN</t>
  </si>
  <si>
    <t xml:space="preserve">ARCE CONDORI JOHAN JESSE </t>
  </si>
  <si>
    <t xml:space="preserve">ARCE CONDORI JAEL ADALYS </t>
  </si>
  <si>
    <t xml:space="preserve">CONDORI RODRIGUEZ MELISA ALISON </t>
  </si>
  <si>
    <t xml:space="preserve">YAPU QUISPE BIANCA </t>
  </si>
  <si>
    <t>MAYDANA POCOMA GIOVANI EDUARDO</t>
  </si>
  <si>
    <t>POCOMA VARGAS JOSUE ARMANDO</t>
  </si>
  <si>
    <t>POCOMA VARGAS JOEL SANTOS</t>
  </si>
  <si>
    <t>TOCO ARUQUIPA JULIA MARIA</t>
  </si>
  <si>
    <t>FLORES QUISBERT ALINNE</t>
  </si>
  <si>
    <t>HUANCA TORREJON BRILSE ASIEL</t>
  </si>
  <si>
    <t>CHOQUEHUANCA SUXO LUIS ALEJANDRO</t>
  </si>
  <si>
    <t>CHOQUEHUANCA SUXO GRECIA</t>
  </si>
  <si>
    <t xml:space="preserve">PASI ACHO GREYS KHATERYN </t>
  </si>
  <si>
    <t>PASI ACHO ITZEL DAYANNA</t>
  </si>
  <si>
    <t>BLADIMIR SEGALES QUISPE</t>
  </si>
  <si>
    <t>SAMIRA AURORA HIDALGO MAMANI</t>
  </si>
  <si>
    <t>CUSI SIRPATICO DAN MISAEL</t>
  </si>
  <si>
    <t>KASA GOMEZ VALENTINA BRIANA</t>
  </si>
  <si>
    <t>KASA GOMEZ MARCO FERNANDO</t>
  </si>
  <si>
    <t>QUISPE PACARI MILENA GUADALUPE</t>
  </si>
  <si>
    <t>VERA MARTINEZ ZOE FERNANDA</t>
  </si>
  <si>
    <t>QUISPE SUAREZ LIAM ALEJANDRO</t>
  </si>
  <si>
    <t xml:space="preserve">QUISBERT JIMENEZ  LIZ SHANTAL </t>
  </si>
  <si>
    <t>HUANCA CASTAÑO ADHEMAR HECTOR</t>
  </si>
  <si>
    <t>HUANCA CASTAÑO LUCIANA MICAELA</t>
  </si>
  <si>
    <t>SEGALES NINA NICOLAS MATIAS</t>
  </si>
  <si>
    <t>ZUÑIGA MAMANI YOELI KIMBERLY</t>
  </si>
  <si>
    <t>ZUÑIGA MAMANI UZIEL DAVID</t>
  </si>
  <si>
    <t>LIMACHI IBAÑEZ ABDIAS ADRIAN</t>
  </si>
  <si>
    <t>LIMACHI IBAÑEZ ARACELY BARENKA</t>
  </si>
  <si>
    <t>SIRPA CALLE SEBASTIAN</t>
  </si>
  <si>
    <t>QUISPE FLORES BELEN ABIGAIL</t>
  </si>
  <si>
    <t>ALBARRACIN CARI ADELYN LOURDES</t>
  </si>
  <si>
    <t>TORREZ QUISPE DAGNER NICOLAS</t>
  </si>
  <si>
    <t>LAZO BETANZOS LIBERTAD MAYERLIN</t>
  </si>
  <si>
    <t>LAZO BETANZOS KATRINA HAZEL</t>
  </si>
  <si>
    <t>ALVAREZ LANCHIPA NICOLE ORIANA</t>
  </si>
  <si>
    <t>MAMANI CARATA ANYELI MARIOLY</t>
  </si>
  <si>
    <t xml:space="preserve">MAMANI CARATA JHOEL ALEXANDER </t>
  </si>
  <si>
    <t>TICONA LEDEZMAYEIMYLETH DAZIEL</t>
  </si>
  <si>
    <t xml:space="preserve">TICONA LEDEZMAONAEL JEHOSUÁ </t>
  </si>
  <si>
    <t>FARFAN BACA MADISON AMARA LIN</t>
  </si>
  <si>
    <t>FARFAN BACA MICAELA LUCIANA</t>
  </si>
  <si>
    <t>FARFAN BACA MIA RAFAELA</t>
  </si>
  <si>
    <t>BLANCO MERLO DARLIN</t>
  </si>
  <si>
    <t>MIRANDA MERLO MASSIEL KATTIA</t>
  </si>
  <si>
    <t>JIMENEZ MALDONADO FABRICIO GADIEL</t>
  </si>
  <si>
    <t>GONZALES LOPEZ FREDDY ALESANDRO</t>
  </si>
  <si>
    <t>ROBLES CANAVIRI JESUS</t>
  </si>
  <si>
    <t>CASTAÑO JUSTO CESAR</t>
  </si>
  <si>
    <t>TICONA RIOS ERICK BRAYAN</t>
  </si>
  <si>
    <t>MAMANI COPANA SIONE YLEN</t>
  </si>
  <si>
    <t>CASANA QUISPE JACIEL GABRIEL</t>
  </si>
  <si>
    <t>CASANA QUISPE PABLO FERNANDO</t>
  </si>
  <si>
    <t>LAZO TOLA LIAN ERIKSEN</t>
  </si>
  <si>
    <t>FLORES HERRERA GABRIEL</t>
  </si>
  <si>
    <t>ARO TARQUI SCARLETT MARIOLI</t>
  </si>
  <si>
    <t>ARO TARQUI DANIEL YESID</t>
  </si>
  <si>
    <t>CUEVAS TARQUI EMILY TAMY</t>
  </si>
  <si>
    <t>ARISPE BARRETO YAZMIN JHENIFER</t>
  </si>
  <si>
    <t>TRUJILLO RODRIGUEZ ISMAEL DAVID</t>
  </si>
  <si>
    <t>MACUCHAPI HUCHANI JESUS MATHYAS</t>
  </si>
  <si>
    <t>N° FAC</t>
  </si>
  <si>
    <t xml:space="preserve">CI / ESTUDIANTE </t>
  </si>
  <si>
    <t xml:space="preserve">NOMBRE ESTUDIANTE </t>
  </si>
  <si>
    <t xml:space="preserve">CURSO </t>
  </si>
  <si>
    <t>NIT/CI</t>
  </si>
  <si>
    <t xml:space="preserve">RAZON SOCIAL </t>
  </si>
  <si>
    <t xml:space="preserve">PRE-INSCRIPCION </t>
  </si>
  <si>
    <t xml:space="preserve">MONTO CANCELA </t>
  </si>
  <si>
    <t xml:space="preserve">SUB TOTAL </t>
  </si>
  <si>
    <t>PAGO</t>
  </si>
  <si>
    <t>TOTAL/SALDO</t>
  </si>
  <si>
    <t>TIPO DE DESCUENTO</t>
  </si>
  <si>
    <t>DESCUENTO</t>
  </si>
  <si>
    <t xml:space="preserve">PLAN MESES </t>
  </si>
  <si>
    <t>CUOTA</t>
  </si>
  <si>
    <t>MESES PAGADOS</t>
  </si>
  <si>
    <t>EST00551</t>
  </si>
  <si>
    <t>Est00550</t>
  </si>
  <si>
    <t>1° SECUNDARIA</t>
  </si>
  <si>
    <t>5° SECUNDARIA</t>
  </si>
  <si>
    <t>4° PRIMARIA</t>
  </si>
  <si>
    <t>INICIAL 1RA. SECCIÓN</t>
  </si>
  <si>
    <t>2° PRIMARIA</t>
  </si>
  <si>
    <t>1° PRIMARIA</t>
  </si>
  <si>
    <t>INICIAL 2DA. SECCIÓN</t>
  </si>
  <si>
    <t>3° PRIMARIA</t>
  </si>
  <si>
    <t>2° SECUNDARIA</t>
  </si>
  <si>
    <t>4° SECUNDARIA</t>
  </si>
  <si>
    <t>6° PRIMARIA</t>
  </si>
  <si>
    <t>6° SECUNDARIA</t>
  </si>
  <si>
    <t>5° PRIMARIA</t>
  </si>
  <si>
    <t>3° SECUNDARIA</t>
  </si>
  <si>
    <t xml:space="preserve">5° PRIMARIA </t>
  </si>
  <si>
    <t xml:space="preserve">3° PRIMARIA </t>
  </si>
  <si>
    <t>KINDER</t>
  </si>
  <si>
    <t xml:space="preserve">6° SECUNDARIA </t>
  </si>
  <si>
    <t xml:space="preserve">6° PRIMARIA </t>
  </si>
  <si>
    <t xml:space="preserve">1° SECUNDARIA </t>
  </si>
  <si>
    <t xml:space="preserve">5° SECUNDARIA </t>
  </si>
  <si>
    <t xml:space="preserve">3° SECUNDARIA </t>
  </si>
  <si>
    <t xml:space="preserve">PRE KINDER </t>
  </si>
  <si>
    <t xml:space="preserve">4° SECUNDARIA </t>
  </si>
  <si>
    <t xml:space="preserve">2° PRIMARIA </t>
  </si>
  <si>
    <t xml:space="preserve">2° SECUNDARIA </t>
  </si>
  <si>
    <t xml:space="preserve">4°SECUNDARIA </t>
  </si>
  <si>
    <t>5 ° SECUNDARIA</t>
  </si>
  <si>
    <t xml:space="preserve">6°SECUNDARIA </t>
  </si>
  <si>
    <t>6°PRIMARIA</t>
  </si>
  <si>
    <t xml:space="preserve">4° PRIMARIA </t>
  </si>
  <si>
    <t xml:space="preserve">6°PRIMARIA </t>
  </si>
  <si>
    <t xml:space="preserve">4° SECENDARIA </t>
  </si>
  <si>
    <t xml:space="preserve">2° secundaria </t>
  </si>
  <si>
    <t xml:space="preserve">1 ° SECUNDARIA </t>
  </si>
  <si>
    <t xml:space="preserve">KINDER </t>
  </si>
  <si>
    <t xml:space="preserve">3° SECUNDARIAN </t>
  </si>
  <si>
    <t xml:space="preserve">1° PRIMARIA </t>
  </si>
  <si>
    <t xml:space="preserve">BELTRAN </t>
  </si>
  <si>
    <t>GOMEZ</t>
  </si>
  <si>
    <t xml:space="preserve">CANAVIRI </t>
  </si>
  <si>
    <t>CHACON</t>
  </si>
  <si>
    <t>DIAZ</t>
  </si>
  <si>
    <t xml:space="preserve">QUISPE </t>
  </si>
  <si>
    <t>COARITE</t>
  </si>
  <si>
    <t>DAVALOS</t>
  </si>
  <si>
    <t xml:space="preserve">ROJAS </t>
  </si>
  <si>
    <t xml:space="preserve">ESCOBAR </t>
  </si>
  <si>
    <t>BUENO</t>
  </si>
  <si>
    <t>FLORES</t>
  </si>
  <si>
    <t xml:space="preserve">FLORES CONDORI </t>
  </si>
  <si>
    <t xml:space="preserve">NELGUARDO </t>
  </si>
  <si>
    <t>MAMANI</t>
  </si>
  <si>
    <t>ZAPATA</t>
  </si>
  <si>
    <t>ALI</t>
  </si>
  <si>
    <t xml:space="preserve">PALMA </t>
  </si>
  <si>
    <t>HUANCA</t>
  </si>
  <si>
    <t>RODRIGUEZ</t>
  </si>
  <si>
    <t>BLANCO</t>
  </si>
  <si>
    <t xml:space="preserve">LLUSCO </t>
  </si>
  <si>
    <t>SALINAS</t>
  </si>
  <si>
    <t xml:space="preserve">MOLLINEDO </t>
  </si>
  <si>
    <t xml:space="preserve">LAIME </t>
  </si>
  <si>
    <t xml:space="preserve">VARGAS </t>
  </si>
  <si>
    <t>TICONA</t>
  </si>
  <si>
    <t>YUJRA</t>
  </si>
  <si>
    <t>GUTIERREZ</t>
  </si>
  <si>
    <t>SUSAN APAZA CHAMBI</t>
  </si>
  <si>
    <t xml:space="preserve">SANGINEZ </t>
  </si>
  <si>
    <t xml:space="preserve">SANGINES </t>
  </si>
  <si>
    <t xml:space="preserve">LIMACHI </t>
  </si>
  <si>
    <t>POMA</t>
  </si>
  <si>
    <t>HUALLPA</t>
  </si>
  <si>
    <t xml:space="preserve">ALANOCA </t>
  </si>
  <si>
    <t>PLATA</t>
  </si>
  <si>
    <t>APAZA</t>
  </si>
  <si>
    <t xml:space="preserve">MURGUIA </t>
  </si>
  <si>
    <t xml:space="preserve">GARCIA </t>
  </si>
  <si>
    <t>LAURA</t>
  </si>
  <si>
    <t xml:space="preserve">ROMERO </t>
  </si>
  <si>
    <t xml:space="preserve">CHIPANA </t>
  </si>
  <si>
    <t xml:space="preserve">FERNANDEZ </t>
  </si>
  <si>
    <t>MOLLE</t>
  </si>
  <si>
    <t>CARHUANI</t>
  </si>
  <si>
    <t>MIRANDA</t>
  </si>
  <si>
    <t>COPANA</t>
  </si>
  <si>
    <t>RAMOS</t>
  </si>
  <si>
    <t>CHURA</t>
  </si>
  <si>
    <t xml:space="preserve">ALIAGA </t>
  </si>
  <si>
    <t xml:space="preserve">CALCINA GROVER </t>
  </si>
  <si>
    <t>QUISPE CHOQUE GENRY</t>
  </si>
  <si>
    <t xml:space="preserve">MAMANI </t>
  </si>
  <si>
    <t xml:space="preserve">MARISOL CHAMBI </t>
  </si>
  <si>
    <t>LOZA</t>
  </si>
  <si>
    <t xml:space="preserve">AMARU </t>
  </si>
  <si>
    <t xml:space="preserve">DANIELA CHAMBI </t>
  </si>
  <si>
    <t xml:space="preserve">COLQUE </t>
  </si>
  <si>
    <t xml:space="preserve">HUANCA </t>
  </si>
  <si>
    <t xml:space="preserve">IAVAN APAZA TOLA </t>
  </si>
  <si>
    <t>HIDALGO</t>
  </si>
  <si>
    <t>LUQUE</t>
  </si>
  <si>
    <t>VELASCO</t>
  </si>
  <si>
    <t>LIMACHI</t>
  </si>
  <si>
    <t>TROCHE</t>
  </si>
  <si>
    <t>MARCONI</t>
  </si>
  <si>
    <t>NAVARRO</t>
  </si>
  <si>
    <t>ALARCON</t>
  </si>
  <si>
    <t>LUNA</t>
  </si>
  <si>
    <t>BARRETO</t>
  </si>
  <si>
    <t>QUISPE</t>
  </si>
  <si>
    <t>CALLE</t>
  </si>
  <si>
    <t>ITAMARI</t>
  </si>
  <si>
    <t>GUARACHI</t>
  </si>
  <si>
    <t>ROJAS</t>
  </si>
  <si>
    <t>ISARAEL JORGE QUISPE ROJAS</t>
  </si>
  <si>
    <t>QUISPE CHIPANA</t>
  </si>
  <si>
    <t>YUJRA ALEJANDRO</t>
  </si>
  <si>
    <t>MENDOZA</t>
  </si>
  <si>
    <t>CHOQUE</t>
  </si>
  <si>
    <t>GONZALEZ</t>
  </si>
  <si>
    <t>PAUCARA</t>
  </si>
  <si>
    <t>ARGANI</t>
  </si>
  <si>
    <t>CONTRERAS</t>
  </si>
  <si>
    <t>SUNTURA</t>
  </si>
  <si>
    <t>QUINTANA</t>
  </si>
  <si>
    <t>ESTACA</t>
  </si>
  <si>
    <t>HUACANI</t>
  </si>
  <si>
    <t>CALCINA GROVER</t>
  </si>
  <si>
    <t>NELGUARDO</t>
  </si>
  <si>
    <t>CONDORI</t>
  </si>
  <si>
    <t>CALLISAYA</t>
  </si>
  <si>
    <t>ARRATIA</t>
  </si>
  <si>
    <t>CRISTIAN ZAPATA CALDERON</t>
  </si>
  <si>
    <t>HUANCO</t>
  </si>
  <si>
    <t>DECOMODA</t>
  </si>
  <si>
    <t>TELLERIA</t>
  </si>
  <si>
    <t>MAMANI CONDORI</t>
  </si>
  <si>
    <t>MARQUEZ</t>
  </si>
  <si>
    <t>MATTA</t>
  </si>
  <si>
    <t>POMA YANARICO</t>
  </si>
  <si>
    <t>ALANOCA</t>
  </si>
  <si>
    <t>INGACOCA SRL</t>
  </si>
  <si>
    <t>CHAVEZ</t>
  </si>
  <si>
    <t>FERNANDEZ</t>
  </si>
  <si>
    <t>MAMANI AVERANGA</t>
  </si>
  <si>
    <t>CHAMBI</t>
  </si>
  <si>
    <t>SEGALES</t>
  </si>
  <si>
    <t>MOYA</t>
  </si>
  <si>
    <t>LIMA</t>
  </si>
  <si>
    <t>TAMBILLO</t>
  </si>
  <si>
    <t>CATACORA</t>
  </si>
  <si>
    <t>MARTINEZ</t>
  </si>
  <si>
    <t>SACA</t>
  </si>
  <si>
    <t>FELIPE MAMANI</t>
  </si>
  <si>
    <t>SALCEDO</t>
  </si>
  <si>
    <t>ROMERO</t>
  </si>
  <si>
    <t>MALDONADO</t>
  </si>
  <si>
    <t>HUARAHUARA</t>
  </si>
  <si>
    <t>CARI</t>
  </si>
  <si>
    <t xml:space="preserve">MAGNE </t>
  </si>
  <si>
    <t>LEDEZMA</t>
  </si>
  <si>
    <t xml:space="preserve">CRISTOBAL MAYTA </t>
  </si>
  <si>
    <t>CARATA</t>
  </si>
  <si>
    <t>SARZURI</t>
  </si>
  <si>
    <t>OBLITAS</t>
  </si>
  <si>
    <t xml:space="preserve">ARRATIA </t>
  </si>
  <si>
    <t xml:space="preserve">LLUCO </t>
  </si>
  <si>
    <t>ACARAPI</t>
  </si>
  <si>
    <t xml:space="preserve">LLUPANQUE </t>
  </si>
  <si>
    <t xml:space="preserve">CASTRO </t>
  </si>
  <si>
    <t xml:space="preserve">VALENCIA </t>
  </si>
  <si>
    <t xml:space="preserve">ANA ROSMERI CONDORI  </t>
  </si>
  <si>
    <t xml:space="preserve">COAQUIRA </t>
  </si>
  <si>
    <t xml:space="preserve">CHOQUE </t>
  </si>
  <si>
    <t xml:space="preserve">MONTAÑO </t>
  </si>
  <si>
    <t xml:space="preserve">FRANZ NELZON TACUÑA </t>
  </si>
  <si>
    <t xml:space="preserve">MONASTERIOS </t>
  </si>
  <si>
    <t>ACEBEY</t>
  </si>
  <si>
    <t xml:space="preserve">CHOQUE QUISPE </t>
  </si>
  <si>
    <t xml:space="preserve">CONDORI </t>
  </si>
  <si>
    <t xml:space="preserve">PATRICIA HUAYGUA </t>
  </si>
  <si>
    <t xml:space="preserve">QUIPE RAMOS </t>
  </si>
  <si>
    <t>PAREDES</t>
  </si>
  <si>
    <t xml:space="preserve">CALLISAYA </t>
  </si>
  <si>
    <t xml:space="preserve">VILLANUEVA </t>
  </si>
  <si>
    <t xml:space="preserve">BLANCO </t>
  </si>
  <si>
    <t>SOTO</t>
  </si>
  <si>
    <t>JUSTO</t>
  </si>
  <si>
    <t>MORALES</t>
  </si>
  <si>
    <t>CADENA</t>
  </si>
  <si>
    <t>ALCAZAR</t>
  </si>
  <si>
    <t>RIOS</t>
  </si>
  <si>
    <t>QUELALI</t>
  </si>
  <si>
    <t>MARITZA GUARACHI TERAN</t>
  </si>
  <si>
    <t>YANAPA</t>
  </si>
  <si>
    <t>BERTHA BLANCO</t>
  </si>
  <si>
    <t>JIMENEZ</t>
  </si>
  <si>
    <t>SANTOS</t>
  </si>
  <si>
    <t>CARRILLO</t>
  </si>
  <si>
    <t>DURAN</t>
  </si>
  <si>
    <t>RENE CHALCO VELASCO</t>
  </si>
  <si>
    <t>DE LA CRUZ</t>
  </si>
  <si>
    <t>HUANCA QUISBERT</t>
  </si>
  <si>
    <t>DECOMODA SRL.</t>
  </si>
  <si>
    <t>MOLLISACA</t>
  </si>
  <si>
    <t>MASCO</t>
  </si>
  <si>
    <t>HUACOTO</t>
  </si>
  <si>
    <t>TORREZ</t>
  </si>
  <si>
    <t xml:space="preserve">COLQUEHUANCA </t>
  </si>
  <si>
    <t xml:space="preserve">RONDO </t>
  </si>
  <si>
    <t>RAMIREZ</t>
  </si>
  <si>
    <t xml:space="preserve">COCARICO </t>
  </si>
  <si>
    <t>CORI</t>
  </si>
  <si>
    <t>VARGAS</t>
  </si>
  <si>
    <t xml:space="preserve">TICONA </t>
  </si>
  <si>
    <t>PATTY</t>
  </si>
  <si>
    <t xml:space="preserve">FERNANDO GARFIAS </t>
  </si>
  <si>
    <t xml:space="preserve">CUTIPA </t>
  </si>
  <si>
    <t>CHOQUEHUANCA</t>
  </si>
  <si>
    <t>ARO</t>
  </si>
  <si>
    <t>GUTIERRZ</t>
  </si>
  <si>
    <t xml:space="preserve">LARICO </t>
  </si>
  <si>
    <t>PEÑA</t>
  </si>
  <si>
    <t xml:space="preserve">LUQUE </t>
  </si>
  <si>
    <t>CORONEL</t>
  </si>
  <si>
    <t>NINA</t>
  </si>
  <si>
    <t>DONAYRE CHAVEZ</t>
  </si>
  <si>
    <t>TACACHIRA</t>
  </si>
  <si>
    <t>CANO</t>
  </si>
  <si>
    <t>MURGUIA</t>
  </si>
  <si>
    <t>OCHOA</t>
  </si>
  <si>
    <t>CRUZ</t>
  </si>
  <si>
    <t>LINARES</t>
  </si>
  <si>
    <t>MULLISACA</t>
  </si>
  <si>
    <t>MICHME</t>
  </si>
  <si>
    <t>USNAYO</t>
  </si>
  <si>
    <t>CHUQUIMIA</t>
  </si>
  <si>
    <t>LOPEZ</t>
  </si>
  <si>
    <t xml:space="preserve">TAPIA </t>
  </si>
  <si>
    <t>VASQUEZ</t>
  </si>
  <si>
    <t xml:space="preserve">PACO </t>
  </si>
  <si>
    <t xml:space="preserve">BARRERA </t>
  </si>
  <si>
    <t xml:space="preserve">ANTONIO JUSTO </t>
  </si>
  <si>
    <t xml:space="preserve">USNAYO </t>
  </si>
  <si>
    <t xml:space="preserve">CHURA </t>
  </si>
  <si>
    <t>CEREZO</t>
  </si>
  <si>
    <t xml:space="preserve">RENE ROLANDO </t>
  </si>
  <si>
    <t xml:space="preserve">EULETA </t>
  </si>
  <si>
    <t xml:space="preserve">HUAMPO </t>
  </si>
  <si>
    <t>HUANACO</t>
  </si>
  <si>
    <t>MUÑOZ</t>
  </si>
  <si>
    <t xml:space="preserve">SURCO </t>
  </si>
  <si>
    <t xml:space="preserve">QUIPE </t>
  </si>
  <si>
    <t xml:space="preserve">NAVIA </t>
  </si>
  <si>
    <t>SAAVEDRA</t>
  </si>
  <si>
    <t xml:space="preserve">QUISBERT </t>
  </si>
  <si>
    <t xml:space="preserve">ESPINAL </t>
  </si>
  <si>
    <t>TRASPORTE GHANIMAS SRL</t>
  </si>
  <si>
    <t xml:space="preserve">TARQUI </t>
  </si>
  <si>
    <t xml:space="preserve">MAMANI CHIPANA </t>
  </si>
  <si>
    <t xml:space="preserve">AJATA </t>
  </si>
  <si>
    <t xml:space="preserve">CHASQUI </t>
  </si>
  <si>
    <t xml:space="preserve">MOLLERICONA </t>
  </si>
  <si>
    <t>QUIROZ</t>
  </si>
  <si>
    <t xml:space="preserve">SALOME </t>
  </si>
  <si>
    <t>ESPINOZA</t>
  </si>
  <si>
    <t>TRANS JAYEGI SRL</t>
  </si>
  <si>
    <t>PEREZ</t>
  </si>
  <si>
    <t>ANDIA</t>
  </si>
  <si>
    <t xml:space="preserve">BETTY LAZO </t>
  </si>
  <si>
    <t>HUANCA CRUZ</t>
  </si>
  <si>
    <t xml:space="preserve">MORALES </t>
  </si>
  <si>
    <t xml:space="preserve">BAUTISTA </t>
  </si>
  <si>
    <t>CAHUAYA</t>
  </si>
  <si>
    <t xml:space="preserve">AURELIO ALIAGA </t>
  </si>
  <si>
    <t>CHARCA</t>
  </si>
  <si>
    <t xml:space="preserve">DELGADO </t>
  </si>
  <si>
    <t xml:space="preserve">LECOÑA </t>
  </si>
  <si>
    <t xml:space="preserve">CALLATA </t>
  </si>
  <si>
    <t>MONTECINOS MEDINA</t>
  </si>
  <si>
    <t>ALFONSO QUISPE CALLATA</t>
  </si>
  <si>
    <t>QUISBERT</t>
  </si>
  <si>
    <t>IPORRE PALENQUE</t>
  </si>
  <si>
    <t>JUAN MOISES ARCE AGAPITO</t>
  </si>
  <si>
    <t>ELSA RODRIGUEZ</t>
  </si>
  <si>
    <t>YAPU</t>
  </si>
  <si>
    <t xml:space="preserve">POCOMA </t>
  </si>
  <si>
    <t xml:space="preserve">POCOMA VARGAS </t>
  </si>
  <si>
    <t xml:space="preserve">ARUQUIPA </t>
  </si>
  <si>
    <t>TORREJON</t>
  </si>
  <si>
    <t xml:space="preserve">LUIS CHOQUEHUANCA NINA </t>
  </si>
  <si>
    <t xml:space="preserve">SONIA ACHO </t>
  </si>
  <si>
    <t>CUSI</t>
  </si>
  <si>
    <t>KASA</t>
  </si>
  <si>
    <t xml:space="preserve">QUISBERT POPE </t>
  </si>
  <si>
    <t xml:space="preserve">ZUÑIGA </t>
  </si>
  <si>
    <t>VILLACORTA</t>
  </si>
  <si>
    <t xml:space="preserve">SIRPA </t>
  </si>
  <si>
    <t xml:space="preserve">LAZO </t>
  </si>
  <si>
    <t xml:space="preserve">LANCHIPA </t>
  </si>
  <si>
    <t xml:space="preserve">2° </t>
  </si>
  <si>
    <t xml:space="preserve">2°SECUNDARIA </t>
  </si>
  <si>
    <t xml:space="preserve">3°PRIMARIA </t>
  </si>
  <si>
    <t xml:space="preserve">4°PRIMARIA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</si>
</sst>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575962"/>
      <name val="Lato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1" fillId="0" borderId="3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5" fillId="3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5" fillId="2" borderId="4" xfId="0" applyFont="1" applyFill="1" applyBorder="1"/>
    <xf numFmtId="9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4103-B4C0-4772-BC77-2ACE07DFF9CF}">
  <dimension ref="B1:V580"/>
  <sheetViews>
    <sheetView tabSelected="1" topLeftCell="E56" zoomScaleNormal="100" workbookViewId="0">
      <selection activeCell="L70" sqref="L70"/>
    </sheetView>
  </sheetViews>
  <sheetFormatPr baseColWidth="10" defaultRowHeight="15" x14ac:dyDescent="0.25"/>
  <cols>
    <col min="2" max="2" width="9.7109375" bestFit="1" customWidth="1"/>
    <col min="3" max="3" width="14.28515625" style="40" customWidth="1"/>
    <col min="4" max="4" width="64.7109375" customWidth="1"/>
    <col min="5" max="5" width="25" customWidth="1"/>
    <col min="6" max="7" width="18.140625" customWidth="1"/>
    <col min="8" max="8" width="11.140625" customWidth="1"/>
    <col min="10" max="11" width="11.140625" customWidth="1"/>
    <col min="13" max="14" width="11.140625" customWidth="1"/>
  </cols>
  <sheetData>
    <row r="1" spans="2:22" ht="45" x14ac:dyDescent="0.25">
      <c r="B1" s="13" t="s">
        <v>574</v>
      </c>
      <c r="C1" s="14" t="s">
        <v>575</v>
      </c>
      <c r="D1" s="14" t="s">
        <v>576</v>
      </c>
      <c r="E1" s="15" t="s">
        <v>577</v>
      </c>
      <c r="F1" s="15" t="s">
        <v>578</v>
      </c>
      <c r="G1" s="15" t="s">
        <v>579</v>
      </c>
      <c r="H1" s="15" t="s">
        <v>580</v>
      </c>
      <c r="I1" s="15" t="s">
        <v>581</v>
      </c>
      <c r="J1" s="15" t="s">
        <v>582</v>
      </c>
      <c r="K1" s="15" t="s">
        <v>583</v>
      </c>
      <c r="L1" s="16" t="s">
        <v>584</v>
      </c>
      <c r="M1" s="17" t="s">
        <v>585</v>
      </c>
      <c r="N1" s="17" t="s">
        <v>586</v>
      </c>
      <c r="O1" s="17" t="s">
        <v>587</v>
      </c>
      <c r="P1" s="18" t="s">
        <v>588</v>
      </c>
      <c r="Q1" s="17" t="s">
        <v>589</v>
      </c>
    </row>
    <row r="2" spans="2:22" x14ac:dyDescent="0.25">
      <c r="B2" s="25"/>
      <c r="C2" s="19"/>
      <c r="D2" s="19"/>
      <c r="E2" s="20"/>
      <c r="F2" s="20"/>
      <c r="G2" s="20"/>
      <c r="H2" s="27">
        <v>300</v>
      </c>
      <c r="I2" s="26">
        <v>5000</v>
      </c>
      <c r="J2" s="27">
        <f>I2-H2-N2</f>
        <v>4450</v>
      </c>
      <c r="K2" s="28">
        <v>4750</v>
      </c>
      <c r="L2" s="29">
        <f>(I2-N2)-K2</f>
        <v>0</v>
      </c>
      <c r="M2" s="30">
        <v>0.05</v>
      </c>
      <c r="N2" s="31">
        <f>I2*M2</f>
        <v>250</v>
      </c>
      <c r="O2" s="32">
        <v>10</v>
      </c>
      <c r="P2" s="29">
        <f>J2/O2</f>
        <v>445</v>
      </c>
      <c r="Q2" s="31">
        <f>INT(K2/P2)</f>
        <v>10</v>
      </c>
    </row>
    <row r="3" spans="2:22" x14ac:dyDescent="0.25">
      <c r="B3" s="1">
        <v>1</v>
      </c>
      <c r="C3" s="7">
        <v>16488789</v>
      </c>
      <c r="D3" s="2" t="s">
        <v>0</v>
      </c>
      <c r="E3" s="2" t="s">
        <v>598</v>
      </c>
      <c r="F3" s="2">
        <v>6160188</v>
      </c>
      <c r="G3" s="2" t="s">
        <v>630</v>
      </c>
      <c r="H3" s="5">
        <v>300</v>
      </c>
      <c r="I3">
        <v>5000</v>
      </c>
      <c r="J3" s="27">
        <f t="shared" ref="J3:J66" si="0">I3-H3-N3</f>
        <v>4450</v>
      </c>
      <c r="K3" s="3">
        <v>4750</v>
      </c>
      <c r="L3" s="29">
        <f t="shared" ref="L3:L66" si="1">(I3-N3)-K3</f>
        <v>0</v>
      </c>
      <c r="M3" s="30">
        <v>0.05</v>
      </c>
      <c r="N3" s="31">
        <f t="shared" ref="N3:N66" si="2">I3*M3</f>
        <v>250</v>
      </c>
      <c r="O3" s="32">
        <v>10</v>
      </c>
      <c r="P3" s="29">
        <f t="shared" ref="P3:P66" si="3">J3/O3</f>
        <v>445</v>
      </c>
      <c r="Q3" s="31">
        <f t="shared" ref="Q3:Q66" si="4">INT(K3/P3)</f>
        <v>10</v>
      </c>
      <c r="T3" s="3">
        <v>4750</v>
      </c>
      <c r="U3" s="4">
        <v>4450</v>
      </c>
      <c r="V3" s="4">
        <f t="shared" ref="V3:V34" si="5">J3-H3-U3</f>
        <v>-300</v>
      </c>
    </row>
    <row r="4" spans="2:22" x14ac:dyDescent="0.25">
      <c r="B4" s="1">
        <v>2</v>
      </c>
      <c r="C4" s="7">
        <v>18006058</v>
      </c>
      <c r="D4" s="2" t="s">
        <v>1</v>
      </c>
      <c r="E4" s="2" t="s">
        <v>595</v>
      </c>
      <c r="F4" s="2">
        <v>8352204</v>
      </c>
      <c r="G4" s="2" t="s">
        <v>631</v>
      </c>
      <c r="H4" s="5">
        <v>300</v>
      </c>
      <c r="I4">
        <v>5000</v>
      </c>
      <c r="J4" s="27">
        <f t="shared" si="0"/>
        <v>4700</v>
      </c>
      <c r="K4" s="3">
        <v>500</v>
      </c>
      <c r="L4" s="29">
        <f t="shared" si="1"/>
        <v>4500</v>
      </c>
      <c r="M4" s="30">
        <v>0</v>
      </c>
      <c r="N4" s="31">
        <f t="shared" si="2"/>
        <v>0</v>
      </c>
      <c r="O4" s="32">
        <v>10</v>
      </c>
      <c r="P4" s="29">
        <f t="shared" si="3"/>
        <v>470</v>
      </c>
      <c r="Q4" s="31">
        <f t="shared" si="4"/>
        <v>1</v>
      </c>
      <c r="T4" s="3">
        <v>500</v>
      </c>
      <c r="U4" s="4"/>
      <c r="V4" s="4">
        <f t="shared" si="5"/>
        <v>4400</v>
      </c>
    </row>
    <row r="5" spans="2:22" x14ac:dyDescent="0.25">
      <c r="B5" s="1">
        <v>3</v>
      </c>
      <c r="C5" s="7">
        <v>13843883</v>
      </c>
      <c r="D5" s="2" t="s">
        <v>560</v>
      </c>
      <c r="E5" s="2" t="s">
        <v>592</v>
      </c>
      <c r="F5" s="2">
        <v>6082955</v>
      </c>
      <c r="G5" s="2" t="s">
        <v>632</v>
      </c>
      <c r="H5" s="5">
        <v>300</v>
      </c>
      <c r="I5">
        <v>5000</v>
      </c>
      <c r="J5" s="27">
        <f t="shared" si="0"/>
        <v>4700</v>
      </c>
      <c r="K5" s="3">
        <v>500</v>
      </c>
      <c r="L5" s="29">
        <f t="shared" si="1"/>
        <v>4500</v>
      </c>
      <c r="M5" s="30">
        <v>0</v>
      </c>
      <c r="N5" s="31">
        <f t="shared" si="2"/>
        <v>0</v>
      </c>
      <c r="O5" s="32">
        <v>10</v>
      </c>
      <c r="P5" s="29">
        <f t="shared" si="3"/>
        <v>470</v>
      </c>
      <c r="Q5" s="31">
        <f t="shared" si="4"/>
        <v>1</v>
      </c>
      <c r="T5" s="3">
        <v>500</v>
      </c>
      <c r="U5" s="4"/>
      <c r="V5" s="4">
        <f t="shared" si="5"/>
        <v>4400</v>
      </c>
    </row>
    <row r="6" spans="2:22" x14ac:dyDescent="0.25">
      <c r="B6" s="1">
        <v>4</v>
      </c>
      <c r="C6" s="7">
        <v>16343641</v>
      </c>
      <c r="D6" s="2" t="s">
        <v>2</v>
      </c>
      <c r="E6" s="2" t="s">
        <v>592</v>
      </c>
      <c r="F6" s="2">
        <v>6797439</v>
      </c>
      <c r="G6" s="2" t="s">
        <v>633</v>
      </c>
      <c r="H6" s="5">
        <v>300</v>
      </c>
      <c r="I6">
        <v>5000</v>
      </c>
      <c r="J6" s="27">
        <f t="shared" si="0"/>
        <v>4700</v>
      </c>
      <c r="K6" s="3">
        <v>500</v>
      </c>
      <c r="L6" s="29">
        <f t="shared" si="1"/>
        <v>4500</v>
      </c>
      <c r="M6" s="30">
        <v>0</v>
      </c>
      <c r="N6" s="31">
        <f t="shared" si="2"/>
        <v>0</v>
      </c>
      <c r="O6" s="32">
        <v>10</v>
      </c>
      <c r="P6" s="29">
        <f t="shared" si="3"/>
        <v>470</v>
      </c>
      <c r="Q6" s="31">
        <f t="shared" si="4"/>
        <v>1</v>
      </c>
      <c r="T6" s="3">
        <v>500</v>
      </c>
      <c r="U6" s="4"/>
      <c r="V6" s="4">
        <f t="shared" si="5"/>
        <v>4400</v>
      </c>
    </row>
    <row r="7" spans="2:22" x14ac:dyDescent="0.25">
      <c r="B7" s="1">
        <v>5</v>
      </c>
      <c r="C7" s="7">
        <v>14557083</v>
      </c>
      <c r="D7" s="2" t="s">
        <v>3</v>
      </c>
      <c r="E7" s="2" t="s">
        <v>604</v>
      </c>
      <c r="F7" s="2">
        <v>3499704</v>
      </c>
      <c r="G7" s="2" t="s">
        <v>634</v>
      </c>
      <c r="H7" s="5">
        <v>300</v>
      </c>
      <c r="I7">
        <v>5000</v>
      </c>
      <c r="J7" s="27">
        <f t="shared" si="0"/>
        <v>4700</v>
      </c>
      <c r="K7" s="3">
        <v>500</v>
      </c>
      <c r="L7" s="29">
        <f t="shared" si="1"/>
        <v>4500</v>
      </c>
      <c r="M7" s="30">
        <v>0</v>
      </c>
      <c r="N7" s="31">
        <f t="shared" si="2"/>
        <v>0</v>
      </c>
      <c r="O7" s="32">
        <v>10</v>
      </c>
      <c r="P7" s="29">
        <f t="shared" si="3"/>
        <v>470</v>
      </c>
      <c r="Q7" s="31">
        <f t="shared" si="4"/>
        <v>1</v>
      </c>
      <c r="T7" s="3">
        <v>500</v>
      </c>
      <c r="U7" s="4"/>
      <c r="V7" s="4">
        <f t="shared" si="5"/>
        <v>4400</v>
      </c>
    </row>
    <row r="8" spans="2:22" x14ac:dyDescent="0.25">
      <c r="B8" s="1">
        <v>5</v>
      </c>
      <c r="C8" s="7">
        <v>16621824</v>
      </c>
      <c r="D8" s="2" t="s">
        <v>4</v>
      </c>
      <c r="E8" s="2" t="s">
        <v>598</v>
      </c>
      <c r="F8" s="2">
        <v>3499704</v>
      </c>
      <c r="G8" s="2" t="s">
        <v>634</v>
      </c>
      <c r="H8" s="5">
        <v>300</v>
      </c>
      <c r="I8">
        <v>5000</v>
      </c>
      <c r="J8" s="27">
        <f t="shared" si="0"/>
        <v>4450</v>
      </c>
      <c r="K8" s="3">
        <v>475</v>
      </c>
      <c r="L8" s="29">
        <f t="shared" si="1"/>
        <v>4275</v>
      </c>
      <c r="M8" s="30">
        <v>0.05</v>
      </c>
      <c r="N8" s="31">
        <f t="shared" si="2"/>
        <v>250</v>
      </c>
      <c r="O8" s="32">
        <v>10</v>
      </c>
      <c r="P8" s="29">
        <f t="shared" si="3"/>
        <v>445</v>
      </c>
      <c r="Q8" s="31">
        <f t="shared" si="4"/>
        <v>1</v>
      </c>
      <c r="T8" s="3">
        <v>475</v>
      </c>
      <c r="U8" s="4"/>
      <c r="V8" s="4">
        <f t="shared" si="5"/>
        <v>4150</v>
      </c>
    </row>
    <row r="9" spans="2:22" x14ac:dyDescent="0.25">
      <c r="B9" s="1">
        <v>6</v>
      </c>
      <c r="C9" s="7">
        <v>16448101</v>
      </c>
      <c r="D9" s="2" t="s">
        <v>5</v>
      </c>
      <c r="E9" s="2" t="s">
        <v>597</v>
      </c>
      <c r="F9" s="2">
        <v>7027063</v>
      </c>
      <c r="G9" s="2" t="s">
        <v>635</v>
      </c>
      <c r="H9" s="5">
        <v>300</v>
      </c>
      <c r="I9">
        <v>5000</v>
      </c>
      <c r="J9" s="27">
        <f t="shared" si="0"/>
        <v>4700</v>
      </c>
      <c r="K9" s="3">
        <v>500</v>
      </c>
      <c r="L9" s="29">
        <f t="shared" si="1"/>
        <v>4500</v>
      </c>
      <c r="M9" s="30">
        <v>0</v>
      </c>
      <c r="N9" s="31">
        <f t="shared" si="2"/>
        <v>0</v>
      </c>
      <c r="O9" s="32">
        <v>10</v>
      </c>
      <c r="P9" s="29">
        <f t="shared" si="3"/>
        <v>470</v>
      </c>
      <c r="Q9" s="31">
        <f t="shared" si="4"/>
        <v>1</v>
      </c>
      <c r="T9" s="3">
        <v>500</v>
      </c>
      <c r="U9" s="4"/>
      <c r="V9" s="4">
        <f t="shared" si="5"/>
        <v>4400</v>
      </c>
    </row>
    <row r="10" spans="2:22" x14ac:dyDescent="0.25">
      <c r="B10" s="1">
        <v>7</v>
      </c>
      <c r="C10" s="7">
        <v>15586465</v>
      </c>
      <c r="D10" s="2" t="s">
        <v>6</v>
      </c>
      <c r="E10" s="2" t="s">
        <v>601</v>
      </c>
      <c r="F10" s="2">
        <v>4998737</v>
      </c>
      <c r="G10" s="2" t="s">
        <v>636</v>
      </c>
      <c r="H10" s="5">
        <v>300</v>
      </c>
      <c r="I10">
        <v>5000</v>
      </c>
      <c r="J10" s="27">
        <f t="shared" si="0"/>
        <v>4700</v>
      </c>
      <c r="K10" s="3">
        <v>500</v>
      </c>
      <c r="L10" s="29">
        <f t="shared" si="1"/>
        <v>4500</v>
      </c>
      <c r="M10" s="30">
        <v>0</v>
      </c>
      <c r="N10" s="31">
        <f t="shared" si="2"/>
        <v>0</v>
      </c>
      <c r="O10" s="32">
        <v>10</v>
      </c>
      <c r="P10" s="29">
        <f t="shared" si="3"/>
        <v>470</v>
      </c>
      <c r="Q10" s="31">
        <f t="shared" si="4"/>
        <v>1</v>
      </c>
      <c r="T10" s="3">
        <v>500</v>
      </c>
      <c r="U10" s="4"/>
      <c r="V10" s="4">
        <f t="shared" si="5"/>
        <v>4400</v>
      </c>
    </row>
    <row r="11" spans="2:22" x14ac:dyDescent="0.25">
      <c r="B11" s="1">
        <v>7</v>
      </c>
      <c r="C11" s="7">
        <v>17117224</v>
      </c>
      <c r="D11" s="2" t="s">
        <v>7</v>
      </c>
      <c r="E11" s="2" t="s">
        <v>595</v>
      </c>
      <c r="F11" s="2">
        <v>4998737</v>
      </c>
      <c r="G11" s="2" t="s">
        <v>636</v>
      </c>
      <c r="H11" s="5">
        <v>300</v>
      </c>
      <c r="I11">
        <v>5000</v>
      </c>
      <c r="J11" s="27">
        <f t="shared" si="0"/>
        <v>4450</v>
      </c>
      <c r="K11" s="3">
        <v>475</v>
      </c>
      <c r="L11" s="29">
        <f t="shared" si="1"/>
        <v>4275</v>
      </c>
      <c r="M11" s="30">
        <v>0.05</v>
      </c>
      <c r="N11" s="31">
        <f t="shared" si="2"/>
        <v>250</v>
      </c>
      <c r="O11" s="32">
        <v>10</v>
      </c>
      <c r="P11" s="29">
        <f t="shared" si="3"/>
        <v>445</v>
      </c>
      <c r="Q11" s="31">
        <f t="shared" si="4"/>
        <v>1</v>
      </c>
      <c r="T11" s="3">
        <v>475</v>
      </c>
      <c r="U11" s="4"/>
      <c r="V11" s="4">
        <f t="shared" si="5"/>
        <v>4150</v>
      </c>
    </row>
    <row r="12" spans="2:22" x14ac:dyDescent="0.25">
      <c r="B12" s="1">
        <v>8</v>
      </c>
      <c r="C12" s="7">
        <v>17045457</v>
      </c>
      <c r="D12" s="2" t="s">
        <v>8</v>
      </c>
      <c r="E12" s="2" t="s">
        <v>595</v>
      </c>
      <c r="F12" s="2">
        <v>6948757</v>
      </c>
      <c r="G12" s="2" t="s">
        <v>637</v>
      </c>
      <c r="H12" s="5">
        <v>300</v>
      </c>
      <c r="I12">
        <v>5000</v>
      </c>
      <c r="J12" s="27">
        <f t="shared" si="0"/>
        <v>4700</v>
      </c>
      <c r="K12" s="3">
        <v>500</v>
      </c>
      <c r="L12" s="29">
        <f t="shared" si="1"/>
        <v>4500</v>
      </c>
      <c r="M12" s="30">
        <v>0</v>
      </c>
      <c r="N12" s="31">
        <f t="shared" si="2"/>
        <v>0</v>
      </c>
      <c r="O12" s="32">
        <v>10</v>
      </c>
      <c r="P12" s="29">
        <f t="shared" si="3"/>
        <v>470</v>
      </c>
      <c r="Q12" s="31">
        <f t="shared" si="4"/>
        <v>1</v>
      </c>
      <c r="T12" s="3">
        <v>500</v>
      </c>
      <c r="U12" s="4">
        <v>200</v>
      </c>
      <c r="V12" s="4">
        <f t="shared" si="5"/>
        <v>4200</v>
      </c>
    </row>
    <row r="13" spans="2:22" x14ac:dyDescent="0.25">
      <c r="B13" s="1">
        <v>9</v>
      </c>
      <c r="C13" s="7">
        <v>13547678</v>
      </c>
      <c r="D13" s="2" t="s">
        <v>9</v>
      </c>
      <c r="E13" s="2" t="s">
        <v>605</v>
      </c>
      <c r="F13" s="2">
        <v>6176086</v>
      </c>
      <c r="G13" s="2" t="s">
        <v>638</v>
      </c>
      <c r="H13" s="5">
        <v>300</v>
      </c>
      <c r="I13">
        <v>5000</v>
      </c>
      <c r="J13" s="27">
        <f t="shared" si="0"/>
        <v>4700</v>
      </c>
      <c r="K13" s="3">
        <v>500</v>
      </c>
      <c r="L13" s="29">
        <f t="shared" si="1"/>
        <v>4500</v>
      </c>
      <c r="M13" s="30">
        <v>0</v>
      </c>
      <c r="N13" s="31">
        <f t="shared" si="2"/>
        <v>0</v>
      </c>
      <c r="O13" s="32">
        <v>10</v>
      </c>
      <c r="P13" s="29">
        <f t="shared" si="3"/>
        <v>470</v>
      </c>
      <c r="Q13" s="31">
        <f t="shared" si="4"/>
        <v>1</v>
      </c>
      <c r="T13" s="3">
        <v>500</v>
      </c>
      <c r="U13" s="4"/>
      <c r="V13" s="4">
        <f t="shared" si="5"/>
        <v>4400</v>
      </c>
    </row>
    <row r="14" spans="2:22" x14ac:dyDescent="0.25">
      <c r="B14" s="1">
        <v>9</v>
      </c>
      <c r="C14" s="7">
        <v>16389343</v>
      </c>
      <c r="D14" s="2" t="s">
        <v>10</v>
      </c>
      <c r="E14" s="2" t="s">
        <v>597</v>
      </c>
      <c r="F14" s="2">
        <v>6176086</v>
      </c>
      <c r="G14" s="2" t="s">
        <v>638</v>
      </c>
      <c r="H14" s="5">
        <v>300</v>
      </c>
      <c r="I14">
        <v>5000</v>
      </c>
      <c r="J14" s="27">
        <f t="shared" si="0"/>
        <v>4450</v>
      </c>
      <c r="K14" s="3">
        <v>475</v>
      </c>
      <c r="L14" s="29">
        <f t="shared" si="1"/>
        <v>4275</v>
      </c>
      <c r="M14" s="30">
        <v>0.05</v>
      </c>
      <c r="N14" s="31">
        <f t="shared" si="2"/>
        <v>250</v>
      </c>
      <c r="O14" s="32">
        <v>10</v>
      </c>
      <c r="P14" s="29">
        <f t="shared" si="3"/>
        <v>445</v>
      </c>
      <c r="Q14" s="31">
        <f t="shared" si="4"/>
        <v>1</v>
      </c>
      <c r="T14" s="3">
        <v>475</v>
      </c>
      <c r="U14" s="4"/>
      <c r="V14" s="4">
        <f t="shared" si="5"/>
        <v>4150</v>
      </c>
    </row>
    <row r="15" spans="2:22" x14ac:dyDescent="0.25">
      <c r="B15" s="1">
        <v>10</v>
      </c>
      <c r="C15" s="7">
        <v>16253673</v>
      </c>
      <c r="D15" s="2" t="s">
        <v>11</v>
      </c>
      <c r="E15" s="2" t="s">
        <v>597</v>
      </c>
      <c r="F15" s="2">
        <v>7027846</v>
      </c>
      <c r="G15" s="2" t="s">
        <v>639</v>
      </c>
      <c r="H15" s="5">
        <v>300</v>
      </c>
      <c r="I15">
        <v>5000</v>
      </c>
      <c r="J15" s="27">
        <f t="shared" si="0"/>
        <v>4450</v>
      </c>
      <c r="K15" s="3">
        <v>4750</v>
      </c>
      <c r="L15" s="29">
        <f t="shared" si="1"/>
        <v>0</v>
      </c>
      <c r="M15" s="30">
        <v>0.05</v>
      </c>
      <c r="N15" s="31">
        <f t="shared" si="2"/>
        <v>250</v>
      </c>
      <c r="O15" s="32">
        <v>10</v>
      </c>
      <c r="P15" s="29">
        <f t="shared" si="3"/>
        <v>445</v>
      </c>
      <c r="Q15" s="31">
        <f t="shared" si="4"/>
        <v>10</v>
      </c>
      <c r="T15" s="3">
        <v>4750</v>
      </c>
      <c r="U15" s="4"/>
      <c r="V15" s="4">
        <f t="shared" si="5"/>
        <v>4150</v>
      </c>
    </row>
    <row r="16" spans="2:22" x14ac:dyDescent="0.25">
      <c r="B16" s="1">
        <v>11</v>
      </c>
      <c r="C16" s="7">
        <v>14782532</v>
      </c>
      <c r="D16" s="2" t="s">
        <v>12</v>
      </c>
      <c r="E16" s="2" t="s">
        <v>604</v>
      </c>
      <c r="F16" s="2">
        <v>9232888</v>
      </c>
      <c r="G16" s="2" t="s">
        <v>640</v>
      </c>
      <c r="H16" s="5"/>
      <c r="I16">
        <v>5000</v>
      </c>
      <c r="J16" s="27">
        <f t="shared" si="0"/>
        <v>4750</v>
      </c>
      <c r="K16" s="3">
        <v>4750</v>
      </c>
      <c r="L16" s="29">
        <f t="shared" si="1"/>
        <v>0</v>
      </c>
      <c r="M16" s="30">
        <v>0.05</v>
      </c>
      <c r="N16" s="31">
        <f t="shared" si="2"/>
        <v>250</v>
      </c>
      <c r="O16" s="32">
        <v>10</v>
      </c>
      <c r="P16" s="29">
        <f t="shared" si="3"/>
        <v>475</v>
      </c>
      <c r="Q16" s="31">
        <f t="shared" si="4"/>
        <v>10</v>
      </c>
      <c r="T16" s="3">
        <v>4750</v>
      </c>
      <c r="U16" s="4"/>
      <c r="V16" s="4">
        <f t="shared" si="5"/>
        <v>4750</v>
      </c>
    </row>
    <row r="17" spans="2:22" x14ac:dyDescent="0.25">
      <c r="B17" s="1">
        <v>11</v>
      </c>
      <c r="C17" s="7">
        <v>16785102</v>
      </c>
      <c r="D17" s="2" t="s">
        <v>13</v>
      </c>
      <c r="E17" s="2" t="s">
        <v>597</v>
      </c>
      <c r="F17" s="2">
        <v>9232888</v>
      </c>
      <c r="G17" s="2" t="s">
        <v>640</v>
      </c>
      <c r="H17" s="5"/>
      <c r="I17">
        <v>5000</v>
      </c>
      <c r="J17" s="27">
        <f t="shared" si="0"/>
        <v>4750</v>
      </c>
      <c r="K17" s="3">
        <v>4750</v>
      </c>
      <c r="L17" s="29">
        <f t="shared" si="1"/>
        <v>0</v>
      </c>
      <c r="M17" s="30">
        <v>0.05</v>
      </c>
      <c r="N17" s="31">
        <f t="shared" si="2"/>
        <v>250</v>
      </c>
      <c r="O17" s="32">
        <v>10</v>
      </c>
      <c r="P17" s="29">
        <f t="shared" si="3"/>
        <v>475</v>
      </c>
      <c r="Q17" s="31">
        <f t="shared" si="4"/>
        <v>10</v>
      </c>
      <c r="T17" s="3">
        <v>4750</v>
      </c>
      <c r="U17" s="4"/>
      <c r="V17" s="4">
        <f t="shared" si="5"/>
        <v>4750</v>
      </c>
    </row>
    <row r="18" spans="2:22" x14ac:dyDescent="0.25">
      <c r="B18" s="1">
        <v>12</v>
      </c>
      <c r="C18" s="7">
        <v>15089834</v>
      </c>
      <c r="D18" s="2" t="s">
        <v>14</v>
      </c>
      <c r="E18" s="2" t="s">
        <v>592</v>
      </c>
      <c r="F18" s="2">
        <v>7091761</v>
      </c>
      <c r="G18" s="2" t="s">
        <v>635</v>
      </c>
      <c r="H18" s="5">
        <v>300</v>
      </c>
      <c r="I18">
        <v>5000</v>
      </c>
      <c r="J18" s="27">
        <f t="shared" si="0"/>
        <v>4700</v>
      </c>
      <c r="K18" s="3">
        <v>500</v>
      </c>
      <c r="L18" s="29">
        <f t="shared" si="1"/>
        <v>4500</v>
      </c>
      <c r="M18" s="30">
        <v>0</v>
      </c>
      <c r="N18" s="31">
        <f t="shared" si="2"/>
        <v>0</v>
      </c>
      <c r="O18" s="32">
        <v>10</v>
      </c>
      <c r="P18" s="29">
        <f t="shared" si="3"/>
        <v>470</v>
      </c>
      <c r="Q18" s="31">
        <f t="shared" si="4"/>
        <v>1</v>
      </c>
      <c r="T18" s="3">
        <v>500</v>
      </c>
      <c r="U18" s="4"/>
      <c r="V18" s="4">
        <f t="shared" si="5"/>
        <v>4400</v>
      </c>
    </row>
    <row r="19" spans="2:22" x14ac:dyDescent="0.25">
      <c r="B19" s="1">
        <v>13</v>
      </c>
      <c r="C19" s="7">
        <v>15813227</v>
      </c>
      <c r="D19" s="2" t="s">
        <v>15</v>
      </c>
      <c r="E19" s="2" t="s">
        <v>593</v>
      </c>
      <c r="F19" s="2">
        <v>6000259</v>
      </c>
      <c r="G19" s="2" t="s">
        <v>641</v>
      </c>
      <c r="H19" s="5"/>
      <c r="I19">
        <v>5000</v>
      </c>
      <c r="J19" s="27">
        <f t="shared" si="0"/>
        <v>5000</v>
      </c>
      <c r="K19" s="3">
        <v>500</v>
      </c>
      <c r="L19" s="29">
        <f t="shared" si="1"/>
        <v>4500</v>
      </c>
      <c r="M19" s="30">
        <v>0</v>
      </c>
      <c r="N19" s="31">
        <f t="shared" si="2"/>
        <v>0</v>
      </c>
      <c r="O19" s="32">
        <v>10</v>
      </c>
      <c r="P19" s="29">
        <f t="shared" si="3"/>
        <v>500</v>
      </c>
      <c r="Q19" s="31">
        <f t="shared" si="4"/>
        <v>1</v>
      </c>
      <c r="T19" s="3">
        <v>500</v>
      </c>
      <c r="U19" s="4">
        <v>200</v>
      </c>
      <c r="V19" s="4">
        <f t="shared" si="5"/>
        <v>4800</v>
      </c>
    </row>
    <row r="20" spans="2:22" x14ac:dyDescent="0.25">
      <c r="B20" s="1">
        <v>14</v>
      </c>
      <c r="C20" s="7">
        <v>16339246</v>
      </c>
      <c r="D20" s="2" t="s">
        <v>16</v>
      </c>
      <c r="E20" s="2" t="s">
        <v>592</v>
      </c>
      <c r="F20" s="2">
        <v>3304308015</v>
      </c>
      <c r="G20" s="2" t="s">
        <v>642</v>
      </c>
      <c r="H20" s="5">
        <v>300</v>
      </c>
      <c r="I20">
        <v>5000</v>
      </c>
      <c r="J20" s="27">
        <f t="shared" si="0"/>
        <v>4700</v>
      </c>
      <c r="K20" s="3">
        <v>500</v>
      </c>
      <c r="L20" s="29">
        <f t="shared" si="1"/>
        <v>4500</v>
      </c>
      <c r="M20" s="30">
        <v>0</v>
      </c>
      <c r="N20" s="31">
        <f t="shared" si="2"/>
        <v>0</v>
      </c>
      <c r="O20" s="32">
        <v>10</v>
      </c>
      <c r="P20" s="29">
        <f t="shared" si="3"/>
        <v>470</v>
      </c>
      <c r="Q20" s="31">
        <f t="shared" si="4"/>
        <v>1</v>
      </c>
      <c r="T20" s="3">
        <v>500</v>
      </c>
      <c r="U20" s="4"/>
      <c r="V20" s="4">
        <f t="shared" si="5"/>
        <v>4400</v>
      </c>
    </row>
    <row r="21" spans="2:22" x14ac:dyDescent="0.25">
      <c r="B21" s="1">
        <v>14</v>
      </c>
      <c r="C21" s="7">
        <v>16620177</v>
      </c>
      <c r="D21" s="2" t="s">
        <v>17</v>
      </c>
      <c r="E21" s="2" t="s">
        <v>594</v>
      </c>
      <c r="F21" s="2">
        <v>3304308015</v>
      </c>
      <c r="G21" s="2" t="s">
        <v>642</v>
      </c>
      <c r="H21" s="5">
        <v>300</v>
      </c>
      <c r="I21">
        <v>5000</v>
      </c>
      <c r="J21" s="27">
        <f t="shared" si="0"/>
        <v>4450</v>
      </c>
      <c r="K21" s="3">
        <v>475</v>
      </c>
      <c r="L21" s="29">
        <f t="shared" si="1"/>
        <v>4275</v>
      </c>
      <c r="M21" s="30">
        <v>0.05</v>
      </c>
      <c r="N21" s="31">
        <f t="shared" si="2"/>
        <v>250</v>
      </c>
      <c r="O21" s="32">
        <v>10</v>
      </c>
      <c r="P21" s="29">
        <f t="shared" si="3"/>
        <v>445</v>
      </c>
      <c r="Q21" s="31">
        <f t="shared" si="4"/>
        <v>1</v>
      </c>
      <c r="T21" s="3">
        <v>475</v>
      </c>
      <c r="U21" s="4"/>
      <c r="V21" s="4">
        <f t="shared" si="5"/>
        <v>4150</v>
      </c>
    </row>
    <row r="22" spans="2:22" x14ac:dyDescent="0.25">
      <c r="B22" s="1">
        <v>15</v>
      </c>
      <c r="C22" s="7">
        <v>17403184</v>
      </c>
      <c r="D22" s="2" t="s">
        <v>18</v>
      </c>
      <c r="E22" s="2" t="s">
        <v>595</v>
      </c>
      <c r="F22" s="2">
        <v>10033160011</v>
      </c>
      <c r="G22" s="2" t="s">
        <v>643</v>
      </c>
      <c r="H22" s="5">
        <v>300</v>
      </c>
      <c r="I22">
        <v>5000</v>
      </c>
      <c r="J22" s="27">
        <f t="shared" si="0"/>
        <v>4700</v>
      </c>
      <c r="K22" s="3">
        <v>500</v>
      </c>
      <c r="L22" s="29">
        <f t="shared" si="1"/>
        <v>4500</v>
      </c>
      <c r="M22" s="30">
        <v>0</v>
      </c>
      <c r="N22" s="31">
        <f t="shared" si="2"/>
        <v>0</v>
      </c>
      <c r="O22" s="32">
        <v>10</v>
      </c>
      <c r="P22" s="29">
        <f t="shared" si="3"/>
        <v>470</v>
      </c>
      <c r="Q22" s="31">
        <f t="shared" si="4"/>
        <v>1</v>
      </c>
      <c r="T22" s="3">
        <v>500</v>
      </c>
      <c r="U22" s="4"/>
      <c r="V22" s="4">
        <f t="shared" si="5"/>
        <v>4400</v>
      </c>
    </row>
    <row r="23" spans="2:22" x14ac:dyDescent="0.25">
      <c r="B23" s="1">
        <v>16</v>
      </c>
      <c r="C23" s="7">
        <v>15959748</v>
      </c>
      <c r="D23" s="2" t="s">
        <v>19</v>
      </c>
      <c r="E23" s="2" t="s">
        <v>596</v>
      </c>
      <c r="F23" s="2">
        <v>6181264</v>
      </c>
      <c r="G23" s="2" t="s">
        <v>644</v>
      </c>
      <c r="H23" s="5">
        <v>300</v>
      </c>
      <c r="I23">
        <v>5000</v>
      </c>
      <c r="J23" s="27">
        <f t="shared" si="0"/>
        <v>4700</v>
      </c>
      <c r="K23" s="3">
        <v>500</v>
      </c>
      <c r="L23" s="29">
        <f t="shared" si="1"/>
        <v>4500</v>
      </c>
      <c r="M23" s="30">
        <v>0</v>
      </c>
      <c r="N23" s="31">
        <f t="shared" si="2"/>
        <v>0</v>
      </c>
      <c r="O23" s="32">
        <v>10</v>
      </c>
      <c r="P23" s="29">
        <f t="shared" si="3"/>
        <v>470</v>
      </c>
      <c r="Q23" s="31">
        <f t="shared" si="4"/>
        <v>1</v>
      </c>
      <c r="T23" s="3">
        <v>500</v>
      </c>
      <c r="U23" s="4"/>
      <c r="V23" s="4">
        <f t="shared" si="5"/>
        <v>4400</v>
      </c>
    </row>
    <row r="24" spans="2:22" x14ac:dyDescent="0.25">
      <c r="B24" s="1">
        <v>16</v>
      </c>
      <c r="C24" s="7">
        <v>16940234</v>
      </c>
      <c r="D24" s="2" t="s">
        <v>20</v>
      </c>
      <c r="E24" s="2" t="s">
        <v>595</v>
      </c>
      <c r="F24" s="2">
        <v>6181264</v>
      </c>
      <c r="G24" s="2" t="s">
        <v>644</v>
      </c>
      <c r="H24" s="5">
        <v>300</v>
      </c>
      <c r="I24">
        <v>5000</v>
      </c>
      <c r="J24" s="27">
        <f t="shared" si="0"/>
        <v>4450</v>
      </c>
      <c r="K24" s="3">
        <v>475</v>
      </c>
      <c r="L24" s="29">
        <f t="shared" si="1"/>
        <v>4275</v>
      </c>
      <c r="M24" s="30">
        <v>0.05</v>
      </c>
      <c r="N24" s="31">
        <f t="shared" si="2"/>
        <v>250</v>
      </c>
      <c r="O24" s="32">
        <v>10</v>
      </c>
      <c r="P24" s="29">
        <f t="shared" si="3"/>
        <v>445</v>
      </c>
      <c r="Q24" s="31">
        <f t="shared" si="4"/>
        <v>1</v>
      </c>
      <c r="T24" s="3">
        <v>475</v>
      </c>
      <c r="U24" s="4"/>
      <c r="V24" s="4">
        <f t="shared" si="5"/>
        <v>4150</v>
      </c>
    </row>
    <row r="25" spans="2:22" x14ac:dyDescent="0.25">
      <c r="B25" s="1">
        <v>17</v>
      </c>
      <c r="C25" s="7">
        <v>13314588</v>
      </c>
      <c r="D25" s="2" t="s">
        <v>21</v>
      </c>
      <c r="E25" s="2" t="s">
        <v>592</v>
      </c>
      <c r="F25" s="2">
        <v>6097517</v>
      </c>
      <c r="G25" s="2" t="s">
        <v>645</v>
      </c>
      <c r="H25" s="5">
        <v>300</v>
      </c>
      <c r="I25">
        <v>5000</v>
      </c>
      <c r="J25" s="27">
        <f t="shared" si="0"/>
        <v>4700</v>
      </c>
      <c r="K25" s="3">
        <v>500</v>
      </c>
      <c r="L25" s="29">
        <f t="shared" si="1"/>
        <v>4500</v>
      </c>
      <c r="M25" s="30">
        <v>0</v>
      </c>
      <c r="N25" s="31">
        <f t="shared" si="2"/>
        <v>0</v>
      </c>
      <c r="O25" s="32">
        <v>10</v>
      </c>
      <c r="P25" s="29">
        <f t="shared" si="3"/>
        <v>470</v>
      </c>
      <c r="Q25" s="31">
        <f t="shared" si="4"/>
        <v>1</v>
      </c>
      <c r="T25" s="3">
        <v>500</v>
      </c>
      <c r="U25" s="4"/>
      <c r="V25" s="4">
        <f t="shared" si="5"/>
        <v>4400</v>
      </c>
    </row>
    <row r="26" spans="2:22" x14ac:dyDescent="0.25">
      <c r="B26" s="1">
        <v>18</v>
      </c>
      <c r="C26" s="7">
        <v>16454793</v>
      </c>
      <c r="D26" s="2" t="s">
        <v>22</v>
      </c>
      <c r="E26" s="2" t="s">
        <v>597</v>
      </c>
      <c r="F26" s="2">
        <v>9327796013</v>
      </c>
      <c r="G26" s="2" t="s">
        <v>646</v>
      </c>
      <c r="H26" s="5">
        <v>300</v>
      </c>
      <c r="I26">
        <v>5000</v>
      </c>
      <c r="J26" s="27">
        <f t="shared" si="0"/>
        <v>4700</v>
      </c>
      <c r="K26" s="3">
        <v>500</v>
      </c>
      <c r="L26" s="29">
        <f t="shared" si="1"/>
        <v>4500</v>
      </c>
      <c r="M26" s="30">
        <v>0</v>
      </c>
      <c r="N26" s="31">
        <f t="shared" si="2"/>
        <v>0</v>
      </c>
      <c r="O26" s="32">
        <v>10</v>
      </c>
      <c r="P26" s="29">
        <f t="shared" si="3"/>
        <v>470</v>
      </c>
      <c r="Q26" s="31">
        <f t="shared" si="4"/>
        <v>1</v>
      </c>
      <c r="T26" s="3">
        <v>500</v>
      </c>
      <c r="U26" s="4"/>
      <c r="V26" s="4">
        <f t="shared" si="5"/>
        <v>4400</v>
      </c>
    </row>
    <row r="27" spans="2:22" x14ac:dyDescent="0.25">
      <c r="B27" s="1">
        <v>19</v>
      </c>
      <c r="C27" s="7">
        <v>16496493</v>
      </c>
      <c r="D27" s="2" t="s">
        <v>23</v>
      </c>
      <c r="E27" s="2" t="s">
        <v>598</v>
      </c>
      <c r="F27" s="2">
        <v>16496493</v>
      </c>
      <c r="G27" s="2" t="s">
        <v>647</v>
      </c>
      <c r="H27" s="5"/>
      <c r="I27">
        <v>5000</v>
      </c>
      <c r="J27" s="27">
        <f t="shared" si="0"/>
        <v>5000</v>
      </c>
      <c r="K27" s="3">
        <v>500</v>
      </c>
      <c r="L27" s="29">
        <f t="shared" si="1"/>
        <v>4500</v>
      </c>
      <c r="M27" s="30">
        <v>0</v>
      </c>
      <c r="N27" s="31">
        <f t="shared" si="2"/>
        <v>0</v>
      </c>
      <c r="O27" s="32">
        <v>10</v>
      </c>
      <c r="P27" s="29">
        <f t="shared" si="3"/>
        <v>500</v>
      </c>
      <c r="Q27" s="31">
        <f t="shared" si="4"/>
        <v>1</v>
      </c>
      <c r="T27" s="3">
        <v>500</v>
      </c>
      <c r="U27" s="4">
        <v>500</v>
      </c>
      <c r="V27" s="4">
        <f t="shared" si="5"/>
        <v>4500</v>
      </c>
    </row>
    <row r="28" spans="2:22" x14ac:dyDescent="0.25">
      <c r="B28" s="1">
        <v>20</v>
      </c>
      <c r="C28" s="7">
        <v>16379517</v>
      </c>
      <c r="D28" s="2" t="s">
        <v>24</v>
      </c>
      <c r="E28" s="2" t="s">
        <v>597</v>
      </c>
      <c r="F28" s="2">
        <v>7040445</v>
      </c>
      <c r="G28" s="2" t="s">
        <v>644</v>
      </c>
      <c r="H28" s="5">
        <v>300</v>
      </c>
      <c r="I28">
        <v>5000</v>
      </c>
      <c r="J28" s="27">
        <f t="shared" si="0"/>
        <v>4700</v>
      </c>
      <c r="K28" s="3">
        <v>500</v>
      </c>
      <c r="L28" s="29">
        <f t="shared" si="1"/>
        <v>4500</v>
      </c>
      <c r="M28" s="30">
        <v>0</v>
      </c>
      <c r="N28" s="31">
        <f t="shared" si="2"/>
        <v>0</v>
      </c>
      <c r="O28" s="32">
        <v>10</v>
      </c>
      <c r="P28" s="29">
        <f t="shared" si="3"/>
        <v>470</v>
      </c>
      <c r="Q28" s="31">
        <f t="shared" si="4"/>
        <v>1</v>
      </c>
      <c r="T28" s="3">
        <v>500</v>
      </c>
      <c r="U28" s="4"/>
      <c r="V28" s="4">
        <f t="shared" si="5"/>
        <v>4400</v>
      </c>
    </row>
    <row r="29" spans="2:22" x14ac:dyDescent="0.25">
      <c r="B29" s="1">
        <v>21</v>
      </c>
      <c r="C29" s="7">
        <v>16022173</v>
      </c>
      <c r="D29" s="2" t="s">
        <v>25</v>
      </c>
      <c r="E29" s="2" t="s">
        <v>597</v>
      </c>
      <c r="F29" s="2">
        <v>8281998</v>
      </c>
      <c r="G29" s="2" t="s">
        <v>648</v>
      </c>
      <c r="H29" s="5">
        <v>300</v>
      </c>
      <c r="I29">
        <v>5000</v>
      </c>
      <c r="J29" s="27">
        <f t="shared" si="0"/>
        <v>4700</v>
      </c>
      <c r="K29" s="3">
        <v>500</v>
      </c>
      <c r="L29" s="29">
        <f t="shared" si="1"/>
        <v>4500</v>
      </c>
      <c r="M29" s="30">
        <v>0</v>
      </c>
      <c r="N29" s="31">
        <f t="shared" si="2"/>
        <v>0</v>
      </c>
      <c r="O29" s="32">
        <v>10</v>
      </c>
      <c r="P29" s="29">
        <f t="shared" si="3"/>
        <v>470</v>
      </c>
      <c r="Q29" s="31">
        <f t="shared" si="4"/>
        <v>1</v>
      </c>
      <c r="T29" s="3">
        <v>500</v>
      </c>
      <c r="U29" s="4"/>
      <c r="V29" s="4">
        <f t="shared" si="5"/>
        <v>4400</v>
      </c>
    </row>
    <row r="30" spans="2:22" x14ac:dyDescent="0.25">
      <c r="B30" s="1">
        <v>22</v>
      </c>
      <c r="C30" s="7">
        <v>16286748</v>
      </c>
      <c r="D30" s="2" t="s">
        <v>26</v>
      </c>
      <c r="E30" s="2" t="s">
        <v>597</v>
      </c>
      <c r="F30" s="2">
        <v>7902108012</v>
      </c>
      <c r="G30" s="2" t="s">
        <v>649</v>
      </c>
      <c r="H30" s="5"/>
      <c r="I30">
        <v>5000</v>
      </c>
      <c r="J30" s="27">
        <f t="shared" si="0"/>
        <v>5000</v>
      </c>
      <c r="K30" s="3">
        <v>4750</v>
      </c>
      <c r="L30" s="29">
        <f t="shared" si="1"/>
        <v>250</v>
      </c>
      <c r="M30" s="30">
        <v>0</v>
      </c>
      <c r="N30" s="31">
        <f t="shared" si="2"/>
        <v>0</v>
      </c>
      <c r="O30" s="32">
        <v>10</v>
      </c>
      <c r="P30" s="29">
        <f t="shared" si="3"/>
        <v>500</v>
      </c>
      <c r="Q30" s="31">
        <f t="shared" si="4"/>
        <v>9</v>
      </c>
      <c r="T30" s="3">
        <v>4750</v>
      </c>
      <c r="U30" s="4">
        <v>4750</v>
      </c>
      <c r="V30" s="4">
        <f t="shared" si="5"/>
        <v>250</v>
      </c>
    </row>
    <row r="31" spans="2:22" x14ac:dyDescent="0.25">
      <c r="B31" s="1">
        <v>23</v>
      </c>
      <c r="C31" s="7">
        <v>16250279</v>
      </c>
      <c r="D31" s="2" t="s">
        <v>27</v>
      </c>
      <c r="E31" s="2" t="s">
        <v>597</v>
      </c>
      <c r="F31" s="2">
        <v>6142638</v>
      </c>
      <c r="G31" s="2" t="s">
        <v>650</v>
      </c>
      <c r="H31" s="5">
        <v>300</v>
      </c>
      <c r="I31">
        <v>5000</v>
      </c>
      <c r="J31" s="27">
        <f t="shared" si="0"/>
        <v>4700</v>
      </c>
      <c r="K31" s="3">
        <v>4750</v>
      </c>
      <c r="L31" s="29">
        <f t="shared" si="1"/>
        <v>250</v>
      </c>
      <c r="M31" s="30">
        <v>0</v>
      </c>
      <c r="N31" s="31">
        <f t="shared" si="2"/>
        <v>0</v>
      </c>
      <c r="O31" s="32">
        <v>10</v>
      </c>
      <c r="P31" s="29">
        <f t="shared" si="3"/>
        <v>470</v>
      </c>
      <c r="Q31" s="31">
        <f t="shared" si="4"/>
        <v>10</v>
      </c>
      <c r="T31" s="3">
        <v>4750</v>
      </c>
      <c r="U31" s="4"/>
      <c r="V31" s="4">
        <f t="shared" si="5"/>
        <v>4400</v>
      </c>
    </row>
    <row r="32" spans="2:22" x14ac:dyDescent="0.25">
      <c r="B32" s="1">
        <v>23</v>
      </c>
      <c r="C32" s="7">
        <v>15133910</v>
      </c>
      <c r="D32" s="2" t="s">
        <v>28</v>
      </c>
      <c r="E32" s="2" t="s">
        <v>599</v>
      </c>
      <c r="F32" s="2">
        <v>6142638</v>
      </c>
      <c r="G32" s="2" t="s">
        <v>650</v>
      </c>
      <c r="H32" s="5">
        <v>300</v>
      </c>
      <c r="I32">
        <v>5000</v>
      </c>
      <c r="J32" s="27">
        <f t="shared" si="0"/>
        <v>4700</v>
      </c>
      <c r="K32" s="3">
        <v>4750</v>
      </c>
      <c r="L32" s="29">
        <f t="shared" si="1"/>
        <v>250</v>
      </c>
      <c r="M32" s="30">
        <v>0</v>
      </c>
      <c r="N32" s="31">
        <f t="shared" si="2"/>
        <v>0</v>
      </c>
      <c r="O32" s="32">
        <v>10</v>
      </c>
      <c r="P32" s="29">
        <f t="shared" si="3"/>
        <v>470</v>
      </c>
      <c r="Q32" s="31">
        <f t="shared" si="4"/>
        <v>10</v>
      </c>
      <c r="T32" s="3">
        <v>4750</v>
      </c>
      <c r="U32" s="4"/>
      <c r="V32" s="4">
        <f t="shared" si="5"/>
        <v>4400</v>
      </c>
    </row>
    <row r="33" spans="2:22" x14ac:dyDescent="0.25">
      <c r="B33" s="1">
        <v>24</v>
      </c>
      <c r="C33" s="7">
        <v>14401020</v>
      </c>
      <c r="D33" s="2" t="s">
        <v>29</v>
      </c>
      <c r="E33" s="2" t="s">
        <v>592</v>
      </c>
      <c r="F33" s="2">
        <v>9216980</v>
      </c>
      <c r="G33" s="2" t="s">
        <v>651</v>
      </c>
      <c r="H33" s="5"/>
      <c r="I33">
        <v>5000</v>
      </c>
      <c r="J33" s="27">
        <f t="shared" si="0"/>
        <v>5000</v>
      </c>
      <c r="K33" s="3">
        <v>4750</v>
      </c>
      <c r="L33" s="29">
        <f t="shared" si="1"/>
        <v>250</v>
      </c>
      <c r="M33" s="30">
        <v>0</v>
      </c>
      <c r="N33" s="31">
        <f t="shared" si="2"/>
        <v>0</v>
      </c>
      <c r="O33" s="32">
        <v>10</v>
      </c>
      <c r="P33" s="29">
        <f t="shared" si="3"/>
        <v>500</v>
      </c>
      <c r="Q33" s="31">
        <f t="shared" si="4"/>
        <v>9</v>
      </c>
      <c r="T33" s="3">
        <v>4750</v>
      </c>
      <c r="U33" s="4"/>
      <c r="V33" s="4">
        <f t="shared" si="5"/>
        <v>5000</v>
      </c>
    </row>
    <row r="34" spans="2:22" x14ac:dyDescent="0.25">
      <c r="B34" s="1">
        <v>25</v>
      </c>
      <c r="C34" s="7">
        <v>14823947</v>
      </c>
      <c r="D34" s="2" t="s">
        <v>30</v>
      </c>
      <c r="E34" s="2" t="s">
        <v>600</v>
      </c>
      <c r="F34" s="2">
        <v>6076021</v>
      </c>
      <c r="G34" s="2" t="s">
        <v>652</v>
      </c>
      <c r="H34" s="5">
        <v>300</v>
      </c>
      <c r="I34">
        <v>5000</v>
      </c>
      <c r="J34" s="27">
        <f t="shared" si="0"/>
        <v>4700</v>
      </c>
      <c r="K34" s="3">
        <v>4750</v>
      </c>
      <c r="L34" s="29">
        <f t="shared" si="1"/>
        <v>250</v>
      </c>
      <c r="M34" s="30">
        <v>0</v>
      </c>
      <c r="N34" s="31">
        <f t="shared" si="2"/>
        <v>0</v>
      </c>
      <c r="O34" s="32">
        <v>10</v>
      </c>
      <c r="P34" s="29">
        <f t="shared" si="3"/>
        <v>470</v>
      </c>
      <c r="Q34" s="31">
        <f t="shared" si="4"/>
        <v>10</v>
      </c>
      <c r="T34" s="3">
        <v>4750</v>
      </c>
      <c r="U34" s="4"/>
      <c r="V34" s="4">
        <f t="shared" si="5"/>
        <v>4400</v>
      </c>
    </row>
    <row r="35" spans="2:22" x14ac:dyDescent="0.25">
      <c r="B35" s="1">
        <v>26</v>
      </c>
      <c r="C35" s="7">
        <v>16374409</v>
      </c>
      <c r="D35" s="2" t="s">
        <v>31</v>
      </c>
      <c r="E35" s="2" t="s">
        <v>597</v>
      </c>
      <c r="F35" s="2">
        <v>6888300</v>
      </c>
      <c r="G35" s="2" t="s">
        <v>644</v>
      </c>
      <c r="H35" s="5">
        <v>300</v>
      </c>
      <c r="I35">
        <v>5000</v>
      </c>
      <c r="J35" s="27">
        <f t="shared" si="0"/>
        <v>4700</v>
      </c>
      <c r="K35" s="3">
        <v>4750</v>
      </c>
      <c r="L35" s="29">
        <f t="shared" si="1"/>
        <v>250</v>
      </c>
      <c r="M35" s="30">
        <v>0</v>
      </c>
      <c r="N35" s="31">
        <f t="shared" si="2"/>
        <v>0</v>
      </c>
      <c r="O35" s="32">
        <v>10</v>
      </c>
      <c r="P35" s="29">
        <f t="shared" si="3"/>
        <v>470</v>
      </c>
      <c r="Q35" s="31">
        <f t="shared" si="4"/>
        <v>10</v>
      </c>
      <c r="T35" s="3">
        <v>4750</v>
      </c>
      <c r="U35" s="4"/>
      <c r="V35" s="4">
        <f t="shared" ref="V35:V66" si="6">J35-H35-U35</f>
        <v>4400</v>
      </c>
    </row>
    <row r="36" spans="2:22" x14ac:dyDescent="0.25">
      <c r="B36" s="1">
        <v>27</v>
      </c>
      <c r="C36" s="7">
        <v>14906176</v>
      </c>
      <c r="D36" s="2" t="s">
        <v>32</v>
      </c>
      <c r="E36" s="2" t="s">
        <v>601</v>
      </c>
      <c r="F36" s="2">
        <v>6040789</v>
      </c>
      <c r="G36" s="2" t="s">
        <v>635</v>
      </c>
      <c r="H36" s="5"/>
      <c r="I36">
        <v>5000</v>
      </c>
      <c r="J36" s="27">
        <f t="shared" si="0"/>
        <v>5000</v>
      </c>
      <c r="K36" s="3">
        <v>500</v>
      </c>
      <c r="L36" s="29">
        <f t="shared" si="1"/>
        <v>4500</v>
      </c>
      <c r="M36" s="30">
        <v>0</v>
      </c>
      <c r="N36" s="31">
        <f t="shared" si="2"/>
        <v>0</v>
      </c>
      <c r="O36" s="32">
        <v>10</v>
      </c>
      <c r="P36" s="29">
        <f t="shared" si="3"/>
        <v>500</v>
      </c>
      <c r="Q36" s="31">
        <f t="shared" si="4"/>
        <v>1</v>
      </c>
      <c r="T36" s="3">
        <v>500</v>
      </c>
      <c r="U36" s="4"/>
      <c r="V36" s="4">
        <f t="shared" si="6"/>
        <v>5000</v>
      </c>
    </row>
    <row r="37" spans="2:22" x14ac:dyDescent="0.25">
      <c r="B37" s="1">
        <v>27</v>
      </c>
      <c r="C37" s="7">
        <v>14906177</v>
      </c>
      <c r="D37" s="2" t="s">
        <v>33</v>
      </c>
      <c r="E37" s="2" t="s">
        <v>600</v>
      </c>
      <c r="F37" s="2">
        <v>6040789</v>
      </c>
      <c r="G37" s="2" t="s">
        <v>635</v>
      </c>
      <c r="H37" s="5"/>
      <c r="I37">
        <v>5000</v>
      </c>
      <c r="J37" s="27">
        <f t="shared" si="0"/>
        <v>4750</v>
      </c>
      <c r="K37" s="3">
        <v>475</v>
      </c>
      <c r="L37" s="29">
        <f t="shared" si="1"/>
        <v>4275</v>
      </c>
      <c r="M37" s="30">
        <v>0.05</v>
      </c>
      <c r="N37" s="31">
        <f t="shared" si="2"/>
        <v>250</v>
      </c>
      <c r="O37" s="32">
        <v>10</v>
      </c>
      <c r="P37" s="29">
        <f t="shared" si="3"/>
        <v>475</v>
      </c>
      <c r="Q37" s="31">
        <f t="shared" si="4"/>
        <v>1</v>
      </c>
      <c r="T37" s="3">
        <v>475</v>
      </c>
      <c r="U37" s="4"/>
      <c r="V37" s="4">
        <f t="shared" si="6"/>
        <v>4750</v>
      </c>
    </row>
    <row r="38" spans="2:22" x14ac:dyDescent="0.25">
      <c r="B38" s="1">
        <v>28</v>
      </c>
      <c r="C38" s="7">
        <v>16337118</v>
      </c>
      <c r="D38" s="2" t="s">
        <v>34</v>
      </c>
      <c r="E38" s="2" t="s">
        <v>592</v>
      </c>
      <c r="F38" s="2">
        <v>4954665017</v>
      </c>
      <c r="G38" s="2" t="s">
        <v>653</v>
      </c>
      <c r="H38" s="5">
        <v>300</v>
      </c>
      <c r="I38">
        <v>5000</v>
      </c>
      <c r="J38" s="27">
        <f t="shared" si="0"/>
        <v>4700</v>
      </c>
      <c r="K38" s="3">
        <v>500</v>
      </c>
      <c r="L38" s="29">
        <f t="shared" si="1"/>
        <v>4500</v>
      </c>
      <c r="M38" s="30">
        <v>0</v>
      </c>
      <c r="N38" s="31">
        <f t="shared" si="2"/>
        <v>0</v>
      </c>
      <c r="O38" s="32">
        <v>10</v>
      </c>
      <c r="P38" s="29">
        <f t="shared" si="3"/>
        <v>470</v>
      </c>
      <c r="Q38" s="31">
        <f t="shared" si="4"/>
        <v>1</v>
      </c>
      <c r="T38" s="3">
        <v>500</v>
      </c>
      <c r="U38" s="4"/>
      <c r="V38" s="4">
        <f t="shared" si="6"/>
        <v>4400</v>
      </c>
    </row>
    <row r="39" spans="2:22" x14ac:dyDescent="0.25">
      <c r="B39" s="1">
        <v>29</v>
      </c>
      <c r="C39" s="7">
        <v>14797754</v>
      </c>
      <c r="D39" s="2" t="s">
        <v>35</v>
      </c>
      <c r="E39" s="2" t="s">
        <v>600</v>
      </c>
      <c r="F39" s="2">
        <v>6876631</v>
      </c>
      <c r="G39" s="2" t="s">
        <v>654</v>
      </c>
      <c r="H39" s="5">
        <v>300</v>
      </c>
      <c r="I39">
        <v>5000</v>
      </c>
      <c r="J39" s="27">
        <f t="shared" si="0"/>
        <v>4700</v>
      </c>
      <c r="K39" s="3">
        <v>500</v>
      </c>
      <c r="L39" s="29">
        <f t="shared" si="1"/>
        <v>4500</v>
      </c>
      <c r="M39" s="30">
        <v>0</v>
      </c>
      <c r="N39" s="31">
        <f t="shared" si="2"/>
        <v>0</v>
      </c>
      <c r="O39" s="32">
        <v>10</v>
      </c>
      <c r="P39" s="29">
        <f t="shared" si="3"/>
        <v>470</v>
      </c>
      <c r="Q39" s="31">
        <f t="shared" si="4"/>
        <v>1</v>
      </c>
      <c r="T39" s="3">
        <v>500</v>
      </c>
      <c r="U39" s="4"/>
      <c r="V39" s="4">
        <f t="shared" si="6"/>
        <v>4400</v>
      </c>
    </row>
    <row r="40" spans="2:22" x14ac:dyDescent="0.25">
      <c r="B40" s="1">
        <v>29</v>
      </c>
      <c r="C40" s="7">
        <v>14797755</v>
      </c>
      <c r="D40" s="2" t="s">
        <v>36</v>
      </c>
      <c r="E40" s="2" t="s">
        <v>602</v>
      </c>
      <c r="F40" s="2">
        <v>6876631</v>
      </c>
      <c r="G40" s="2" t="s">
        <v>654</v>
      </c>
      <c r="H40" s="5">
        <v>300</v>
      </c>
      <c r="I40">
        <v>5000</v>
      </c>
      <c r="J40" s="27">
        <f t="shared" si="0"/>
        <v>4450</v>
      </c>
      <c r="K40" s="3">
        <v>475</v>
      </c>
      <c r="L40" s="29">
        <f t="shared" si="1"/>
        <v>4275</v>
      </c>
      <c r="M40" s="30">
        <v>0.05</v>
      </c>
      <c r="N40" s="31">
        <f t="shared" si="2"/>
        <v>250</v>
      </c>
      <c r="O40" s="32">
        <v>10</v>
      </c>
      <c r="P40" s="29">
        <f t="shared" si="3"/>
        <v>445</v>
      </c>
      <c r="Q40" s="31">
        <f t="shared" si="4"/>
        <v>1</v>
      </c>
      <c r="T40" s="3">
        <v>475</v>
      </c>
      <c r="U40" s="4"/>
      <c r="V40" s="4">
        <f t="shared" si="6"/>
        <v>4150</v>
      </c>
    </row>
    <row r="41" spans="2:22" x14ac:dyDescent="0.25">
      <c r="B41" s="1">
        <v>29</v>
      </c>
      <c r="C41" s="7">
        <v>17193786</v>
      </c>
      <c r="D41" s="2" t="s">
        <v>37</v>
      </c>
      <c r="E41" s="2" t="s">
        <v>595</v>
      </c>
      <c r="F41" s="2">
        <v>6876631</v>
      </c>
      <c r="G41" s="2" t="s">
        <v>654</v>
      </c>
      <c r="H41" s="5">
        <v>300</v>
      </c>
      <c r="I41">
        <v>5000</v>
      </c>
      <c r="J41" s="27">
        <f t="shared" si="0"/>
        <v>4450</v>
      </c>
      <c r="K41" s="3">
        <v>450</v>
      </c>
      <c r="L41" s="29">
        <f t="shared" si="1"/>
        <v>4300</v>
      </c>
      <c r="M41" s="30">
        <v>0.05</v>
      </c>
      <c r="N41" s="31">
        <f t="shared" si="2"/>
        <v>250</v>
      </c>
      <c r="O41" s="32">
        <v>10</v>
      </c>
      <c r="P41" s="29">
        <f t="shared" si="3"/>
        <v>445</v>
      </c>
      <c r="Q41" s="31">
        <f t="shared" si="4"/>
        <v>1</v>
      </c>
      <c r="T41" s="3">
        <v>450</v>
      </c>
      <c r="U41" s="4"/>
      <c r="V41" s="4">
        <f t="shared" si="6"/>
        <v>4150</v>
      </c>
    </row>
    <row r="42" spans="2:22" x14ac:dyDescent="0.25">
      <c r="B42" s="1">
        <v>30</v>
      </c>
      <c r="C42" s="7">
        <v>17317953</v>
      </c>
      <c r="D42" s="2" t="s">
        <v>38</v>
      </c>
      <c r="E42" s="2" t="s">
        <v>599</v>
      </c>
      <c r="F42" s="2">
        <v>4984455</v>
      </c>
      <c r="G42" s="2" t="s">
        <v>655</v>
      </c>
      <c r="H42" s="5">
        <v>300</v>
      </c>
      <c r="I42">
        <v>5000</v>
      </c>
      <c r="J42" s="27">
        <f t="shared" si="0"/>
        <v>4700</v>
      </c>
      <c r="K42" s="3">
        <v>500</v>
      </c>
      <c r="L42" s="29">
        <f t="shared" si="1"/>
        <v>4500</v>
      </c>
      <c r="M42" s="30">
        <v>0</v>
      </c>
      <c r="N42" s="31">
        <f t="shared" si="2"/>
        <v>0</v>
      </c>
      <c r="O42" s="32">
        <v>10</v>
      </c>
      <c r="P42" s="29">
        <f t="shared" si="3"/>
        <v>470</v>
      </c>
      <c r="Q42" s="31">
        <f t="shared" si="4"/>
        <v>1</v>
      </c>
      <c r="T42" s="3">
        <v>500</v>
      </c>
      <c r="U42" s="4">
        <v>200</v>
      </c>
      <c r="V42" s="4">
        <f t="shared" si="6"/>
        <v>4200</v>
      </c>
    </row>
    <row r="43" spans="2:22" x14ac:dyDescent="0.25">
      <c r="B43" s="1">
        <v>30</v>
      </c>
      <c r="C43" s="7">
        <v>17593498</v>
      </c>
      <c r="D43" s="2" t="s">
        <v>39</v>
      </c>
      <c r="E43" s="2" t="s">
        <v>597</v>
      </c>
      <c r="F43" s="2">
        <v>4984455</v>
      </c>
      <c r="G43" s="2" t="s">
        <v>655</v>
      </c>
      <c r="H43" s="5">
        <v>300</v>
      </c>
      <c r="I43">
        <v>5000</v>
      </c>
      <c r="J43" s="27">
        <f t="shared" si="0"/>
        <v>4450</v>
      </c>
      <c r="K43" s="3">
        <v>475</v>
      </c>
      <c r="L43" s="29">
        <f t="shared" si="1"/>
        <v>4275</v>
      </c>
      <c r="M43" s="30">
        <v>0.05</v>
      </c>
      <c r="N43" s="31">
        <f t="shared" si="2"/>
        <v>250</v>
      </c>
      <c r="O43" s="32">
        <v>10</v>
      </c>
      <c r="P43" s="29">
        <f t="shared" si="3"/>
        <v>445</v>
      </c>
      <c r="Q43" s="31">
        <f t="shared" si="4"/>
        <v>1</v>
      </c>
      <c r="T43" s="3">
        <v>475</v>
      </c>
      <c r="U43" s="4">
        <v>175</v>
      </c>
      <c r="V43" s="4">
        <f t="shared" si="6"/>
        <v>3975</v>
      </c>
    </row>
    <row r="44" spans="2:22" x14ac:dyDescent="0.25">
      <c r="B44" s="1">
        <v>31</v>
      </c>
      <c r="C44" s="7">
        <v>17066111</v>
      </c>
      <c r="D44" s="2" t="s">
        <v>40</v>
      </c>
      <c r="E44" s="2" t="s">
        <v>595</v>
      </c>
      <c r="F44" s="2">
        <v>7020409017</v>
      </c>
      <c r="G44" s="2" t="s">
        <v>656</v>
      </c>
      <c r="H44" s="5">
        <v>300</v>
      </c>
      <c r="I44">
        <v>5000</v>
      </c>
      <c r="J44" s="27">
        <f t="shared" si="0"/>
        <v>4700</v>
      </c>
      <c r="K44" s="3">
        <v>500</v>
      </c>
      <c r="L44" s="29">
        <f t="shared" si="1"/>
        <v>4500</v>
      </c>
      <c r="M44" s="30">
        <v>0</v>
      </c>
      <c r="N44" s="31">
        <f t="shared" si="2"/>
        <v>0</v>
      </c>
      <c r="O44" s="32">
        <v>10</v>
      </c>
      <c r="P44" s="29">
        <f t="shared" si="3"/>
        <v>470</v>
      </c>
      <c r="Q44" s="31">
        <f t="shared" si="4"/>
        <v>1</v>
      </c>
      <c r="T44" s="3">
        <v>500</v>
      </c>
      <c r="U44" s="4"/>
      <c r="V44" s="4">
        <f t="shared" si="6"/>
        <v>4400</v>
      </c>
    </row>
    <row r="45" spans="2:22" x14ac:dyDescent="0.25">
      <c r="B45" s="1">
        <v>32</v>
      </c>
      <c r="C45" s="7">
        <v>13215065</v>
      </c>
      <c r="D45" s="2" t="s">
        <v>41</v>
      </c>
      <c r="E45" s="2" t="s">
        <v>593</v>
      </c>
      <c r="F45" s="2">
        <v>2708987</v>
      </c>
      <c r="G45" s="2" t="s">
        <v>657</v>
      </c>
      <c r="H45" s="5"/>
      <c r="I45">
        <v>5000</v>
      </c>
      <c r="J45" s="27">
        <f t="shared" si="0"/>
        <v>5000</v>
      </c>
      <c r="K45" s="3">
        <v>500</v>
      </c>
      <c r="L45" s="29">
        <f t="shared" si="1"/>
        <v>4500</v>
      </c>
      <c r="M45" s="30">
        <v>0</v>
      </c>
      <c r="N45" s="31">
        <f t="shared" si="2"/>
        <v>0</v>
      </c>
      <c r="O45" s="32">
        <v>10</v>
      </c>
      <c r="P45" s="29">
        <f t="shared" si="3"/>
        <v>500</v>
      </c>
      <c r="Q45" s="31">
        <f t="shared" si="4"/>
        <v>1</v>
      </c>
      <c r="T45" s="3">
        <v>500</v>
      </c>
      <c r="U45" s="4">
        <v>500</v>
      </c>
      <c r="V45" s="4">
        <f t="shared" si="6"/>
        <v>4500</v>
      </c>
    </row>
    <row r="46" spans="2:22" x14ac:dyDescent="0.25">
      <c r="B46" s="1">
        <v>33</v>
      </c>
      <c r="C46" s="7">
        <v>15999492</v>
      </c>
      <c r="D46" s="2" t="s">
        <v>42</v>
      </c>
      <c r="E46" s="2" t="s">
        <v>597</v>
      </c>
      <c r="F46" s="2">
        <v>67470618</v>
      </c>
      <c r="G46" s="2" t="s">
        <v>658</v>
      </c>
      <c r="H46" s="5">
        <v>300</v>
      </c>
      <c r="I46">
        <v>5000</v>
      </c>
      <c r="J46" s="27">
        <f t="shared" si="0"/>
        <v>4700</v>
      </c>
      <c r="K46" s="3">
        <v>500</v>
      </c>
      <c r="L46" s="29">
        <f t="shared" si="1"/>
        <v>4500</v>
      </c>
      <c r="M46" s="30">
        <v>0</v>
      </c>
      <c r="N46" s="31">
        <f t="shared" si="2"/>
        <v>0</v>
      </c>
      <c r="O46" s="32">
        <v>10</v>
      </c>
      <c r="P46" s="29">
        <f t="shared" si="3"/>
        <v>470</v>
      </c>
      <c r="Q46" s="31">
        <f t="shared" si="4"/>
        <v>1</v>
      </c>
      <c r="T46" s="3">
        <v>500</v>
      </c>
      <c r="U46" s="4"/>
      <c r="V46" s="4">
        <f t="shared" si="6"/>
        <v>4400</v>
      </c>
    </row>
    <row r="47" spans="2:22" x14ac:dyDescent="0.25">
      <c r="B47" s="1">
        <v>34</v>
      </c>
      <c r="C47" s="7">
        <v>16809164</v>
      </c>
      <c r="D47" s="2" t="s">
        <v>43</v>
      </c>
      <c r="E47" s="2" t="s">
        <v>598</v>
      </c>
      <c r="F47" s="2">
        <v>6954446018</v>
      </c>
      <c r="G47" s="2" t="s">
        <v>659</v>
      </c>
      <c r="H47" s="5">
        <v>300</v>
      </c>
      <c r="I47">
        <v>5000</v>
      </c>
      <c r="J47" s="27">
        <f t="shared" si="0"/>
        <v>4450</v>
      </c>
      <c r="K47" s="3">
        <v>475</v>
      </c>
      <c r="L47" s="29">
        <f t="shared" si="1"/>
        <v>4275</v>
      </c>
      <c r="M47" s="30">
        <v>0.05</v>
      </c>
      <c r="N47" s="31">
        <f t="shared" si="2"/>
        <v>250</v>
      </c>
      <c r="O47" s="32">
        <v>10</v>
      </c>
      <c r="P47" s="29">
        <f t="shared" si="3"/>
        <v>445</v>
      </c>
      <c r="Q47" s="31">
        <f t="shared" si="4"/>
        <v>1</v>
      </c>
      <c r="T47" s="3">
        <v>475</v>
      </c>
      <c r="U47" s="4">
        <v>175</v>
      </c>
      <c r="V47" s="4">
        <f t="shared" si="6"/>
        <v>3975</v>
      </c>
    </row>
    <row r="48" spans="2:22" x14ac:dyDescent="0.25">
      <c r="B48" s="1">
        <v>34</v>
      </c>
      <c r="C48" s="7">
        <v>15390843</v>
      </c>
      <c r="D48" s="2" t="s">
        <v>44</v>
      </c>
      <c r="E48" s="2" t="s">
        <v>596</v>
      </c>
      <c r="F48" s="2">
        <v>6954446018</v>
      </c>
      <c r="G48" s="2" t="s">
        <v>659</v>
      </c>
      <c r="H48" s="5">
        <v>300</v>
      </c>
      <c r="I48">
        <v>5000</v>
      </c>
      <c r="J48" s="27">
        <f t="shared" si="0"/>
        <v>4700</v>
      </c>
      <c r="K48" s="3">
        <v>500</v>
      </c>
      <c r="L48" s="29">
        <f t="shared" si="1"/>
        <v>4500</v>
      </c>
      <c r="M48" s="30">
        <v>0</v>
      </c>
      <c r="N48" s="31">
        <f t="shared" si="2"/>
        <v>0</v>
      </c>
      <c r="O48" s="32">
        <v>10</v>
      </c>
      <c r="P48" s="29">
        <f t="shared" si="3"/>
        <v>470</v>
      </c>
      <c r="Q48" s="31">
        <f t="shared" si="4"/>
        <v>1</v>
      </c>
      <c r="T48" s="3">
        <v>500</v>
      </c>
      <c r="U48" s="4">
        <v>200</v>
      </c>
      <c r="V48" s="4">
        <f t="shared" si="6"/>
        <v>4200</v>
      </c>
    </row>
    <row r="49" spans="2:22" x14ac:dyDescent="0.25">
      <c r="B49" s="1">
        <v>35</v>
      </c>
      <c r="C49" s="7">
        <v>14055344</v>
      </c>
      <c r="D49" s="2" t="s">
        <v>45</v>
      </c>
      <c r="E49" s="2" t="s">
        <v>600</v>
      </c>
      <c r="F49" s="2">
        <v>6973488</v>
      </c>
      <c r="G49" s="2" t="s">
        <v>660</v>
      </c>
      <c r="H49" s="5"/>
      <c r="I49">
        <v>5000</v>
      </c>
      <c r="J49" s="27">
        <f t="shared" si="0"/>
        <v>5000</v>
      </c>
      <c r="K49" s="3">
        <v>500</v>
      </c>
      <c r="L49" s="29">
        <f t="shared" si="1"/>
        <v>4500</v>
      </c>
      <c r="M49" s="30">
        <v>0</v>
      </c>
      <c r="N49" s="31">
        <f t="shared" si="2"/>
        <v>0</v>
      </c>
      <c r="O49" s="32">
        <v>10</v>
      </c>
      <c r="P49" s="29">
        <f t="shared" si="3"/>
        <v>500</v>
      </c>
      <c r="Q49" s="31">
        <f t="shared" si="4"/>
        <v>1</v>
      </c>
      <c r="T49" s="3">
        <v>500</v>
      </c>
      <c r="U49" s="4"/>
      <c r="V49" s="4">
        <f t="shared" si="6"/>
        <v>5000</v>
      </c>
    </row>
    <row r="50" spans="2:22" x14ac:dyDescent="0.25">
      <c r="B50" s="1">
        <v>35</v>
      </c>
      <c r="C50" s="7">
        <v>17069540</v>
      </c>
      <c r="D50" s="2" t="s">
        <v>46</v>
      </c>
      <c r="E50" s="2" t="s">
        <v>599</v>
      </c>
      <c r="F50" s="2">
        <v>6973488</v>
      </c>
      <c r="G50" s="2" t="s">
        <v>661</v>
      </c>
      <c r="H50" s="5"/>
      <c r="I50">
        <v>5000</v>
      </c>
      <c r="J50" s="27">
        <f t="shared" si="0"/>
        <v>4750</v>
      </c>
      <c r="K50" s="3">
        <v>475</v>
      </c>
      <c r="L50" s="29">
        <f t="shared" si="1"/>
        <v>4275</v>
      </c>
      <c r="M50" s="30">
        <v>0.05</v>
      </c>
      <c r="N50" s="31">
        <f t="shared" si="2"/>
        <v>250</v>
      </c>
      <c r="O50" s="32">
        <v>10</v>
      </c>
      <c r="P50" s="29">
        <f t="shared" si="3"/>
        <v>475</v>
      </c>
      <c r="Q50" s="31">
        <f t="shared" si="4"/>
        <v>1</v>
      </c>
      <c r="T50" s="3">
        <v>475</v>
      </c>
      <c r="U50" s="4"/>
      <c r="V50" s="4">
        <f t="shared" si="6"/>
        <v>4750</v>
      </c>
    </row>
    <row r="51" spans="2:22" x14ac:dyDescent="0.25">
      <c r="B51" s="1">
        <v>36</v>
      </c>
      <c r="C51" s="7">
        <v>13960305</v>
      </c>
      <c r="D51" s="2" t="s">
        <v>47</v>
      </c>
      <c r="E51" s="2" t="s">
        <v>601</v>
      </c>
      <c r="F51" s="2">
        <v>7029168</v>
      </c>
      <c r="G51" s="2" t="s">
        <v>662</v>
      </c>
      <c r="H51" s="5">
        <v>300</v>
      </c>
      <c r="I51">
        <v>5000</v>
      </c>
      <c r="J51" s="27">
        <f t="shared" si="0"/>
        <v>4700</v>
      </c>
      <c r="K51" s="3">
        <v>500</v>
      </c>
      <c r="L51" s="29">
        <f t="shared" si="1"/>
        <v>4500</v>
      </c>
      <c r="M51" s="30">
        <v>0</v>
      </c>
      <c r="N51" s="31">
        <f t="shared" si="2"/>
        <v>0</v>
      </c>
      <c r="O51" s="32">
        <v>10</v>
      </c>
      <c r="P51" s="29">
        <f t="shared" si="3"/>
        <v>470</v>
      </c>
      <c r="Q51" s="31">
        <f t="shared" si="4"/>
        <v>1</v>
      </c>
      <c r="T51" s="3">
        <v>500</v>
      </c>
      <c r="U51" s="4"/>
      <c r="V51" s="4">
        <f t="shared" si="6"/>
        <v>4400</v>
      </c>
    </row>
    <row r="52" spans="2:22" x14ac:dyDescent="0.25">
      <c r="B52" s="1">
        <v>36</v>
      </c>
      <c r="C52" s="7">
        <v>15983380</v>
      </c>
      <c r="D52" s="2" t="s">
        <v>48</v>
      </c>
      <c r="E52" s="2" t="s">
        <v>597</v>
      </c>
      <c r="F52" s="2">
        <v>7029168</v>
      </c>
      <c r="G52" s="2" t="s">
        <v>662</v>
      </c>
      <c r="H52" s="5">
        <v>300</v>
      </c>
      <c r="I52">
        <v>5000</v>
      </c>
      <c r="J52" s="27">
        <f t="shared" si="0"/>
        <v>4450</v>
      </c>
      <c r="K52" s="3">
        <v>475</v>
      </c>
      <c r="L52" s="29">
        <f t="shared" si="1"/>
        <v>4275</v>
      </c>
      <c r="M52" s="30">
        <v>0.05</v>
      </c>
      <c r="N52" s="31">
        <f t="shared" si="2"/>
        <v>250</v>
      </c>
      <c r="O52" s="32">
        <v>10</v>
      </c>
      <c r="P52" s="29">
        <f t="shared" si="3"/>
        <v>445</v>
      </c>
      <c r="Q52" s="31">
        <f t="shared" si="4"/>
        <v>1</v>
      </c>
      <c r="T52" s="3">
        <v>475</v>
      </c>
      <c r="U52" s="4"/>
      <c r="V52" s="4">
        <f t="shared" si="6"/>
        <v>4150</v>
      </c>
    </row>
    <row r="53" spans="2:22" x14ac:dyDescent="0.25">
      <c r="B53" s="1">
        <v>37</v>
      </c>
      <c r="C53" s="7">
        <v>16941496</v>
      </c>
      <c r="D53" s="2" t="s">
        <v>49</v>
      </c>
      <c r="E53" s="2" t="s">
        <v>598</v>
      </c>
      <c r="F53" s="2">
        <v>703981</v>
      </c>
      <c r="G53" s="2" t="s">
        <v>663</v>
      </c>
      <c r="H53" s="5">
        <v>300</v>
      </c>
      <c r="I53">
        <v>5000</v>
      </c>
      <c r="J53" s="27">
        <f t="shared" si="0"/>
        <v>4700</v>
      </c>
      <c r="K53" s="3">
        <v>500</v>
      </c>
      <c r="L53" s="29">
        <f t="shared" si="1"/>
        <v>4500</v>
      </c>
      <c r="M53" s="30">
        <v>0</v>
      </c>
      <c r="N53" s="31">
        <f t="shared" si="2"/>
        <v>0</v>
      </c>
      <c r="O53" s="32">
        <v>10</v>
      </c>
      <c r="P53" s="29">
        <f t="shared" si="3"/>
        <v>470</v>
      </c>
      <c r="Q53" s="31">
        <f t="shared" si="4"/>
        <v>1</v>
      </c>
      <c r="T53" s="3">
        <v>500</v>
      </c>
      <c r="U53" s="4"/>
      <c r="V53" s="4">
        <f t="shared" si="6"/>
        <v>4400</v>
      </c>
    </row>
    <row r="54" spans="2:22" x14ac:dyDescent="0.25">
      <c r="B54" s="1">
        <v>38</v>
      </c>
      <c r="C54" s="7">
        <v>15567127</v>
      </c>
      <c r="D54" s="2" t="s">
        <v>50</v>
      </c>
      <c r="E54" s="2" t="s">
        <v>600</v>
      </c>
      <c r="F54" s="2">
        <v>6820264</v>
      </c>
      <c r="G54" s="2" t="s">
        <v>664</v>
      </c>
      <c r="H54" s="5"/>
      <c r="I54">
        <v>5000</v>
      </c>
      <c r="J54" s="27">
        <f t="shared" si="0"/>
        <v>5000</v>
      </c>
      <c r="K54" s="3">
        <v>500</v>
      </c>
      <c r="L54" s="29">
        <f t="shared" si="1"/>
        <v>4500</v>
      </c>
      <c r="M54" s="30">
        <v>0</v>
      </c>
      <c r="N54" s="31">
        <f t="shared" si="2"/>
        <v>0</v>
      </c>
      <c r="O54" s="32">
        <v>10</v>
      </c>
      <c r="P54" s="29">
        <f t="shared" si="3"/>
        <v>500</v>
      </c>
      <c r="Q54" s="31">
        <f t="shared" si="4"/>
        <v>1</v>
      </c>
      <c r="T54" s="3">
        <v>500</v>
      </c>
      <c r="U54" s="4"/>
      <c r="V54" s="4">
        <f t="shared" si="6"/>
        <v>5000</v>
      </c>
    </row>
    <row r="55" spans="2:22" x14ac:dyDescent="0.25">
      <c r="B55" s="1">
        <v>39</v>
      </c>
      <c r="C55" s="7">
        <v>16860380</v>
      </c>
      <c r="D55" s="2" t="s">
        <v>51</v>
      </c>
      <c r="E55" s="2" t="s">
        <v>594</v>
      </c>
      <c r="F55" s="2">
        <v>6053416</v>
      </c>
      <c r="G55" s="2" t="s">
        <v>657</v>
      </c>
      <c r="H55" s="5">
        <v>300</v>
      </c>
      <c r="I55">
        <v>5000</v>
      </c>
      <c r="J55" s="27">
        <f t="shared" si="0"/>
        <v>4700</v>
      </c>
      <c r="K55" s="3">
        <v>500</v>
      </c>
      <c r="L55" s="29">
        <f t="shared" si="1"/>
        <v>4500</v>
      </c>
      <c r="M55" s="30">
        <v>0</v>
      </c>
      <c r="N55" s="31">
        <f t="shared" si="2"/>
        <v>0</v>
      </c>
      <c r="O55" s="32">
        <v>10</v>
      </c>
      <c r="P55" s="29">
        <f t="shared" si="3"/>
        <v>470</v>
      </c>
      <c r="Q55" s="31">
        <f t="shared" si="4"/>
        <v>1</v>
      </c>
      <c r="T55" s="3">
        <v>500</v>
      </c>
      <c r="U55" s="4"/>
      <c r="V55" s="4">
        <f t="shared" si="6"/>
        <v>4400</v>
      </c>
    </row>
    <row r="56" spans="2:22" x14ac:dyDescent="0.25">
      <c r="B56" s="1">
        <v>39</v>
      </c>
      <c r="C56" s="7">
        <v>171484465</v>
      </c>
      <c r="D56" s="2" t="s">
        <v>52</v>
      </c>
      <c r="E56" s="2" t="s">
        <v>595</v>
      </c>
      <c r="F56" s="2">
        <v>6053416</v>
      </c>
      <c r="G56" s="2" t="s">
        <v>657</v>
      </c>
      <c r="H56" s="5">
        <v>300</v>
      </c>
      <c r="I56">
        <v>5000</v>
      </c>
      <c r="J56" s="27">
        <f t="shared" si="0"/>
        <v>4450</v>
      </c>
      <c r="K56" s="3">
        <v>475</v>
      </c>
      <c r="L56" s="29">
        <f t="shared" si="1"/>
        <v>4275</v>
      </c>
      <c r="M56" s="30">
        <v>0.05</v>
      </c>
      <c r="N56" s="31">
        <f t="shared" si="2"/>
        <v>250</v>
      </c>
      <c r="O56" s="32">
        <v>10</v>
      </c>
      <c r="P56" s="29">
        <f t="shared" si="3"/>
        <v>445</v>
      </c>
      <c r="Q56" s="31">
        <f t="shared" si="4"/>
        <v>1</v>
      </c>
      <c r="T56" s="3">
        <v>475</v>
      </c>
      <c r="U56" s="4"/>
      <c r="V56" s="4">
        <f t="shared" si="6"/>
        <v>4150</v>
      </c>
    </row>
    <row r="57" spans="2:22" x14ac:dyDescent="0.25">
      <c r="B57" s="1">
        <v>40</v>
      </c>
      <c r="C57" s="7">
        <v>13299427</v>
      </c>
      <c r="D57" s="2" t="s">
        <v>53</v>
      </c>
      <c r="E57" s="2" t="s">
        <v>601</v>
      </c>
      <c r="F57" s="2">
        <v>6984165</v>
      </c>
      <c r="G57" s="2" t="s">
        <v>665</v>
      </c>
      <c r="H57" s="5"/>
      <c r="I57">
        <v>5000</v>
      </c>
      <c r="J57" s="27">
        <f t="shared" si="0"/>
        <v>5000</v>
      </c>
      <c r="K57" s="3">
        <v>500</v>
      </c>
      <c r="L57" s="29">
        <f t="shared" si="1"/>
        <v>4500</v>
      </c>
      <c r="M57" s="30">
        <v>0</v>
      </c>
      <c r="N57" s="31">
        <f t="shared" si="2"/>
        <v>0</v>
      </c>
      <c r="O57" s="32">
        <v>10</v>
      </c>
      <c r="P57" s="29">
        <f t="shared" si="3"/>
        <v>500</v>
      </c>
      <c r="Q57" s="31">
        <f t="shared" si="4"/>
        <v>1</v>
      </c>
      <c r="T57" s="3">
        <v>500</v>
      </c>
      <c r="U57" s="4"/>
      <c r="V57" s="4">
        <f t="shared" si="6"/>
        <v>5000</v>
      </c>
    </row>
    <row r="58" spans="2:22" x14ac:dyDescent="0.25">
      <c r="B58" s="1">
        <v>41</v>
      </c>
      <c r="C58" s="7">
        <v>1615209</v>
      </c>
      <c r="D58" s="2" t="s">
        <v>54</v>
      </c>
      <c r="E58" s="2" t="s">
        <v>596</v>
      </c>
      <c r="F58" s="2">
        <v>4939510</v>
      </c>
      <c r="G58" s="2" t="s">
        <v>655</v>
      </c>
      <c r="H58" s="5">
        <v>300</v>
      </c>
      <c r="I58">
        <v>5000</v>
      </c>
      <c r="J58" s="27">
        <f t="shared" si="0"/>
        <v>4700</v>
      </c>
      <c r="K58" s="3">
        <v>500</v>
      </c>
      <c r="L58" s="29">
        <f t="shared" si="1"/>
        <v>4500</v>
      </c>
      <c r="M58" s="30">
        <v>0</v>
      </c>
      <c r="N58" s="31">
        <f t="shared" si="2"/>
        <v>0</v>
      </c>
      <c r="O58" s="32">
        <v>10</v>
      </c>
      <c r="P58" s="29">
        <f t="shared" si="3"/>
        <v>470</v>
      </c>
      <c r="Q58" s="31">
        <f t="shared" si="4"/>
        <v>1</v>
      </c>
      <c r="T58" s="3">
        <v>500</v>
      </c>
      <c r="U58" s="4"/>
      <c r="V58" s="4">
        <f t="shared" si="6"/>
        <v>4400</v>
      </c>
    </row>
    <row r="59" spans="2:22" x14ac:dyDescent="0.25">
      <c r="B59" s="1">
        <v>41</v>
      </c>
      <c r="C59" s="7">
        <v>1615209</v>
      </c>
      <c r="D59" s="2" t="s">
        <v>55</v>
      </c>
      <c r="E59" s="2" t="s">
        <v>595</v>
      </c>
      <c r="F59" s="2">
        <v>4939510</v>
      </c>
      <c r="G59" s="2" t="s">
        <v>655</v>
      </c>
      <c r="H59" s="5">
        <v>300</v>
      </c>
      <c r="I59">
        <v>5000</v>
      </c>
      <c r="J59" s="27">
        <f t="shared" si="0"/>
        <v>4450</v>
      </c>
      <c r="K59" s="3">
        <v>475</v>
      </c>
      <c r="L59" s="29">
        <f t="shared" si="1"/>
        <v>4275</v>
      </c>
      <c r="M59" s="30">
        <v>0.05</v>
      </c>
      <c r="N59" s="31">
        <f t="shared" si="2"/>
        <v>250</v>
      </c>
      <c r="O59" s="32">
        <v>10</v>
      </c>
      <c r="P59" s="29">
        <f t="shared" si="3"/>
        <v>445</v>
      </c>
      <c r="Q59" s="31">
        <f t="shared" si="4"/>
        <v>1</v>
      </c>
      <c r="T59" s="3">
        <v>475</v>
      </c>
      <c r="U59" s="4"/>
      <c r="V59" s="4">
        <f t="shared" si="6"/>
        <v>4150</v>
      </c>
    </row>
    <row r="60" spans="2:22" x14ac:dyDescent="0.25">
      <c r="B60" s="1">
        <v>42</v>
      </c>
      <c r="C60" s="7">
        <v>14046395</v>
      </c>
      <c r="D60" s="2" t="s">
        <v>56</v>
      </c>
      <c r="E60" s="2" t="s">
        <v>592</v>
      </c>
      <c r="F60" s="2">
        <v>5965976</v>
      </c>
      <c r="G60" s="2" t="s">
        <v>666</v>
      </c>
      <c r="H60" s="5"/>
      <c r="I60">
        <v>5000</v>
      </c>
      <c r="J60" s="27">
        <f t="shared" si="0"/>
        <v>5000</v>
      </c>
      <c r="K60" s="3">
        <v>500</v>
      </c>
      <c r="L60" s="29">
        <f t="shared" si="1"/>
        <v>4500</v>
      </c>
      <c r="M60" s="30">
        <v>0</v>
      </c>
      <c r="N60" s="31">
        <f t="shared" si="2"/>
        <v>0</v>
      </c>
      <c r="O60" s="32">
        <v>10</v>
      </c>
      <c r="P60" s="29">
        <f t="shared" si="3"/>
        <v>500</v>
      </c>
      <c r="Q60" s="31">
        <f t="shared" si="4"/>
        <v>1</v>
      </c>
      <c r="T60" s="3">
        <v>500</v>
      </c>
      <c r="U60" s="4"/>
      <c r="V60" s="4">
        <f t="shared" si="6"/>
        <v>5000</v>
      </c>
    </row>
    <row r="61" spans="2:22" x14ac:dyDescent="0.25">
      <c r="B61" s="1">
        <v>42</v>
      </c>
      <c r="C61" s="7">
        <v>14046395</v>
      </c>
      <c r="D61" s="2" t="s">
        <v>57</v>
      </c>
      <c r="E61" s="2" t="s">
        <v>594</v>
      </c>
      <c r="F61" s="2">
        <v>5965976</v>
      </c>
      <c r="G61" s="2" t="s">
        <v>666</v>
      </c>
      <c r="H61" s="5"/>
      <c r="I61">
        <v>5000</v>
      </c>
      <c r="J61" s="27">
        <f t="shared" si="0"/>
        <v>4750</v>
      </c>
      <c r="K61" s="3">
        <v>475</v>
      </c>
      <c r="L61" s="29">
        <f t="shared" si="1"/>
        <v>4275</v>
      </c>
      <c r="M61" s="30">
        <v>0.05</v>
      </c>
      <c r="N61" s="31">
        <f t="shared" si="2"/>
        <v>250</v>
      </c>
      <c r="O61" s="32">
        <v>10</v>
      </c>
      <c r="P61" s="29">
        <f t="shared" si="3"/>
        <v>475</v>
      </c>
      <c r="Q61" s="31">
        <f t="shared" si="4"/>
        <v>1</v>
      </c>
      <c r="T61" s="3">
        <v>475</v>
      </c>
      <c r="U61" s="4"/>
      <c r="V61" s="4">
        <f t="shared" si="6"/>
        <v>4750</v>
      </c>
    </row>
    <row r="62" spans="2:22" x14ac:dyDescent="0.25">
      <c r="B62" s="1">
        <v>43</v>
      </c>
      <c r="C62" s="7">
        <v>14046394</v>
      </c>
      <c r="D62" s="2" t="s">
        <v>58</v>
      </c>
      <c r="E62" s="2" t="s">
        <v>592</v>
      </c>
      <c r="F62" s="2">
        <v>4761692</v>
      </c>
      <c r="G62" s="2" t="s">
        <v>667</v>
      </c>
      <c r="H62" s="5"/>
      <c r="I62">
        <v>5000</v>
      </c>
      <c r="J62" s="27">
        <f t="shared" si="0"/>
        <v>5000</v>
      </c>
      <c r="K62" s="3">
        <v>500</v>
      </c>
      <c r="L62" s="29">
        <f t="shared" si="1"/>
        <v>4500</v>
      </c>
      <c r="M62" s="30">
        <v>0</v>
      </c>
      <c r="N62" s="31">
        <f t="shared" si="2"/>
        <v>0</v>
      </c>
      <c r="O62" s="32">
        <v>10</v>
      </c>
      <c r="P62" s="29">
        <f t="shared" si="3"/>
        <v>500</v>
      </c>
      <c r="Q62" s="31">
        <f t="shared" si="4"/>
        <v>1</v>
      </c>
      <c r="T62" s="3">
        <v>500</v>
      </c>
      <c r="U62" s="4"/>
      <c r="V62" s="4">
        <f t="shared" si="6"/>
        <v>5000</v>
      </c>
    </row>
    <row r="63" spans="2:22" x14ac:dyDescent="0.25">
      <c r="B63" s="1">
        <v>44</v>
      </c>
      <c r="C63" s="7">
        <v>17591895</v>
      </c>
      <c r="D63" s="2" t="s">
        <v>59</v>
      </c>
      <c r="E63" s="2" t="s">
        <v>597</v>
      </c>
      <c r="F63" s="2">
        <v>4815056015</v>
      </c>
      <c r="G63" s="2" t="s">
        <v>668</v>
      </c>
      <c r="H63" s="5">
        <v>300</v>
      </c>
      <c r="I63">
        <v>5000</v>
      </c>
      <c r="J63" s="27">
        <f t="shared" si="0"/>
        <v>4700</v>
      </c>
      <c r="K63" s="3">
        <v>500</v>
      </c>
      <c r="L63" s="29">
        <f t="shared" si="1"/>
        <v>4500</v>
      </c>
      <c r="M63" s="30">
        <v>0</v>
      </c>
      <c r="N63" s="31">
        <f t="shared" si="2"/>
        <v>0</v>
      </c>
      <c r="O63" s="32">
        <v>10</v>
      </c>
      <c r="P63" s="29">
        <f t="shared" si="3"/>
        <v>470</v>
      </c>
      <c r="Q63" s="31">
        <f t="shared" si="4"/>
        <v>1</v>
      </c>
      <c r="T63" s="3">
        <v>500</v>
      </c>
      <c r="U63" s="4"/>
      <c r="V63" s="4">
        <f t="shared" si="6"/>
        <v>4400</v>
      </c>
    </row>
    <row r="64" spans="2:22" x14ac:dyDescent="0.25">
      <c r="B64" s="1">
        <v>45</v>
      </c>
      <c r="C64" s="7">
        <v>17033370</v>
      </c>
      <c r="D64" s="2" t="s">
        <v>60</v>
      </c>
      <c r="E64" s="2" t="s">
        <v>595</v>
      </c>
      <c r="F64" s="2">
        <v>8358444</v>
      </c>
      <c r="G64" s="2" t="s">
        <v>669</v>
      </c>
      <c r="H64" s="5">
        <v>300</v>
      </c>
      <c r="I64">
        <v>5000</v>
      </c>
      <c r="J64" s="27">
        <f t="shared" si="0"/>
        <v>4450</v>
      </c>
      <c r="K64" s="3">
        <v>475</v>
      </c>
      <c r="L64" s="29">
        <f t="shared" si="1"/>
        <v>4275</v>
      </c>
      <c r="M64" s="30">
        <v>0.05</v>
      </c>
      <c r="N64" s="31">
        <f t="shared" si="2"/>
        <v>250</v>
      </c>
      <c r="O64" s="32">
        <v>10</v>
      </c>
      <c r="P64" s="29">
        <f t="shared" si="3"/>
        <v>445</v>
      </c>
      <c r="Q64" s="31">
        <f t="shared" si="4"/>
        <v>1</v>
      </c>
      <c r="T64" s="3">
        <v>475</v>
      </c>
      <c r="U64" s="4">
        <v>175</v>
      </c>
      <c r="V64" s="4">
        <f t="shared" si="6"/>
        <v>3975</v>
      </c>
    </row>
    <row r="65" spans="2:22" x14ac:dyDescent="0.25">
      <c r="B65" s="1">
        <v>45</v>
      </c>
      <c r="C65" s="7">
        <v>15208948</v>
      </c>
      <c r="D65" s="2" t="s">
        <v>61</v>
      </c>
      <c r="E65" s="2" t="s">
        <v>599</v>
      </c>
      <c r="F65" s="2">
        <v>8358444</v>
      </c>
      <c r="G65" s="2" t="s">
        <v>669</v>
      </c>
      <c r="H65" s="5">
        <v>300</v>
      </c>
      <c r="I65">
        <v>5000</v>
      </c>
      <c r="J65" s="27">
        <f t="shared" si="0"/>
        <v>4700</v>
      </c>
      <c r="K65" s="3">
        <v>500</v>
      </c>
      <c r="L65" s="29">
        <f t="shared" si="1"/>
        <v>4500</v>
      </c>
      <c r="M65" s="30">
        <v>0</v>
      </c>
      <c r="N65" s="31">
        <f t="shared" si="2"/>
        <v>0</v>
      </c>
      <c r="O65" s="32">
        <v>10</v>
      </c>
      <c r="P65" s="29">
        <f t="shared" si="3"/>
        <v>470</v>
      </c>
      <c r="Q65" s="31">
        <f t="shared" si="4"/>
        <v>1</v>
      </c>
      <c r="T65" s="3">
        <v>500</v>
      </c>
      <c r="U65" s="4">
        <v>200</v>
      </c>
      <c r="V65" s="4">
        <f t="shared" si="6"/>
        <v>4200</v>
      </c>
    </row>
    <row r="66" spans="2:22" x14ac:dyDescent="0.25">
      <c r="B66" s="1">
        <v>46</v>
      </c>
      <c r="C66" s="7">
        <v>13694725</v>
      </c>
      <c r="D66" s="2" t="s">
        <v>62</v>
      </c>
      <c r="E66" s="2" t="s">
        <v>593</v>
      </c>
      <c r="F66" s="2">
        <v>4920561</v>
      </c>
      <c r="G66" s="2" t="s">
        <v>670</v>
      </c>
      <c r="H66" s="5"/>
      <c r="I66">
        <v>5000</v>
      </c>
      <c r="J66" s="27">
        <f t="shared" si="0"/>
        <v>5000</v>
      </c>
      <c r="K66" s="3">
        <v>500</v>
      </c>
      <c r="L66" s="29">
        <f t="shared" si="1"/>
        <v>4500</v>
      </c>
      <c r="M66" s="30">
        <v>0</v>
      </c>
      <c r="N66" s="31">
        <f t="shared" si="2"/>
        <v>0</v>
      </c>
      <c r="O66" s="32">
        <v>10</v>
      </c>
      <c r="P66" s="29">
        <f t="shared" si="3"/>
        <v>500</v>
      </c>
      <c r="Q66" s="31">
        <f t="shared" si="4"/>
        <v>1</v>
      </c>
      <c r="T66" s="3">
        <v>500</v>
      </c>
      <c r="U66" s="4"/>
      <c r="V66" s="4">
        <f t="shared" si="6"/>
        <v>5000</v>
      </c>
    </row>
    <row r="67" spans="2:22" x14ac:dyDescent="0.25">
      <c r="B67" s="1">
        <v>46</v>
      </c>
      <c r="C67" s="7">
        <v>16857329</v>
      </c>
      <c r="D67" s="2" t="s">
        <v>63</v>
      </c>
      <c r="E67" s="2" t="s">
        <v>592</v>
      </c>
      <c r="F67" s="2">
        <v>4920561</v>
      </c>
      <c r="G67" s="2" t="s">
        <v>670</v>
      </c>
      <c r="H67" s="5"/>
      <c r="I67">
        <v>5000</v>
      </c>
      <c r="J67" s="27">
        <f t="shared" ref="J67:J130" si="7">I67-H67-N67</f>
        <v>4750</v>
      </c>
      <c r="K67" s="3">
        <v>475</v>
      </c>
      <c r="L67" s="29">
        <f t="shared" ref="L67:L130" si="8">(I67-N67)-K67</f>
        <v>4275</v>
      </c>
      <c r="M67" s="30">
        <v>0.05</v>
      </c>
      <c r="N67" s="31">
        <f t="shared" ref="N67:N130" si="9">I67*M67</f>
        <v>250</v>
      </c>
      <c r="O67" s="32">
        <v>10</v>
      </c>
      <c r="P67" s="29">
        <f t="shared" ref="P67:P130" si="10">J67/O67</f>
        <v>475</v>
      </c>
      <c r="Q67" s="31">
        <f t="shared" ref="Q67:Q130" si="11">INT(K67/P67)</f>
        <v>1</v>
      </c>
      <c r="T67" s="3">
        <v>475</v>
      </c>
      <c r="U67" s="4"/>
      <c r="V67" s="4">
        <f t="shared" ref="V67:V98" si="12">J67-H67-U67</f>
        <v>4750</v>
      </c>
    </row>
    <row r="68" spans="2:22" x14ac:dyDescent="0.25">
      <c r="B68" s="1">
        <v>47</v>
      </c>
      <c r="C68" s="7">
        <v>16147158</v>
      </c>
      <c r="D68" s="2" t="s">
        <v>64</v>
      </c>
      <c r="E68" s="2" t="s">
        <v>597</v>
      </c>
      <c r="F68" s="2">
        <v>4992106</v>
      </c>
      <c r="G68" s="2" t="s">
        <v>671</v>
      </c>
      <c r="H68" s="5">
        <v>300</v>
      </c>
      <c r="I68">
        <v>5000</v>
      </c>
      <c r="J68" s="27">
        <f t="shared" si="7"/>
        <v>4700</v>
      </c>
      <c r="K68" s="3">
        <v>4750</v>
      </c>
      <c r="L68" s="29">
        <f t="shared" si="8"/>
        <v>250</v>
      </c>
      <c r="M68" s="30">
        <v>0</v>
      </c>
      <c r="N68" s="31">
        <f t="shared" si="9"/>
        <v>0</v>
      </c>
      <c r="O68" s="32">
        <v>10</v>
      </c>
      <c r="P68" s="29">
        <f t="shared" si="10"/>
        <v>470</v>
      </c>
      <c r="Q68" s="31">
        <f t="shared" si="11"/>
        <v>10</v>
      </c>
      <c r="T68" s="3">
        <v>4750</v>
      </c>
      <c r="U68" s="4"/>
      <c r="V68" s="4">
        <f t="shared" si="12"/>
        <v>4400</v>
      </c>
    </row>
    <row r="69" spans="2:22" x14ac:dyDescent="0.25">
      <c r="B69" s="1">
        <v>47</v>
      </c>
      <c r="C69" s="7">
        <v>15010035</v>
      </c>
      <c r="D69" s="2" t="s">
        <v>65</v>
      </c>
      <c r="E69" s="2" t="s">
        <v>599</v>
      </c>
      <c r="F69" s="2">
        <v>4992106</v>
      </c>
      <c r="G69" s="2" t="s">
        <v>671</v>
      </c>
      <c r="H69" s="5">
        <v>300</v>
      </c>
      <c r="I69">
        <v>5000</v>
      </c>
      <c r="J69" s="27">
        <f t="shared" si="7"/>
        <v>4700</v>
      </c>
      <c r="K69" s="3">
        <v>4750</v>
      </c>
      <c r="L69" s="29">
        <f t="shared" si="8"/>
        <v>250</v>
      </c>
      <c r="M69" s="30">
        <v>0</v>
      </c>
      <c r="N69" s="31">
        <f t="shared" si="9"/>
        <v>0</v>
      </c>
      <c r="O69" s="32">
        <v>10</v>
      </c>
      <c r="P69" s="29">
        <f t="shared" si="10"/>
        <v>470</v>
      </c>
      <c r="Q69" s="31">
        <f t="shared" si="11"/>
        <v>10</v>
      </c>
      <c r="T69" s="3">
        <v>4750</v>
      </c>
      <c r="U69" s="4"/>
      <c r="V69" s="4">
        <f t="shared" si="12"/>
        <v>4400</v>
      </c>
    </row>
    <row r="70" spans="2:22" x14ac:dyDescent="0.25">
      <c r="B70" s="1">
        <v>48</v>
      </c>
      <c r="C70" s="7">
        <v>15192394</v>
      </c>
      <c r="D70" s="2" t="s">
        <v>66</v>
      </c>
      <c r="E70" s="2" t="s">
        <v>594</v>
      </c>
      <c r="F70" s="2">
        <v>4916748</v>
      </c>
      <c r="G70" s="2" t="s">
        <v>672</v>
      </c>
      <c r="H70" s="5"/>
      <c r="I70">
        <v>5000</v>
      </c>
      <c r="J70" s="27">
        <f t="shared" si="7"/>
        <v>4750</v>
      </c>
      <c r="K70" s="3">
        <v>475</v>
      </c>
      <c r="L70" s="29">
        <f t="shared" si="8"/>
        <v>4275</v>
      </c>
      <c r="M70" s="30">
        <v>0.05</v>
      </c>
      <c r="N70" s="31">
        <f t="shared" si="9"/>
        <v>250</v>
      </c>
      <c r="O70" s="32">
        <v>10</v>
      </c>
      <c r="P70" s="29">
        <f t="shared" si="10"/>
        <v>475</v>
      </c>
      <c r="Q70" s="31">
        <f t="shared" si="11"/>
        <v>1</v>
      </c>
      <c r="T70" s="3">
        <v>475</v>
      </c>
      <c r="U70" s="4">
        <v>475</v>
      </c>
      <c r="V70" s="4">
        <f t="shared" si="12"/>
        <v>4275</v>
      </c>
    </row>
    <row r="71" spans="2:22" x14ac:dyDescent="0.25">
      <c r="B71" s="1">
        <v>48</v>
      </c>
      <c r="C71" s="7">
        <v>15192374</v>
      </c>
      <c r="D71" s="2" t="s">
        <v>67</v>
      </c>
      <c r="E71" s="2" t="s">
        <v>592</v>
      </c>
      <c r="F71" s="2">
        <v>4916748</v>
      </c>
      <c r="G71" s="2" t="s">
        <v>672</v>
      </c>
      <c r="H71" s="5">
        <v>300</v>
      </c>
      <c r="I71">
        <v>5000</v>
      </c>
      <c r="J71" s="27">
        <f t="shared" si="7"/>
        <v>4700</v>
      </c>
      <c r="K71" s="3">
        <v>500</v>
      </c>
      <c r="L71" s="29">
        <f t="shared" si="8"/>
        <v>4500</v>
      </c>
      <c r="M71" s="30">
        <v>0</v>
      </c>
      <c r="N71" s="31">
        <f t="shared" si="9"/>
        <v>0</v>
      </c>
      <c r="O71" s="32">
        <v>10</v>
      </c>
      <c r="P71" s="29">
        <f t="shared" si="10"/>
        <v>470</v>
      </c>
      <c r="Q71" s="31">
        <f t="shared" si="11"/>
        <v>1</v>
      </c>
      <c r="T71" s="3">
        <v>500</v>
      </c>
      <c r="U71" s="4">
        <v>200</v>
      </c>
      <c r="V71" s="4">
        <f t="shared" si="12"/>
        <v>4200</v>
      </c>
    </row>
    <row r="72" spans="2:22" x14ac:dyDescent="0.25">
      <c r="B72" s="1">
        <v>49</v>
      </c>
      <c r="C72" s="7">
        <v>14686748</v>
      </c>
      <c r="D72" s="2" t="s">
        <v>68</v>
      </c>
      <c r="E72" s="2" t="s">
        <v>592</v>
      </c>
      <c r="F72" s="2">
        <v>9863148</v>
      </c>
      <c r="G72" s="2" t="s">
        <v>673</v>
      </c>
      <c r="H72" s="5">
        <v>300</v>
      </c>
      <c r="I72">
        <v>5000</v>
      </c>
      <c r="J72" s="27">
        <f t="shared" si="7"/>
        <v>4700</v>
      </c>
      <c r="K72" s="3">
        <v>4750</v>
      </c>
      <c r="L72" s="29">
        <f t="shared" si="8"/>
        <v>250</v>
      </c>
      <c r="M72" s="30">
        <v>0</v>
      </c>
      <c r="N72" s="31">
        <f t="shared" si="9"/>
        <v>0</v>
      </c>
      <c r="O72" s="32">
        <v>10</v>
      </c>
      <c r="P72" s="29">
        <f t="shared" si="10"/>
        <v>470</v>
      </c>
      <c r="Q72" s="31">
        <f t="shared" si="11"/>
        <v>10</v>
      </c>
      <c r="T72" s="3">
        <v>4750</v>
      </c>
      <c r="U72" s="4">
        <v>450</v>
      </c>
      <c r="V72" s="4">
        <f t="shared" si="12"/>
        <v>3950</v>
      </c>
    </row>
    <row r="73" spans="2:22" x14ac:dyDescent="0.25">
      <c r="B73" s="1">
        <v>50</v>
      </c>
      <c r="C73" s="7">
        <v>16943028</v>
      </c>
      <c r="D73" s="2" t="s">
        <v>69</v>
      </c>
      <c r="E73" s="2" t="s">
        <v>595</v>
      </c>
      <c r="F73" s="2">
        <v>8279931</v>
      </c>
      <c r="G73" s="2" t="s">
        <v>674</v>
      </c>
      <c r="H73" s="5"/>
      <c r="I73">
        <v>5000</v>
      </c>
      <c r="J73" s="27">
        <f t="shared" si="7"/>
        <v>5000</v>
      </c>
      <c r="K73" s="3">
        <v>500</v>
      </c>
      <c r="L73" s="29">
        <f t="shared" si="8"/>
        <v>4500</v>
      </c>
      <c r="M73" s="30">
        <v>0</v>
      </c>
      <c r="N73" s="31">
        <f t="shared" si="9"/>
        <v>0</v>
      </c>
      <c r="O73" s="32">
        <v>10</v>
      </c>
      <c r="P73" s="29">
        <f t="shared" si="10"/>
        <v>500</v>
      </c>
      <c r="Q73" s="31">
        <f t="shared" si="11"/>
        <v>1</v>
      </c>
      <c r="T73" s="3">
        <v>500</v>
      </c>
      <c r="U73" s="4">
        <v>500</v>
      </c>
      <c r="V73" s="4">
        <f t="shared" si="12"/>
        <v>4500</v>
      </c>
    </row>
    <row r="74" spans="2:22" x14ac:dyDescent="0.25">
      <c r="B74" s="1">
        <v>51</v>
      </c>
      <c r="C74" s="7">
        <v>15118825</v>
      </c>
      <c r="D74" s="2" t="s">
        <v>70</v>
      </c>
      <c r="E74" s="2" t="s">
        <v>601</v>
      </c>
      <c r="F74" s="2">
        <v>3312854</v>
      </c>
      <c r="G74" s="2" t="s">
        <v>662</v>
      </c>
      <c r="H74" s="5"/>
      <c r="I74">
        <v>5000</v>
      </c>
      <c r="J74" s="27">
        <f t="shared" si="7"/>
        <v>5000</v>
      </c>
      <c r="K74" s="3">
        <v>500</v>
      </c>
      <c r="L74" s="29">
        <f t="shared" si="8"/>
        <v>4500</v>
      </c>
      <c r="M74" s="30">
        <v>0</v>
      </c>
      <c r="N74" s="31">
        <f t="shared" si="9"/>
        <v>0</v>
      </c>
      <c r="O74" s="32">
        <v>10</v>
      </c>
      <c r="P74" s="29">
        <f t="shared" si="10"/>
        <v>500</v>
      </c>
      <c r="Q74" s="31">
        <f t="shared" si="11"/>
        <v>1</v>
      </c>
      <c r="T74" s="3">
        <v>500</v>
      </c>
      <c r="U74" s="4"/>
      <c r="V74" s="4">
        <f t="shared" si="12"/>
        <v>5000</v>
      </c>
    </row>
    <row r="75" spans="2:22" x14ac:dyDescent="0.25">
      <c r="B75" s="1">
        <v>52</v>
      </c>
      <c r="C75" s="7">
        <v>16462364</v>
      </c>
      <c r="D75" s="2" t="s">
        <v>71</v>
      </c>
      <c r="E75" s="2" t="s">
        <v>597</v>
      </c>
      <c r="F75" s="2">
        <v>8440248</v>
      </c>
      <c r="G75" s="2" t="s">
        <v>675</v>
      </c>
      <c r="H75" s="5">
        <v>300</v>
      </c>
      <c r="I75">
        <v>5000</v>
      </c>
      <c r="J75" s="27">
        <f t="shared" si="7"/>
        <v>4700</v>
      </c>
      <c r="K75" s="3">
        <v>950</v>
      </c>
      <c r="L75" s="29">
        <f t="shared" si="8"/>
        <v>4050</v>
      </c>
      <c r="M75" s="30">
        <v>0</v>
      </c>
      <c r="N75" s="31">
        <f t="shared" si="9"/>
        <v>0</v>
      </c>
      <c r="O75" s="32">
        <v>10</v>
      </c>
      <c r="P75" s="29">
        <f t="shared" si="10"/>
        <v>470</v>
      </c>
      <c r="Q75" s="31">
        <f t="shared" si="11"/>
        <v>2</v>
      </c>
      <c r="T75" s="3">
        <v>950</v>
      </c>
      <c r="U75" s="4"/>
      <c r="V75" s="4">
        <f t="shared" si="12"/>
        <v>4400</v>
      </c>
    </row>
    <row r="76" spans="2:22" x14ac:dyDescent="0.25">
      <c r="B76" s="1">
        <v>52</v>
      </c>
      <c r="C76" s="7">
        <v>16247804</v>
      </c>
      <c r="D76" s="2" t="s">
        <v>72</v>
      </c>
      <c r="E76" s="2" t="s">
        <v>596</v>
      </c>
      <c r="F76" s="2">
        <v>8440248</v>
      </c>
      <c r="G76" s="2" t="s">
        <v>675</v>
      </c>
      <c r="H76" s="5">
        <v>300</v>
      </c>
      <c r="I76">
        <v>5000</v>
      </c>
      <c r="J76" s="27">
        <f t="shared" si="7"/>
        <v>4700</v>
      </c>
      <c r="K76" s="3">
        <v>1000</v>
      </c>
      <c r="L76" s="29">
        <f t="shared" si="8"/>
        <v>4000</v>
      </c>
      <c r="M76" s="30">
        <v>0</v>
      </c>
      <c r="N76" s="31">
        <f t="shared" si="9"/>
        <v>0</v>
      </c>
      <c r="O76" s="32">
        <v>10</v>
      </c>
      <c r="P76" s="29">
        <f t="shared" si="10"/>
        <v>470</v>
      </c>
      <c r="Q76" s="31">
        <f t="shared" si="11"/>
        <v>2</v>
      </c>
      <c r="T76" s="3">
        <v>1000</v>
      </c>
      <c r="U76" s="4"/>
      <c r="V76" s="4">
        <f t="shared" si="12"/>
        <v>4400</v>
      </c>
    </row>
    <row r="77" spans="2:22" x14ac:dyDescent="0.25">
      <c r="B77" s="1">
        <v>53</v>
      </c>
      <c r="C77" s="7">
        <v>16313438</v>
      </c>
      <c r="D77" s="2" t="s">
        <v>73</v>
      </c>
      <c r="E77" s="2" t="s">
        <v>597</v>
      </c>
      <c r="F77" s="2">
        <v>4363391</v>
      </c>
      <c r="G77" s="2" t="s">
        <v>676</v>
      </c>
      <c r="H77" s="5">
        <v>300</v>
      </c>
      <c r="I77">
        <v>5000</v>
      </c>
      <c r="J77" s="27">
        <f t="shared" si="7"/>
        <v>4700</v>
      </c>
      <c r="K77" s="3">
        <v>500</v>
      </c>
      <c r="L77" s="29">
        <f t="shared" si="8"/>
        <v>4500</v>
      </c>
      <c r="M77" s="30">
        <v>0</v>
      </c>
      <c r="N77" s="31">
        <f t="shared" si="9"/>
        <v>0</v>
      </c>
      <c r="O77" s="32">
        <v>10</v>
      </c>
      <c r="P77" s="29">
        <f t="shared" si="10"/>
        <v>470</v>
      </c>
      <c r="Q77" s="31">
        <f t="shared" si="11"/>
        <v>1</v>
      </c>
      <c r="T77" s="3">
        <v>500</v>
      </c>
      <c r="U77" s="4"/>
      <c r="V77" s="4">
        <f t="shared" si="12"/>
        <v>4400</v>
      </c>
    </row>
    <row r="78" spans="2:22" x14ac:dyDescent="0.25">
      <c r="B78" s="1">
        <v>54</v>
      </c>
      <c r="C78" s="7">
        <v>16278863</v>
      </c>
      <c r="D78" s="2" t="s">
        <v>74</v>
      </c>
      <c r="E78" s="2" t="s">
        <v>597</v>
      </c>
      <c r="F78" s="2">
        <v>7280612</v>
      </c>
      <c r="G78" s="2" t="s">
        <v>677</v>
      </c>
      <c r="H78" s="5"/>
      <c r="I78">
        <v>5000</v>
      </c>
      <c r="J78" s="27">
        <f t="shared" si="7"/>
        <v>4750</v>
      </c>
      <c r="K78" s="3">
        <v>475</v>
      </c>
      <c r="L78" s="29">
        <f t="shared" si="8"/>
        <v>4275</v>
      </c>
      <c r="M78" s="30">
        <v>0.05</v>
      </c>
      <c r="N78" s="31">
        <f t="shared" si="9"/>
        <v>250</v>
      </c>
      <c r="O78" s="32">
        <v>10</v>
      </c>
      <c r="P78" s="29">
        <f t="shared" si="10"/>
        <v>475</v>
      </c>
      <c r="Q78" s="31">
        <f t="shared" si="11"/>
        <v>1</v>
      </c>
      <c r="T78" s="3">
        <v>475</v>
      </c>
      <c r="U78" s="4"/>
      <c r="V78" s="4">
        <f t="shared" si="12"/>
        <v>4750</v>
      </c>
    </row>
    <row r="79" spans="2:22" x14ac:dyDescent="0.25">
      <c r="B79" s="1">
        <v>54</v>
      </c>
      <c r="C79" s="7">
        <v>15281322</v>
      </c>
      <c r="D79" s="2" t="s">
        <v>75</v>
      </c>
      <c r="E79" s="2" t="s">
        <v>599</v>
      </c>
      <c r="F79" s="2">
        <v>7280612</v>
      </c>
      <c r="G79" s="2" t="s">
        <v>677</v>
      </c>
      <c r="H79" s="5"/>
      <c r="I79">
        <v>5000</v>
      </c>
      <c r="J79" s="27">
        <f t="shared" si="7"/>
        <v>5000</v>
      </c>
      <c r="K79" s="3">
        <v>500</v>
      </c>
      <c r="L79" s="29">
        <f t="shared" si="8"/>
        <v>4500</v>
      </c>
      <c r="M79" s="30">
        <v>0</v>
      </c>
      <c r="N79" s="31">
        <f t="shared" si="9"/>
        <v>0</v>
      </c>
      <c r="O79" s="32">
        <v>10</v>
      </c>
      <c r="P79" s="29">
        <f t="shared" si="10"/>
        <v>500</v>
      </c>
      <c r="Q79" s="31">
        <f t="shared" si="11"/>
        <v>1</v>
      </c>
      <c r="T79" s="3">
        <v>500</v>
      </c>
      <c r="U79" s="4"/>
      <c r="V79" s="4">
        <f t="shared" si="12"/>
        <v>5000</v>
      </c>
    </row>
    <row r="80" spans="2:22" x14ac:dyDescent="0.25">
      <c r="B80" s="1">
        <v>55</v>
      </c>
      <c r="C80" s="7">
        <v>15654532</v>
      </c>
      <c r="D80" s="2" t="s">
        <v>76</v>
      </c>
      <c r="E80" s="2" t="s">
        <v>599</v>
      </c>
      <c r="F80" s="2">
        <v>6758715</v>
      </c>
      <c r="G80" s="2" t="s">
        <v>666</v>
      </c>
      <c r="H80" s="5"/>
      <c r="I80">
        <v>5000</v>
      </c>
      <c r="J80" s="27">
        <f t="shared" si="7"/>
        <v>5000</v>
      </c>
      <c r="K80" s="3">
        <v>900</v>
      </c>
      <c r="L80" s="29">
        <f t="shared" si="8"/>
        <v>4100</v>
      </c>
      <c r="M80" s="30">
        <v>0</v>
      </c>
      <c r="N80" s="31">
        <f t="shared" si="9"/>
        <v>0</v>
      </c>
      <c r="O80" s="32">
        <v>10</v>
      </c>
      <c r="P80" s="29">
        <f t="shared" si="10"/>
        <v>500</v>
      </c>
      <c r="Q80" s="31">
        <f t="shared" si="11"/>
        <v>1</v>
      </c>
      <c r="T80" s="3">
        <v>900</v>
      </c>
      <c r="U80" s="4"/>
      <c r="V80" s="4">
        <f t="shared" si="12"/>
        <v>5000</v>
      </c>
    </row>
    <row r="81" spans="2:22" x14ac:dyDescent="0.25">
      <c r="B81" s="1">
        <v>55</v>
      </c>
      <c r="C81" s="7">
        <v>13846648</v>
      </c>
      <c r="D81" s="2" t="s">
        <v>77</v>
      </c>
      <c r="E81" s="2" t="s">
        <v>592</v>
      </c>
      <c r="F81" s="2">
        <v>6758715</v>
      </c>
      <c r="G81" s="2" t="s">
        <v>666</v>
      </c>
      <c r="H81" s="5"/>
      <c r="I81">
        <v>5000</v>
      </c>
      <c r="J81" s="27">
        <f t="shared" si="7"/>
        <v>5000</v>
      </c>
      <c r="K81" s="3">
        <v>950</v>
      </c>
      <c r="L81" s="29">
        <f t="shared" si="8"/>
        <v>4050</v>
      </c>
      <c r="M81" s="30">
        <v>0</v>
      </c>
      <c r="N81" s="31">
        <f t="shared" si="9"/>
        <v>0</v>
      </c>
      <c r="O81" s="32">
        <v>10</v>
      </c>
      <c r="P81" s="29">
        <f t="shared" si="10"/>
        <v>500</v>
      </c>
      <c r="Q81" s="31">
        <f t="shared" si="11"/>
        <v>1</v>
      </c>
      <c r="T81" s="3">
        <v>950</v>
      </c>
      <c r="U81" s="4"/>
      <c r="V81" s="4">
        <f t="shared" si="12"/>
        <v>5000</v>
      </c>
    </row>
    <row r="82" spans="2:22" x14ac:dyDescent="0.25">
      <c r="B82" s="1">
        <v>55</v>
      </c>
      <c r="C82" s="7">
        <v>12829981</v>
      </c>
      <c r="D82" s="2" t="s">
        <v>78</v>
      </c>
      <c r="E82" s="2" t="s">
        <v>593</v>
      </c>
      <c r="F82" s="2">
        <v>6758715</v>
      </c>
      <c r="G82" s="2" t="s">
        <v>666</v>
      </c>
      <c r="H82" s="5"/>
      <c r="I82">
        <v>5000</v>
      </c>
      <c r="J82" s="27">
        <f t="shared" si="7"/>
        <v>5000</v>
      </c>
      <c r="K82" s="3">
        <v>1000</v>
      </c>
      <c r="L82" s="29">
        <f t="shared" si="8"/>
        <v>4000</v>
      </c>
      <c r="M82" s="30">
        <v>0</v>
      </c>
      <c r="N82" s="31">
        <f t="shared" si="9"/>
        <v>0</v>
      </c>
      <c r="O82" s="32">
        <v>10</v>
      </c>
      <c r="P82" s="29">
        <f t="shared" si="10"/>
        <v>500</v>
      </c>
      <c r="Q82" s="31">
        <f t="shared" si="11"/>
        <v>2</v>
      </c>
      <c r="T82" s="3">
        <v>1000</v>
      </c>
      <c r="U82" s="4"/>
      <c r="V82" s="4">
        <f t="shared" si="12"/>
        <v>5000</v>
      </c>
    </row>
    <row r="83" spans="2:22" x14ac:dyDescent="0.25">
      <c r="B83" s="1">
        <v>56</v>
      </c>
      <c r="C83" s="7">
        <v>14181365</v>
      </c>
      <c r="D83" s="2" t="s">
        <v>79</v>
      </c>
      <c r="E83" s="2" t="s">
        <v>603</v>
      </c>
      <c r="F83" s="2">
        <v>5941254</v>
      </c>
      <c r="G83" s="2" t="s">
        <v>678</v>
      </c>
      <c r="H83" s="5">
        <v>300</v>
      </c>
      <c r="I83">
        <v>5000</v>
      </c>
      <c r="J83" s="27">
        <f t="shared" si="7"/>
        <v>4700</v>
      </c>
      <c r="K83" s="3">
        <v>500</v>
      </c>
      <c r="L83" s="29">
        <f t="shared" si="8"/>
        <v>4500</v>
      </c>
      <c r="M83" s="30">
        <v>0</v>
      </c>
      <c r="N83" s="31">
        <f t="shared" si="9"/>
        <v>0</v>
      </c>
      <c r="O83" s="32">
        <v>10</v>
      </c>
      <c r="P83" s="29">
        <f t="shared" si="10"/>
        <v>470</v>
      </c>
      <c r="Q83" s="31">
        <f t="shared" si="11"/>
        <v>1</v>
      </c>
      <c r="T83" s="3">
        <v>500</v>
      </c>
      <c r="U83" s="4"/>
      <c r="V83" s="4">
        <f t="shared" si="12"/>
        <v>4400</v>
      </c>
    </row>
    <row r="84" spans="2:22" x14ac:dyDescent="0.25">
      <c r="B84" s="1">
        <v>56</v>
      </c>
      <c r="C84" s="7">
        <v>16219640</v>
      </c>
      <c r="D84" s="2" t="s">
        <v>80</v>
      </c>
      <c r="E84" s="2" t="s">
        <v>592</v>
      </c>
      <c r="F84" s="2">
        <v>5941254</v>
      </c>
      <c r="G84" s="2" t="s">
        <v>678</v>
      </c>
      <c r="H84" s="5">
        <v>300</v>
      </c>
      <c r="I84">
        <v>5000</v>
      </c>
      <c r="J84" s="27">
        <f t="shared" si="7"/>
        <v>4450</v>
      </c>
      <c r="K84" s="3">
        <v>475</v>
      </c>
      <c r="L84" s="29">
        <f t="shared" si="8"/>
        <v>4275</v>
      </c>
      <c r="M84" s="30">
        <v>0.05</v>
      </c>
      <c r="N84" s="31">
        <f t="shared" si="9"/>
        <v>250</v>
      </c>
      <c r="O84" s="32">
        <v>10</v>
      </c>
      <c r="P84" s="29">
        <f t="shared" si="10"/>
        <v>445</v>
      </c>
      <c r="Q84" s="31">
        <f t="shared" si="11"/>
        <v>1</v>
      </c>
      <c r="T84" s="3">
        <v>475</v>
      </c>
      <c r="U84" s="4"/>
      <c r="V84" s="4">
        <f t="shared" si="12"/>
        <v>4150</v>
      </c>
    </row>
    <row r="85" spans="2:22" x14ac:dyDescent="0.25">
      <c r="B85" s="1">
        <v>57</v>
      </c>
      <c r="C85" s="7">
        <v>17104238</v>
      </c>
      <c r="D85" s="2" t="s">
        <v>81</v>
      </c>
      <c r="E85" s="2" t="s">
        <v>595</v>
      </c>
      <c r="F85" s="2">
        <v>8307970</v>
      </c>
      <c r="G85" s="2" t="s">
        <v>679</v>
      </c>
      <c r="H85" s="5"/>
      <c r="I85">
        <v>5000</v>
      </c>
      <c r="J85" s="27">
        <f t="shared" si="7"/>
        <v>5000</v>
      </c>
      <c r="K85" s="3">
        <v>500</v>
      </c>
      <c r="L85" s="29">
        <f t="shared" si="8"/>
        <v>4500</v>
      </c>
      <c r="M85" s="30">
        <v>0</v>
      </c>
      <c r="N85" s="31">
        <f t="shared" si="9"/>
        <v>0</v>
      </c>
      <c r="O85" s="32">
        <v>10</v>
      </c>
      <c r="P85" s="29">
        <f t="shared" si="10"/>
        <v>500</v>
      </c>
      <c r="Q85" s="31">
        <f t="shared" si="11"/>
        <v>1</v>
      </c>
      <c r="T85" s="3">
        <v>500</v>
      </c>
      <c r="U85" s="4"/>
      <c r="V85" s="4">
        <f t="shared" si="12"/>
        <v>5000</v>
      </c>
    </row>
    <row r="86" spans="2:22" x14ac:dyDescent="0.25">
      <c r="B86" s="1">
        <v>58</v>
      </c>
      <c r="C86" s="7">
        <v>14947466</v>
      </c>
      <c r="D86" s="2" t="s">
        <v>82</v>
      </c>
      <c r="E86" s="2" t="s">
        <v>592</v>
      </c>
      <c r="F86" s="2">
        <v>13085333</v>
      </c>
      <c r="G86" s="2" t="s">
        <v>680</v>
      </c>
      <c r="H86" s="5"/>
      <c r="I86">
        <v>5000</v>
      </c>
      <c r="J86" s="27">
        <f t="shared" si="7"/>
        <v>5000</v>
      </c>
      <c r="K86" s="3">
        <v>500</v>
      </c>
      <c r="L86" s="29">
        <f t="shared" si="8"/>
        <v>4500</v>
      </c>
      <c r="M86" s="30">
        <v>0</v>
      </c>
      <c r="N86" s="31">
        <f t="shared" si="9"/>
        <v>0</v>
      </c>
      <c r="O86" s="32">
        <v>10</v>
      </c>
      <c r="P86" s="29">
        <f t="shared" si="10"/>
        <v>500</v>
      </c>
      <c r="Q86" s="31">
        <f t="shared" si="11"/>
        <v>1</v>
      </c>
      <c r="T86" s="3">
        <v>500</v>
      </c>
      <c r="U86" s="4"/>
      <c r="V86" s="4">
        <f t="shared" si="12"/>
        <v>5000</v>
      </c>
    </row>
    <row r="87" spans="2:22" x14ac:dyDescent="0.25">
      <c r="B87" s="1">
        <v>58</v>
      </c>
      <c r="C87" s="7">
        <v>17080870</v>
      </c>
      <c r="D87" s="2" t="s">
        <v>83</v>
      </c>
      <c r="E87" s="2" t="s">
        <v>595</v>
      </c>
      <c r="F87" s="2">
        <v>13085333</v>
      </c>
      <c r="G87" s="2" t="s">
        <v>680</v>
      </c>
      <c r="H87" s="5"/>
      <c r="I87">
        <v>5000</v>
      </c>
      <c r="J87" s="27">
        <f t="shared" si="7"/>
        <v>4750</v>
      </c>
      <c r="K87" s="3">
        <v>475</v>
      </c>
      <c r="L87" s="29">
        <f t="shared" si="8"/>
        <v>4275</v>
      </c>
      <c r="M87" s="30">
        <v>0.05</v>
      </c>
      <c r="N87" s="31">
        <f t="shared" si="9"/>
        <v>250</v>
      </c>
      <c r="O87" s="32">
        <v>10</v>
      </c>
      <c r="P87" s="29">
        <f t="shared" si="10"/>
        <v>475</v>
      </c>
      <c r="Q87" s="31">
        <f t="shared" si="11"/>
        <v>1</v>
      </c>
      <c r="T87" s="3">
        <v>475</v>
      </c>
      <c r="U87" s="4"/>
      <c r="V87" s="4">
        <f t="shared" si="12"/>
        <v>4750</v>
      </c>
    </row>
    <row r="88" spans="2:22" x14ac:dyDescent="0.25">
      <c r="B88" s="1">
        <v>59</v>
      </c>
      <c r="C88" s="7">
        <v>16146854</v>
      </c>
      <c r="D88" s="2" t="s">
        <v>84</v>
      </c>
      <c r="E88" s="2" t="s">
        <v>597</v>
      </c>
      <c r="F88" s="2">
        <v>10066725</v>
      </c>
      <c r="G88" s="2" t="s">
        <v>681</v>
      </c>
      <c r="H88" s="5"/>
      <c r="I88">
        <v>5000</v>
      </c>
      <c r="J88" s="27">
        <f t="shared" si="7"/>
        <v>5000</v>
      </c>
      <c r="K88" s="3">
        <v>500</v>
      </c>
      <c r="L88" s="29">
        <f t="shared" si="8"/>
        <v>4500</v>
      </c>
      <c r="M88" s="30">
        <v>0</v>
      </c>
      <c r="N88" s="31">
        <f t="shared" si="9"/>
        <v>0</v>
      </c>
      <c r="O88" s="32">
        <v>10</v>
      </c>
      <c r="P88" s="29">
        <f t="shared" si="10"/>
        <v>500</v>
      </c>
      <c r="Q88" s="31">
        <f t="shared" si="11"/>
        <v>1</v>
      </c>
      <c r="T88" s="3">
        <v>500</v>
      </c>
      <c r="U88" s="4"/>
      <c r="V88" s="4">
        <f t="shared" si="12"/>
        <v>5000</v>
      </c>
    </row>
    <row r="89" spans="2:22" x14ac:dyDescent="0.25">
      <c r="B89" s="1">
        <v>60</v>
      </c>
      <c r="C89" s="7">
        <v>15164898</v>
      </c>
      <c r="D89" s="2" t="s">
        <v>85</v>
      </c>
      <c r="E89" s="2" t="s">
        <v>599</v>
      </c>
      <c r="F89" s="2">
        <v>6004461019</v>
      </c>
      <c r="G89" s="2" t="s">
        <v>682</v>
      </c>
      <c r="H89" s="5">
        <v>300</v>
      </c>
      <c r="I89">
        <v>5000</v>
      </c>
      <c r="J89" s="27">
        <f t="shared" si="7"/>
        <v>4450</v>
      </c>
      <c r="K89" s="3">
        <v>475</v>
      </c>
      <c r="L89" s="29">
        <f t="shared" si="8"/>
        <v>4275</v>
      </c>
      <c r="M89" s="30">
        <v>0.05</v>
      </c>
      <c r="N89" s="31">
        <f t="shared" si="9"/>
        <v>250</v>
      </c>
      <c r="O89" s="32">
        <v>10</v>
      </c>
      <c r="P89" s="29">
        <f t="shared" si="10"/>
        <v>445</v>
      </c>
      <c r="Q89" s="31">
        <f t="shared" si="11"/>
        <v>1</v>
      </c>
      <c r="T89" s="3">
        <v>475</v>
      </c>
      <c r="U89" s="4"/>
      <c r="V89" s="4">
        <f t="shared" si="12"/>
        <v>4150</v>
      </c>
    </row>
    <row r="90" spans="2:22" x14ac:dyDescent="0.25">
      <c r="B90" s="1">
        <v>60</v>
      </c>
      <c r="C90" s="7">
        <v>16301142</v>
      </c>
      <c r="D90" s="2" t="s">
        <v>86</v>
      </c>
      <c r="E90" s="2" t="s">
        <v>592</v>
      </c>
      <c r="F90" s="2">
        <v>6004461019</v>
      </c>
      <c r="G90" s="2" t="s">
        <v>682</v>
      </c>
      <c r="H90" s="5">
        <v>300</v>
      </c>
      <c r="I90">
        <v>5000</v>
      </c>
      <c r="J90" s="27">
        <f t="shared" si="7"/>
        <v>4700</v>
      </c>
      <c r="K90" s="3">
        <v>500</v>
      </c>
      <c r="L90" s="29">
        <f t="shared" si="8"/>
        <v>4500</v>
      </c>
      <c r="M90" s="30">
        <v>0</v>
      </c>
      <c r="N90" s="31">
        <f t="shared" si="9"/>
        <v>0</v>
      </c>
      <c r="O90" s="32">
        <v>10</v>
      </c>
      <c r="P90" s="29">
        <f t="shared" si="10"/>
        <v>470</v>
      </c>
      <c r="Q90" s="31">
        <f t="shared" si="11"/>
        <v>1</v>
      </c>
      <c r="T90" s="3">
        <v>500</v>
      </c>
      <c r="U90" s="4"/>
      <c r="V90" s="4">
        <f t="shared" si="12"/>
        <v>4400</v>
      </c>
    </row>
    <row r="91" spans="2:22" x14ac:dyDescent="0.25">
      <c r="B91" s="1">
        <v>61</v>
      </c>
      <c r="C91" s="7">
        <v>14182965</v>
      </c>
      <c r="D91" s="2" t="s">
        <v>87</v>
      </c>
      <c r="E91" s="2" t="s">
        <v>592</v>
      </c>
      <c r="F91" s="2">
        <v>6805635013</v>
      </c>
      <c r="G91" s="2" t="s">
        <v>683</v>
      </c>
      <c r="H91" s="5">
        <v>300</v>
      </c>
      <c r="I91">
        <v>5000</v>
      </c>
      <c r="J91" s="27">
        <f t="shared" si="7"/>
        <v>4450</v>
      </c>
      <c r="K91" s="3">
        <v>475</v>
      </c>
      <c r="L91" s="29">
        <f t="shared" si="8"/>
        <v>4275</v>
      </c>
      <c r="M91" s="30">
        <v>0.05</v>
      </c>
      <c r="N91" s="31">
        <f t="shared" si="9"/>
        <v>250</v>
      </c>
      <c r="O91" s="32">
        <v>10</v>
      </c>
      <c r="P91" s="29">
        <f t="shared" si="10"/>
        <v>445</v>
      </c>
      <c r="Q91" s="31">
        <f t="shared" si="11"/>
        <v>1</v>
      </c>
      <c r="T91" s="3">
        <v>475</v>
      </c>
      <c r="U91" s="4"/>
      <c r="V91" s="4">
        <f t="shared" si="12"/>
        <v>4150</v>
      </c>
    </row>
    <row r="92" spans="2:22" x14ac:dyDescent="0.25">
      <c r="B92" s="1">
        <v>61</v>
      </c>
      <c r="C92" s="7">
        <v>16853616</v>
      </c>
      <c r="D92" s="2" t="s">
        <v>88</v>
      </c>
      <c r="E92" s="2" t="s">
        <v>595</v>
      </c>
      <c r="F92" s="2">
        <v>6805635013</v>
      </c>
      <c r="G92" s="2" t="s">
        <v>683</v>
      </c>
      <c r="H92" s="5">
        <v>300</v>
      </c>
      <c r="I92">
        <v>5000</v>
      </c>
      <c r="J92" s="27">
        <f t="shared" si="7"/>
        <v>4700</v>
      </c>
      <c r="K92" s="3">
        <v>500</v>
      </c>
      <c r="L92" s="29">
        <f t="shared" si="8"/>
        <v>4500</v>
      </c>
      <c r="M92" s="30">
        <v>0</v>
      </c>
      <c r="N92" s="31">
        <f t="shared" si="9"/>
        <v>0</v>
      </c>
      <c r="O92" s="32">
        <v>10</v>
      </c>
      <c r="P92" s="29">
        <f t="shared" si="10"/>
        <v>470</v>
      </c>
      <c r="Q92" s="31">
        <f t="shared" si="11"/>
        <v>1</v>
      </c>
      <c r="T92" s="3">
        <v>500</v>
      </c>
      <c r="U92" s="4"/>
      <c r="V92" s="4">
        <f t="shared" si="12"/>
        <v>4400</v>
      </c>
    </row>
    <row r="93" spans="2:22" x14ac:dyDescent="0.25">
      <c r="B93" s="1">
        <v>62</v>
      </c>
      <c r="C93" s="7">
        <v>13971523</v>
      </c>
      <c r="D93" s="2" t="s">
        <v>89</v>
      </c>
      <c r="E93" s="2" t="s">
        <v>592</v>
      </c>
      <c r="F93" s="2">
        <v>6906258013</v>
      </c>
      <c r="G93" s="2" t="s">
        <v>684</v>
      </c>
      <c r="H93" s="5">
        <v>300</v>
      </c>
      <c r="I93">
        <v>5000</v>
      </c>
      <c r="J93" s="27">
        <f t="shared" si="7"/>
        <v>4700</v>
      </c>
      <c r="K93" s="3">
        <v>500</v>
      </c>
      <c r="L93" s="29">
        <f t="shared" si="8"/>
        <v>4500</v>
      </c>
      <c r="M93" s="30">
        <v>0</v>
      </c>
      <c r="N93" s="31">
        <f t="shared" si="9"/>
        <v>0</v>
      </c>
      <c r="O93" s="32">
        <v>10</v>
      </c>
      <c r="P93" s="29">
        <f t="shared" si="10"/>
        <v>470</v>
      </c>
      <c r="Q93" s="31">
        <f t="shared" si="11"/>
        <v>1</v>
      </c>
      <c r="T93" s="3">
        <v>500</v>
      </c>
      <c r="U93" s="4"/>
      <c r="V93" s="4">
        <f t="shared" si="12"/>
        <v>4400</v>
      </c>
    </row>
    <row r="94" spans="2:22" x14ac:dyDescent="0.25">
      <c r="B94" s="1">
        <v>62</v>
      </c>
      <c r="C94" s="7">
        <v>1591366</v>
      </c>
      <c r="D94" s="2" t="s">
        <v>90</v>
      </c>
      <c r="E94" s="2" t="s">
        <v>596</v>
      </c>
      <c r="F94" s="2">
        <v>6906258013</v>
      </c>
      <c r="G94" s="2" t="s">
        <v>684</v>
      </c>
      <c r="H94" s="5">
        <v>300</v>
      </c>
      <c r="I94">
        <v>5000</v>
      </c>
      <c r="J94" s="27">
        <f t="shared" si="7"/>
        <v>4450</v>
      </c>
      <c r="K94" s="3">
        <v>475</v>
      </c>
      <c r="L94" s="29">
        <f t="shared" si="8"/>
        <v>4275</v>
      </c>
      <c r="M94" s="30">
        <v>0.05</v>
      </c>
      <c r="N94" s="31">
        <f t="shared" si="9"/>
        <v>250</v>
      </c>
      <c r="O94" s="32">
        <v>10</v>
      </c>
      <c r="P94" s="29">
        <f t="shared" si="10"/>
        <v>445</v>
      </c>
      <c r="Q94" s="31">
        <f t="shared" si="11"/>
        <v>1</v>
      </c>
      <c r="T94" s="3">
        <v>475</v>
      </c>
      <c r="U94" s="4"/>
      <c r="V94" s="4">
        <f t="shared" si="12"/>
        <v>4150</v>
      </c>
    </row>
    <row r="95" spans="2:22" x14ac:dyDescent="0.25">
      <c r="B95" s="1">
        <v>63</v>
      </c>
      <c r="C95" s="7">
        <v>12957404</v>
      </c>
      <c r="D95" s="2" t="s">
        <v>91</v>
      </c>
      <c r="E95" s="2" t="s">
        <v>603</v>
      </c>
      <c r="F95" s="2">
        <v>3495888</v>
      </c>
      <c r="G95" s="2" t="s">
        <v>685</v>
      </c>
      <c r="H95" s="5"/>
      <c r="I95">
        <v>5000</v>
      </c>
      <c r="J95" s="27">
        <f t="shared" si="7"/>
        <v>5000</v>
      </c>
      <c r="K95" s="3">
        <v>500</v>
      </c>
      <c r="L95" s="29">
        <f t="shared" si="8"/>
        <v>4500</v>
      </c>
      <c r="M95" s="30">
        <v>0</v>
      </c>
      <c r="N95" s="31">
        <f t="shared" si="9"/>
        <v>0</v>
      </c>
      <c r="O95" s="32">
        <v>10</v>
      </c>
      <c r="P95" s="29">
        <f t="shared" si="10"/>
        <v>500</v>
      </c>
      <c r="Q95" s="31">
        <f t="shared" si="11"/>
        <v>1</v>
      </c>
      <c r="T95" s="3">
        <v>500</v>
      </c>
      <c r="U95" s="4">
        <v>500</v>
      </c>
      <c r="V95" s="4">
        <f t="shared" si="12"/>
        <v>4500</v>
      </c>
    </row>
    <row r="96" spans="2:22" x14ac:dyDescent="0.25">
      <c r="B96" s="1">
        <v>63</v>
      </c>
      <c r="C96" s="7">
        <v>16488712</v>
      </c>
      <c r="D96" s="2" t="s">
        <v>92</v>
      </c>
      <c r="E96" s="2" t="s">
        <v>598</v>
      </c>
      <c r="F96" s="2">
        <v>3495888</v>
      </c>
      <c r="G96" s="2" t="s">
        <v>685</v>
      </c>
      <c r="H96" s="5"/>
      <c r="I96">
        <v>5000</v>
      </c>
      <c r="J96" s="27">
        <f t="shared" si="7"/>
        <v>4750</v>
      </c>
      <c r="K96" s="3">
        <v>475</v>
      </c>
      <c r="L96" s="29">
        <f t="shared" si="8"/>
        <v>4275</v>
      </c>
      <c r="M96" s="30">
        <v>0.05</v>
      </c>
      <c r="N96" s="31">
        <f t="shared" si="9"/>
        <v>250</v>
      </c>
      <c r="O96" s="32">
        <v>10</v>
      </c>
      <c r="P96" s="29">
        <f t="shared" si="10"/>
        <v>475</v>
      </c>
      <c r="Q96" s="31">
        <f t="shared" si="11"/>
        <v>1</v>
      </c>
      <c r="T96" s="3">
        <v>475</v>
      </c>
      <c r="U96" s="4">
        <v>475</v>
      </c>
      <c r="V96" s="4">
        <f t="shared" si="12"/>
        <v>4275</v>
      </c>
    </row>
    <row r="97" spans="2:22" x14ac:dyDescent="0.25">
      <c r="B97" s="1">
        <v>64</v>
      </c>
      <c r="C97" s="7">
        <v>16755129</v>
      </c>
      <c r="D97" s="2" t="s">
        <v>93</v>
      </c>
      <c r="E97" s="2" t="s">
        <v>597</v>
      </c>
      <c r="F97" s="2">
        <v>7052426</v>
      </c>
      <c r="G97" s="2" t="s">
        <v>686</v>
      </c>
      <c r="H97" s="5">
        <v>300</v>
      </c>
      <c r="I97">
        <v>5000</v>
      </c>
      <c r="J97" s="27">
        <f t="shared" si="7"/>
        <v>4700</v>
      </c>
      <c r="K97" s="3">
        <v>500</v>
      </c>
      <c r="L97" s="29">
        <f t="shared" si="8"/>
        <v>4500</v>
      </c>
      <c r="M97" s="30">
        <v>0</v>
      </c>
      <c r="N97" s="31">
        <f t="shared" si="9"/>
        <v>0</v>
      </c>
      <c r="O97" s="32">
        <v>10</v>
      </c>
      <c r="P97" s="29">
        <f t="shared" si="10"/>
        <v>470</v>
      </c>
      <c r="Q97" s="31">
        <f t="shared" si="11"/>
        <v>1</v>
      </c>
      <c r="T97" s="3">
        <v>500</v>
      </c>
      <c r="U97" s="4"/>
      <c r="V97" s="4">
        <f t="shared" si="12"/>
        <v>4400</v>
      </c>
    </row>
    <row r="98" spans="2:22" x14ac:dyDescent="0.25">
      <c r="B98" s="1">
        <v>65</v>
      </c>
      <c r="C98" s="7">
        <v>15126266</v>
      </c>
      <c r="D98" s="2" t="s">
        <v>94</v>
      </c>
      <c r="E98" s="2" t="s">
        <v>592</v>
      </c>
      <c r="F98" s="2">
        <v>4997695</v>
      </c>
      <c r="G98" s="2" t="s">
        <v>687</v>
      </c>
      <c r="H98" s="5"/>
      <c r="I98">
        <v>5000</v>
      </c>
      <c r="J98" s="27">
        <f t="shared" si="7"/>
        <v>5000</v>
      </c>
      <c r="K98" s="3">
        <v>500</v>
      </c>
      <c r="L98" s="29">
        <f t="shared" si="8"/>
        <v>4500</v>
      </c>
      <c r="M98" s="30">
        <v>0</v>
      </c>
      <c r="N98" s="31">
        <f t="shared" si="9"/>
        <v>0</v>
      </c>
      <c r="O98" s="32">
        <v>10</v>
      </c>
      <c r="P98" s="29">
        <f t="shared" si="10"/>
        <v>500</v>
      </c>
      <c r="Q98" s="31">
        <f t="shared" si="11"/>
        <v>1</v>
      </c>
      <c r="T98" s="3">
        <v>500</v>
      </c>
      <c r="U98" s="4">
        <v>500</v>
      </c>
      <c r="V98" s="4">
        <f t="shared" si="12"/>
        <v>4500</v>
      </c>
    </row>
    <row r="99" spans="2:22" x14ac:dyDescent="0.25">
      <c r="B99" s="1">
        <v>66</v>
      </c>
      <c r="C99" s="7">
        <v>16759704</v>
      </c>
      <c r="D99" s="2" t="s">
        <v>95</v>
      </c>
      <c r="E99" s="2" t="s">
        <v>597</v>
      </c>
      <c r="F99" s="2">
        <v>7269361</v>
      </c>
      <c r="G99" s="2" t="s">
        <v>688</v>
      </c>
      <c r="H99" s="5">
        <v>300</v>
      </c>
      <c r="I99">
        <v>5000</v>
      </c>
      <c r="J99" s="27">
        <f t="shared" si="7"/>
        <v>4450</v>
      </c>
      <c r="K99" s="3">
        <v>475</v>
      </c>
      <c r="L99" s="29">
        <f t="shared" si="8"/>
        <v>4275</v>
      </c>
      <c r="M99" s="30">
        <v>0.05</v>
      </c>
      <c r="N99" s="31">
        <f t="shared" si="9"/>
        <v>250</v>
      </c>
      <c r="O99" s="32">
        <v>10</v>
      </c>
      <c r="P99" s="29">
        <f t="shared" si="10"/>
        <v>445</v>
      </c>
      <c r="Q99" s="31">
        <f t="shared" si="11"/>
        <v>1</v>
      </c>
      <c r="T99" s="3">
        <v>475</v>
      </c>
      <c r="U99" s="4"/>
      <c r="V99" s="4">
        <f t="shared" ref="V99:V130" si="13">J99-H99-U99</f>
        <v>4150</v>
      </c>
    </row>
    <row r="100" spans="2:22" x14ac:dyDescent="0.25">
      <c r="B100" s="1">
        <v>66</v>
      </c>
      <c r="C100" s="7">
        <v>14079823</v>
      </c>
      <c r="D100" s="2" t="s">
        <v>96</v>
      </c>
      <c r="E100" s="2" t="s">
        <v>592</v>
      </c>
      <c r="F100" s="2">
        <v>7269361</v>
      </c>
      <c r="G100" s="2" t="s">
        <v>688</v>
      </c>
      <c r="H100" s="5">
        <v>300</v>
      </c>
      <c r="I100">
        <v>5000</v>
      </c>
      <c r="J100" s="27">
        <f t="shared" si="7"/>
        <v>4700</v>
      </c>
      <c r="K100" s="3">
        <v>500</v>
      </c>
      <c r="L100" s="29">
        <f t="shared" si="8"/>
        <v>4500</v>
      </c>
      <c r="M100" s="30">
        <v>0</v>
      </c>
      <c r="N100" s="31">
        <f t="shared" si="9"/>
        <v>0</v>
      </c>
      <c r="O100" s="32">
        <v>10</v>
      </c>
      <c r="P100" s="29">
        <f t="shared" si="10"/>
        <v>470</v>
      </c>
      <c r="Q100" s="31">
        <f t="shared" si="11"/>
        <v>1</v>
      </c>
      <c r="T100" s="3">
        <v>500</v>
      </c>
      <c r="U100" s="4"/>
      <c r="V100" s="4">
        <f t="shared" si="13"/>
        <v>4400</v>
      </c>
    </row>
    <row r="101" spans="2:22" x14ac:dyDescent="0.25">
      <c r="B101" s="1">
        <v>67</v>
      </c>
      <c r="C101" s="7">
        <v>14824641</v>
      </c>
      <c r="D101" s="2" t="s">
        <v>97</v>
      </c>
      <c r="E101" s="2" t="s">
        <v>594</v>
      </c>
      <c r="F101" s="2">
        <v>9947319</v>
      </c>
      <c r="G101" s="2" t="s">
        <v>689</v>
      </c>
      <c r="H101" s="5"/>
      <c r="I101">
        <v>5000</v>
      </c>
      <c r="J101" s="27">
        <f t="shared" si="7"/>
        <v>4750</v>
      </c>
      <c r="K101" s="3">
        <v>475</v>
      </c>
      <c r="L101" s="29">
        <f t="shared" si="8"/>
        <v>4275</v>
      </c>
      <c r="M101" s="30">
        <v>0.05</v>
      </c>
      <c r="N101" s="31">
        <f t="shared" si="9"/>
        <v>250</v>
      </c>
      <c r="O101" s="32">
        <v>10</v>
      </c>
      <c r="P101" s="29">
        <f t="shared" si="10"/>
        <v>475</v>
      </c>
      <c r="Q101" s="31">
        <f t="shared" si="11"/>
        <v>1</v>
      </c>
      <c r="T101" s="3">
        <v>475</v>
      </c>
      <c r="U101" s="4"/>
      <c r="V101" s="4">
        <f t="shared" si="13"/>
        <v>4750</v>
      </c>
    </row>
    <row r="102" spans="2:22" x14ac:dyDescent="0.25">
      <c r="B102" s="1">
        <v>67</v>
      </c>
      <c r="C102" s="7">
        <v>14824787</v>
      </c>
      <c r="D102" s="2" t="s">
        <v>98</v>
      </c>
      <c r="E102" s="2" t="s">
        <v>592</v>
      </c>
      <c r="F102" s="2">
        <v>9947319</v>
      </c>
      <c r="G102" s="2" t="s">
        <v>689</v>
      </c>
      <c r="H102" s="5"/>
      <c r="I102">
        <v>5000</v>
      </c>
      <c r="J102" s="27">
        <f t="shared" si="7"/>
        <v>5000</v>
      </c>
      <c r="K102" s="3">
        <v>500</v>
      </c>
      <c r="L102" s="29">
        <f t="shared" si="8"/>
        <v>4500</v>
      </c>
      <c r="M102" s="30">
        <v>0</v>
      </c>
      <c r="N102" s="31">
        <f t="shared" si="9"/>
        <v>0</v>
      </c>
      <c r="O102" s="32">
        <v>10</v>
      </c>
      <c r="P102" s="29">
        <f t="shared" si="10"/>
        <v>500</v>
      </c>
      <c r="Q102" s="31">
        <f t="shared" si="11"/>
        <v>1</v>
      </c>
      <c r="T102" s="3">
        <v>500</v>
      </c>
      <c r="U102" s="4"/>
      <c r="V102" s="4">
        <f t="shared" si="13"/>
        <v>5000</v>
      </c>
    </row>
    <row r="103" spans="2:22" x14ac:dyDescent="0.25">
      <c r="B103" s="1">
        <v>68</v>
      </c>
      <c r="C103" s="6"/>
      <c r="D103" s="2" t="s">
        <v>99</v>
      </c>
      <c r="E103" s="12"/>
      <c r="F103" s="12"/>
      <c r="G103" s="12"/>
      <c r="H103" s="5"/>
      <c r="I103">
        <v>5000</v>
      </c>
      <c r="J103" s="27">
        <f t="shared" si="7"/>
        <v>5000</v>
      </c>
      <c r="K103" s="3">
        <v>0</v>
      </c>
      <c r="L103" s="29">
        <f t="shared" si="8"/>
        <v>5000</v>
      </c>
      <c r="M103" s="30">
        <v>0</v>
      </c>
      <c r="N103" s="31">
        <f t="shared" si="9"/>
        <v>0</v>
      </c>
      <c r="O103" s="32">
        <v>10</v>
      </c>
      <c r="P103" s="29">
        <f t="shared" si="10"/>
        <v>500</v>
      </c>
      <c r="Q103" s="31">
        <f t="shared" si="11"/>
        <v>0</v>
      </c>
      <c r="T103" s="3">
        <v>0</v>
      </c>
      <c r="U103" s="4"/>
      <c r="V103" s="4">
        <f t="shared" si="13"/>
        <v>5000</v>
      </c>
    </row>
    <row r="104" spans="2:22" x14ac:dyDescent="0.25">
      <c r="B104" s="6">
        <v>69</v>
      </c>
      <c r="C104" s="6"/>
      <c r="D104" s="2" t="s">
        <v>99</v>
      </c>
      <c r="E104" s="12"/>
      <c r="F104" s="12"/>
      <c r="G104" s="12"/>
      <c r="H104" s="5"/>
      <c r="I104">
        <v>5000</v>
      </c>
      <c r="J104" s="27">
        <f t="shared" si="7"/>
        <v>5000</v>
      </c>
      <c r="K104" s="3">
        <v>0</v>
      </c>
      <c r="L104" s="29">
        <f t="shared" si="8"/>
        <v>5000</v>
      </c>
      <c r="M104" s="30">
        <v>0</v>
      </c>
      <c r="N104" s="31">
        <f t="shared" si="9"/>
        <v>0</v>
      </c>
      <c r="O104" s="32">
        <v>10</v>
      </c>
      <c r="P104" s="29">
        <f t="shared" si="10"/>
        <v>500</v>
      </c>
      <c r="Q104" s="31">
        <f t="shared" si="11"/>
        <v>0</v>
      </c>
      <c r="T104" s="3">
        <v>0</v>
      </c>
      <c r="U104" s="4"/>
      <c r="V104" s="4">
        <f t="shared" si="13"/>
        <v>5000</v>
      </c>
    </row>
    <row r="105" spans="2:22" x14ac:dyDescent="0.25">
      <c r="B105" s="7">
        <v>70</v>
      </c>
      <c r="C105" s="7">
        <v>14769707</v>
      </c>
      <c r="D105" s="2" t="s">
        <v>100</v>
      </c>
      <c r="E105" s="2" t="s">
        <v>605</v>
      </c>
      <c r="F105" s="2">
        <v>7022119014</v>
      </c>
      <c r="G105" s="2" t="s">
        <v>690</v>
      </c>
      <c r="H105" s="5"/>
      <c r="I105">
        <v>5000</v>
      </c>
      <c r="J105" s="27">
        <f t="shared" si="7"/>
        <v>5000</v>
      </c>
      <c r="K105" s="4">
        <v>500</v>
      </c>
      <c r="L105" s="29">
        <f t="shared" si="8"/>
        <v>4500</v>
      </c>
      <c r="M105" s="30">
        <v>0</v>
      </c>
      <c r="N105" s="31">
        <f t="shared" si="9"/>
        <v>0</v>
      </c>
      <c r="O105" s="32">
        <v>10</v>
      </c>
      <c r="P105" s="29">
        <f t="shared" si="10"/>
        <v>500</v>
      </c>
      <c r="Q105" s="31">
        <f t="shared" si="11"/>
        <v>1</v>
      </c>
      <c r="T105" s="4">
        <v>500</v>
      </c>
      <c r="U105" s="4">
        <v>500</v>
      </c>
      <c r="V105" s="4">
        <f t="shared" si="13"/>
        <v>4500</v>
      </c>
    </row>
    <row r="106" spans="2:22" x14ac:dyDescent="0.25">
      <c r="B106" s="7">
        <v>71</v>
      </c>
      <c r="C106" s="7">
        <v>13792308</v>
      </c>
      <c r="D106" s="2" t="s">
        <v>101</v>
      </c>
      <c r="E106" s="2" t="s">
        <v>603</v>
      </c>
      <c r="F106" s="2">
        <v>4832444</v>
      </c>
      <c r="G106" s="2" t="s">
        <v>691</v>
      </c>
      <c r="H106" s="5"/>
      <c r="I106">
        <v>5000</v>
      </c>
      <c r="J106" s="27">
        <f t="shared" si="7"/>
        <v>5000</v>
      </c>
      <c r="K106" s="4">
        <v>500</v>
      </c>
      <c r="L106" s="29">
        <f t="shared" si="8"/>
        <v>4500</v>
      </c>
      <c r="M106" s="30">
        <v>0</v>
      </c>
      <c r="N106" s="31">
        <f t="shared" si="9"/>
        <v>0</v>
      </c>
      <c r="O106" s="32">
        <v>10</v>
      </c>
      <c r="P106" s="29">
        <f t="shared" si="10"/>
        <v>500</v>
      </c>
      <c r="Q106" s="31">
        <f t="shared" si="11"/>
        <v>1</v>
      </c>
      <c r="T106" s="4">
        <v>500</v>
      </c>
      <c r="U106" s="4">
        <v>500</v>
      </c>
      <c r="V106" s="4">
        <f t="shared" si="13"/>
        <v>4500</v>
      </c>
    </row>
    <row r="107" spans="2:22" ht="15.75" thickBot="1" x14ac:dyDescent="0.3">
      <c r="B107" s="7">
        <v>72</v>
      </c>
      <c r="C107" s="33">
        <v>14228533</v>
      </c>
      <c r="D107" s="2" t="s">
        <v>102</v>
      </c>
      <c r="E107" s="21" t="s">
        <v>605</v>
      </c>
      <c r="F107" s="21">
        <v>4761692</v>
      </c>
      <c r="G107" s="21" t="s">
        <v>667</v>
      </c>
      <c r="H107" s="5"/>
      <c r="I107">
        <v>5000</v>
      </c>
      <c r="J107" s="27">
        <f t="shared" si="7"/>
        <v>4750</v>
      </c>
      <c r="K107" s="4">
        <v>475</v>
      </c>
      <c r="L107" s="29">
        <f t="shared" si="8"/>
        <v>4275</v>
      </c>
      <c r="M107" s="30">
        <v>0.05</v>
      </c>
      <c r="N107" s="31">
        <f t="shared" si="9"/>
        <v>250</v>
      </c>
      <c r="O107" s="32">
        <v>10</v>
      </c>
      <c r="P107" s="29">
        <f t="shared" si="10"/>
        <v>475</v>
      </c>
      <c r="Q107" s="31">
        <f t="shared" si="11"/>
        <v>1</v>
      </c>
      <c r="T107" s="4">
        <v>475</v>
      </c>
      <c r="U107" s="4">
        <v>475</v>
      </c>
      <c r="V107" s="4">
        <f t="shared" si="13"/>
        <v>4275</v>
      </c>
    </row>
    <row r="108" spans="2:22" x14ac:dyDescent="0.25">
      <c r="B108" s="1">
        <v>73</v>
      </c>
      <c r="C108" s="34">
        <v>16391092</v>
      </c>
      <c r="D108" s="2" t="s">
        <v>103</v>
      </c>
      <c r="E108" s="22" t="s">
        <v>597</v>
      </c>
      <c r="F108" s="22">
        <v>4883878</v>
      </c>
      <c r="G108" s="22" t="s">
        <v>692</v>
      </c>
      <c r="H108" s="5"/>
      <c r="I108">
        <v>5000</v>
      </c>
      <c r="J108" s="27">
        <f t="shared" si="7"/>
        <v>5000</v>
      </c>
      <c r="K108" s="3">
        <v>1000</v>
      </c>
      <c r="L108" s="29">
        <f t="shared" si="8"/>
        <v>4000</v>
      </c>
      <c r="M108" s="30">
        <v>0</v>
      </c>
      <c r="N108" s="31">
        <f t="shared" si="9"/>
        <v>0</v>
      </c>
      <c r="O108" s="32">
        <v>10</v>
      </c>
      <c r="P108" s="29">
        <f t="shared" si="10"/>
        <v>500</v>
      </c>
      <c r="Q108" s="31">
        <f t="shared" si="11"/>
        <v>2</v>
      </c>
      <c r="T108" s="3">
        <v>1000</v>
      </c>
      <c r="U108" s="4"/>
      <c r="V108" s="4">
        <f t="shared" si="13"/>
        <v>5000</v>
      </c>
    </row>
    <row r="109" spans="2:22" x14ac:dyDescent="0.25">
      <c r="B109" s="1">
        <v>74</v>
      </c>
      <c r="C109" s="7">
        <v>17283458</v>
      </c>
      <c r="D109" s="2" t="s">
        <v>104</v>
      </c>
      <c r="E109" s="2" t="s">
        <v>596</v>
      </c>
      <c r="F109" s="2">
        <v>6007189</v>
      </c>
      <c r="G109" s="2" t="s">
        <v>685</v>
      </c>
      <c r="H109" s="5">
        <v>300</v>
      </c>
      <c r="I109">
        <v>5000</v>
      </c>
      <c r="J109" s="27">
        <f t="shared" si="7"/>
        <v>4700</v>
      </c>
      <c r="K109" s="3">
        <v>500</v>
      </c>
      <c r="L109" s="29">
        <f t="shared" si="8"/>
        <v>4500</v>
      </c>
      <c r="M109" s="30">
        <v>0</v>
      </c>
      <c r="N109" s="31">
        <f t="shared" si="9"/>
        <v>0</v>
      </c>
      <c r="O109" s="32">
        <v>10</v>
      </c>
      <c r="P109" s="29">
        <f t="shared" si="10"/>
        <v>470</v>
      </c>
      <c r="Q109" s="31">
        <f t="shared" si="11"/>
        <v>1</v>
      </c>
      <c r="T109" s="3">
        <v>500</v>
      </c>
      <c r="U109" s="4">
        <v>200</v>
      </c>
      <c r="V109" s="4">
        <f t="shared" si="13"/>
        <v>4200</v>
      </c>
    </row>
    <row r="110" spans="2:22" x14ac:dyDescent="0.25">
      <c r="B110" s="1">
        <v>75</v>
      </c>
      <c r="C110" s="7">
        <v>17139797</v>
      </c>
      <c r="D110" s="2" t="s">
        <v>105</v>
      </c>
      <c r="E110" s="2" t="s">
        <v>600</v>
      </c>
      <c r="F110" s="2">
        <v>6030864</v>
      </c>
      <c r="G110" s="2" t="s">
        <v>693</v>
      </c>
      <c r="H110" s="5">
        <v>300</v>
      </c>
      <c r="I110">
        <v>5000</v>
      </c>
      <c r="J110" s="27">
        <f t="shared" si="7"/>
        <v>4700</v>
      </c>
      <c r="K110" s="3">
        <v>500</v>
      </c>
      <c r="L110" s="29">
        <f t="shared" si="8"/>
        <v>4500</v>
      </c>
      <c r="M110" s="30">
        <v>0</v>
      </c>
      <c r="N110" s="31">
        <f t="shared" si="9"/>
        <v>0</v>
      </c>
      <c r="O110" s="32">
        <v>10</v>
      </c>
      <c r="P110" s="29">
        <f t="shared" si="10"/>
        <v>470</v>
      </c>
      <c r="Q110" s="31">
        <f t="shared" si="11"/>
        <v>1</v>
      </c>
      <c r="T110" s="3">
        <v>500</v>
      </c>
      <c r="U110" s="4"/>
      <c r="V110" s="4">
        <f t="shared" si="13"/>
        <v>4400</v>
      </c>
    </row>
    <row r="111" spans="2:22" x14ac:dyDescent="0.25">
      <c r="B111" s="1">
        <v>76</v>
      </c>
      <c r="C111" s="7">
        <v>15460442</v>
      </c>
      <c r="D111" s="2" t="s">
        <v>106</v>
      </c>
      <c r="E111" s="2" t="s">
        <v>596</v>
      </c>
      <c r="F111" s="2">
        <v>6767300</v>
      </c>
      <c r="G111" s="2" t="s">
        <v>694</v>
      </c>
      <c r="H111" s="5">
        <v>300</v>
      </c>
      <c r="I111">
        <v>5000</v>
      </c>
      <c r="J111" s="27">
        <f t="shared" si="7"/>
        <v>4700</v>
      </c>
      <c r="K111" s="3">
        <v>1500</v>
      </c>
      <c r="L111" s="29">
        <f t="shared" si="8"/>
        <v>3500</v>
      </c>
      <c r="M111" s="30">
        <v>0</v>
      </c>
      <c r="N111" s="31">
        <f t="shared" si="9"/>
        <v>0</v>
      </c>
      <c r="O111" s="32">
        <v>10</v>
      </c>
      <c r="P111" s="29">
        <f t="shared" si="10"/>
        <v>470</v>
      </c>
      <c r="Q111" s="31">
        <f t="shared" si="11"/>
        <v>3</v>
      </c>
      <c r="T111" s="3">
        <v>1500</v>
      </c>
      <c r="U111" s="4">
        <v>1000</v>
      </c>
      <c r="V111" s="4">
        <f t="shared" si="13"/>
        <v>3400</v>
      </c>
    </row>
    <row r="112" spans="2:22" x14ac:dyDescent="0.25">
      <c r="B112" s="1">
        <v>77</v>
      </c>
      <c r="C112" s="7">
        <v>15244068</v>
      </c>
      <c r="D112" s="2" t="s">
        <v>107</v>
      </c>
      <c r="E112" s="2" t="s">
        <v>592</v>
      </c>
      <c r="F112" s="2">
        <v>4781371</v>
      </c>
      <c r="G112" s="2" t="s">
        <v>695</v>
      </c>
      <c r="H112" s="5">
        <v>300</v>
      </c>
      <c r="I112">
        <v>5000</v>
      </c>
      <c r="J112" s="27">
        <f t="shared" si="7"/>
        <v>4700</v>
      </c>
      <c r="K112" s="3">
        <v>500</v>
      </c>
      <c r="L112" s="29">
        <f t="shared" si="8"/>
        <v>4500</v>
      </c>
      <c r="M112" s="30">
        <v>0</v>
      </c>
      <c r="N112" s="31">
        <f t="shared" si="9"/>
        <v>0</v>
      </c>
      <c r="O112" s="32">
        <v>10</v>
      </c>
      <c r="P112" s="29">
        <f t="shared" si="10"/>
        <v>470</v>
      </c>
      <c r="Q112" s="31">
        <f t="shared" si="11"/>
        <v>1</v>
      </c>
      <c r="T112" s="3">
        <v>500</v>
      </c>
      <c r="U112" s="4"/>
      <c r="V112" s="4">
        <f t="shared" si="13"/>
        <v>4400</v>
      </c>
    </row>
    <row r="113" spans="2:22" x14ac:dyDescent="0.25">
      <c r="B113" s="1">
        <v>78</v>
      </c>
      <c r="C113" s="7">
        <v>15695558</v>
      </c>
      <c r="D113" s="2" t="s">
        <v>108</v>
      </c>
      <c r="E113" s="2" t="s">
        <v>596</v>
      </c>
      <c r="F113" s="2">
        <v>6084373018</v>
      </c>
      <c r="G113" s="2" t="s">
        <v>696</v>
      </c>
      <c r="H113" s="5">
        <v>300</v>
      </c>
      <c r="I113">
        <v>5000</v>
      </c>
      <c r="J113" s="27">
        <f t="shared" si="7"/>
        <v>4700</v>
      </c>
      <c r="K113" s="3">
        <v>500</v>
      </c>
      <c r="L113" s="29">
        <f t="shared" si="8"/>
        <v>4500</v>
      </c>
      <c r="M113" s="30">
        <v>0</v>
      </c>
      <c r="N113" s="31">
        <f t="shared" si="9"/>
        <v>0</v>
      </c>
      <c r="O113" s="32">
        <v>10</v>
      </c>
      <c r="P113" s="29">
        <f t="shared" si="10"/>
        <v>470</v>
      </c>
      <c r="Q113" s="31">
        <f t="shared" si="11"/>
        <v>1</v>
      </c>
      <c r="T113" s="3">
        <v>500</v>
      </c>
      <c r="U113" s="4">
        <v>200</v>
      </c>
      <c r="V113" s="4">
        <f t="shared" si="13"/>
        <v>4200</v>
      </c>
    </row>
    <row r="114" spans="2:22" x14ac:dyDescent="0.25">
      <c r="B114" s="1">
        <v>78</v>
      </c>
      <c r="C114" s="7">
        <v>16698823</v>
      </c>
      <c r="D114" s="2" t="s">
        <v>109</v>
      </c>
      <c r="E114" s="2" t="s">
        <v>598</v>
      </c>
      <c r="F114" s="2">
        <v>6084373018</v>
      </c>
      <c r="G114" s="2" t="s">
        <v>696</v>
      </c>
      <c r="H114" s="5">
        <v>300</v>
      </c>
      <c r="I114">
        <v>5000</v>
      </c>
      <c r="J114" s="27">
        <f t="shared" si="7"/>
        <v>4450</v>
      </c>
      <c r="K114" s="3">
        <v>475</v>
      </c>
      <c r="L114" s="29">
        <f t="shared" si="8"/>
        <v>4275</v>
      </c>
      <c r="M114" s="30">
        <v>0.05</v>
      </c>
      <c r="N114" s="31">
        <f t="shared" si="9"/>
        <v>250</v>
      </c>
      <c r="O114" s="32">
        <v>10</v>
      </c>
      <c r="P114" s="29">
        <f t="shared" si="10"/>
        <v>445</v>
      </c>
      <c r="Q114" s="31">
        <f t="shared" si="11"/>
        <v>1</v>
      </c>
      <c r="T114" s="3">
        <v>475</v>
      </c>
      <c r="U114" s="4">
        <v>175</v>
      </c>
      <c r="V114" s="4">
        <f t="shared" si="13"/>
        <v>3975</v>
      </c>
    </row>
    <row r="115" spans="2:22" x14ac:dyDescent="0.25">
      <c r="B115" s="1">
        <v>79</v>
      </c>
      <c r="C115" s="7">
        <v>15632301</v>
      </c>
      <c r="D115" s="2" t="s">
        <v>110</v>
      </c>
      <c r="E115" s="2" t="s">
        <v>596</v>
      </c>
      <c r="F115" s="2">
        <v>10917918014</v>
      </c>
      <c r="G115" s="2" t="s">
        <v>697</v>
      </c>
      <c r="H115" s="5">
        <v>300</v>
      </c>
      <c r="I115">
        <v>5000</v>
      </c>
      <c r="J115" s="27">
        <f t="shared" si="7"/>
        <v>4700</v>
      </c>
      <c r="K115" s="3">
        <v>500</v>
      </c>
      <c r="L115" s="29">
        <f t="shared" si="8"/>
        <v>4500</v>
      </c>
      <c r="M115" s="30">
        <v>0</v>
      </c>
      <c r="N115" s="31">
        <f t="shared" si="9"/>
        <v>0</v>
      </c>
      <c r="O115" s="32">
        <v>10</v>
      </c>
      <c r="P115" s="29">
        <f t="shared" si="10"/>
        <v>470</v>
      </c>
      <c r="Q115" s="31">
        <f t="shared" si="11"/>
        <v>1</v>
      </c>
      <c r="T115" s="3">
        <v>500</v>
      </c>
      <c r="U115" s="4"/>
      <c r="V115" s="4">
        <f t="shared" si="13"/>
        <v>4400</v>
      </c>
    </row>
    <row r="116" spans="2:22" x14ac:dyDescent="0.25">
      <c r="B116" s="1">
        <v>80</v>
      </c>
      <c r="C116" s="7">
        <v>13216473</v>
      </c>
      <c r="D116" s="2" t="s">
        <v>111</v>
      </c>
      <c r="E116" s="2" t="s">
        <v>603</v>
      </c>
      <c r="F116" s="2">
        <v>7093308</v>
      </c>
      <c r="G116" s="2" t="s">
        <v>644</v>
      </c>
      <c r="H116" s="5"/>
      <c r="I116">
        <v>5000</v>
      </c>
      <c r="J116" s="27">
        <f t="shared" si="7"/>
        <v>5000</v>
      </c>
      <c r="K116" s="3">
        <v>500</v>
      </c>
      <c r="L116" s="29">
        <f t="shared" si="8"/>
        <v>4500</v>
      </c>
      <c r="M116" s="30">
        <v>0</v>
      </c>
      <c r="N116" s="31">
        <f t="shared" si="9"/>
        <v>0</v>
      </c>
      <c r="O116" s="32">
        <v>10</v>
      </c>
      <c r="P116" s="29">
        <f t="shared" si="10"/>
        <v>500</v>
      </c>
      <c r="Q116" s="31">
        <f t="shared" si="11"/>
        <v>1</v>
      </c>
      <c r="T116" s="3">
        <v>500</v>
      </c>
      <c r="U116" s="4"/>
      <c r="V116" s="4">
        <f t="shared" si="13"/>
        <v>5000</v>
      </c>
    </row>
    <row r="117" spans="2:22" x14ac:dyDescent="0.25">
      <c r="B117" s="1">
        <v>80</v>
      </c>
      <c r="C117" s="7">
        <v>15589528</v>
      </c>
      <c r="D117" s="2" t="s">
        <v>112</v>
      </c>
      <c r="E117" s="2" t="s">
        <v>596</v>
      </c>
      <c r="F117" s="2">
        <v>7093308</v>
      </c>
      <c r="G117" s="2" t="s">
        <v>644</v>
      </c>
      <c r="H117" s="5"/>
      <c r="I117">
        <v>5000</v>
      </c>
      <c r="J117" s="27">
        <f t="shared" si="7"/>
        <v>4750</v>
      </c>
      <c r="K117" s="3">
        <v>475</v>
      </c>
      <c r="L117" s="29">
        <f t="shared" si="8"/>
        <v>4275</v>
      </c>
      <c r="M117" s="30">
        <v>0.05</v>
      </c>
      <c r="N117" s="31">
        <f t="shared" si="9"/>
        <v>250</v>
      </c>
      <c r="O117" s="32">
        <v>10</v>
      </c>
      <c r="P117" s="29">
        <f t="shared" si="10"/>
        <v>475</v>
      </c>
      <c r="Q117" s="31">
        <f t="shared" si="11"/>
        <v>1</v>
      </c>
      <c r="T117" s="3">
        <v>475</v>
      </c>
      <c r="U117" s="4"/>
      <c r="V117" s="4">
        <f t="shared" si="13"/>
        <v>4750</v>
      </c>
    </row>
    <row r="118" spans="2:22" x14ac:dyDescent="0.25">
      <c r="B118" s="1">
        <v>81</v>
      </c>
      <c r="C118" s="7">
        <v>14414544</v>
      </c>
      <c r="D118" s="2" t="s">
        <v>113</v>
      </c>
      <c r="E118" s="2" t="s">
        <v>592</v>
      </c>
      <c r="F118" s="2">
        <v>8358767</v>
      </c>
      <c r="G118" s="2" t="s">
        <v>698</v>
      </c>
      <c r="H118" s="5">
        <v>300</v>
      </c>
      <c r="I118">
        <v>5000</v>
      </c>
      <c r="J118" s="27">
        <f t="shared" si="7"/>
        <v>4700</v>
      </c>
      <c r="K118" s="3">
        <v>500</v>
      </c>
      <c r="L118" s="29">
        <f t="shared" si="8"/>
        <v>4500</v>
      </c>
      <c r="M118" s="30">
        <v>0</v>
      </c>
      <c r="N118" s="31">
        <f t="shared" si="9"/>
        <v>0</v>
      </c>
      <c r="O118" s="32">
        <v>10</v>
      </c>
      <c r="P118" s="29">
        <f t="shared" si="10"/>
        <v>470</v>
      </c>
      <c r="Q118" s="31">
        <f t="shared" si="11"/>
        <v>1</v>
      </c>
      <c r="T118" s="3">
        <v>500</v>
      </c>
      <c r="U118" s="4"/>
      <c r="V118" s="4">
        <f t="shared" si="13"/>
        <v>4400</v>
      </c>
    </row>
    <row r="119" spans="2:22" x14ac:dyDescent="0.25">
      <c r="B119" s="1">
        <v>82</v>
      </c>
      <c r="C119" s="7">
        <v>15620953</v>
      </c>
      <c r="D119" s="2" t="s">
        <v>114</v>
      </c>
      <c r="E119" s="2" t="s">
        <v>592</v>
      </c>
      <c r="F119" s="2">
        <v>7023602</v>
      </c>
      <c r="G119" s="2" t="s">
        <v>699</v>
      </c>
      <c r="H119" s="5">
        <v>300</v>
      </c>
      <c r="I119">
        <v>5000</v>
      </c>
      <c r="J119" s="27">
        <f t="shared" si="7"/>
        <v>4700</v>
      </c>
      <c r="K119" s="3">
        <v>4750</v>
      </c>
      <c r="L119" s="29">
        <f t="shared" si="8"/>
        <v>250</v>
      </c>
      <c r="M119" s="30">
        <v>0</v>
      </c>
      <c r="N119" s="31">
        <f t="shared" si="9"/>
        <v>0</v>
      </c>
      <c r="O119" s="32">
        <v>10</v>
      </c>
      <c r="P119" s="29">
        <f t="shared" si="10"/>
        <v>470</v>
      </c>
      <c r="Q119" s="31">
        <f t="shared" si="11"/>
        <v>10</v>
      </c>
      <c r="T119" s="3">
        <v>4750</v>
      </c>
      <c r="U119" s="4"/>
      <c r="V119" s="4">
        <f t="shared" si="13"/>
        <v>4400</v>
      </c>
    </row>
    <row r="120" spans="2:22" x14ac:dyDescent="0.25">
      <c r="B120" s="1">
        <v>82</v>
      </c>
      <c r="C120" s="7">
        <v>16373994</v>
      </c>
      <c r="D120" s="2" t="s">
        <v>115</v>
      </c>
      <c r="E120" s="2" t="s">
        <v>594</v>
      </c>
      <c r="F120" s="2">
        <v>7023602</v>
      </c>
      <c r="G120" s="2" t="s">
        <v>699</v>
      </c>
      <c r="H120" s="5">
        <v>300</v>
      </c>
      <c r="I120">
        <v>5000</v>
      </c>
      <c r="J120" s="27">
        <f t="shared" si="7"/>
        <v>4450</v>
      </c>
      <c r="K120" s="3">
        <v>475</v>
      </c>
      <c r="L120" s="29">
        <f t="shared" si="8"/>
        <v>4275</v>
      </c>
      <c r="M120" s="30">
        <v>0.05</v>
      </c>
      <c r="N120" s="31">
        <f t="shared" si="9"/>
        <v>250</v>
      </c>
      <c r="O120" s="32">
        <v>10</v>
      </c>
      <c r="P120" s="29">
        <f t="shared" si="10"/>
        <v>445</v>
      </c>
      <c r="Q120" s="31">
        <f t="shared" si="11"/>
        <v>1</v>
      </c>
      <c r="T120" s="3">
        <v>475</v>
      </c>
      <c r="U120" s="4"/>
      <c r="V120" s="4">
        <f t="shared" si="13"/>
        <v>4150</v>
      </c>
    </row>
    <row r="121" spans="2:22" x14ac:dyDescent="0.25">
      <c r="B121" s="1">
        <v>82</v>
      </c>
      <c r="C121" s="7">
        <v>16234338</v>
      </c>
      <c r="D121" s="2" t="s">
        <v>116</v>
      </c>
      <c r="E121" s="2" t="s">
        <v>597</v>
      </c>
      <c r="F121" s="2">
        <v>7023602</v>
      </c>
      <c r="G121" s="2" t="s">
        <v>699</v>
      </c>
      <c r="H121" s="5">
        <v>300</v>
      </c>
      <c r="I121">
        <v>5000</v>
      </c>
      <c r="J121" s="27">
        <f t="shared" si="7"/>
        <v>4200</v>
      </c>
      <c r="K121" s="3">
        <v>450</v>
      </c>
      <c r="L121" s="29">
        <f t="shared" si="8"/>
        <v>4050</v>
      </c>
      <c r="M121" s="30">
        <v>0.1</v>
      </c>
      <c r="N121" s="31">
        <f t="shared" si="9"/>
        <v>500</v>
      </c>
      <c r="O121" s="32">
        <v>10</v>
      </c>
      <c r="P121" s="29">
        <f t="shared" si="10"/>
        <v>420</v>
      </c>
      <c r="Q121" s="31">
        <f t="shared" si="11"/>
        <v>1</v>
      </c>
      <c r="T121" s="3">
        <v>450</v>
      </c>
      <c r="U121" s="4"/>
      <c r="V121" s="4">
        <f t="shared" si="13"/>
        <v>3900</v>
      </c>
    </row>
    <row r="122" spans="2:22" x14ac:dyDescent="0.25">
      <c r="B122" s="1">
        <v>83</v>
      </c>
      <c r="C122" s="7">
        <v>13244538</v>
      </c>
      <c r="D122" s="2" t="s">
        <v>117</v>
      </c>
      <c r="E122" s="2" t="s">
        <v>592</v>
      </c>
      <c r="F122" s="2">
        <v>13844265016</v>
      </c>
      <c r="G122" s="2" t="s">
        <v>700</v>
      </c>
      <c r="H122" s="5">
        <v>300</v>
      </c>
      <c r="I122">
        <v>5000</v>
      </c>
      <c r="J122" s="27">
        <f t="shared" si="7"/>
        <v>4700</v>
      </c>
      <c r="K122" s="3">
        <v>500</v>
      </c>
      <c r="L122" s="29">
        <f t="shared" si="8"/>
        <v>4500</v>
      </c>
      <c r="M122" s="30">
        <v>0</v>
      </c>
      <c r="N122" s="31">
        <f t="shared" si="9"/>
        <v>0</v>
      </c>
      <c r="O122" s="32">
        <v>10</v>
      </c>
      <c r="P122" s="29">
        <f t="shared" si="10"/>
        <v>470</v>
      </c>
      <c r="Q122" s="31">
        <f t="shared" si="11"/>
        <v>1</v>
      </c>
      <c r="T122" s="3">
        <v>500</v>
      </c>
      <c r="U122" s="4"/>
      <c r="V122" s="4">
        <f t="shared" si="13"/>
        <v>4400</v>
      </c>
    </row>
    <row r="123" spans="2:22" x14ac:dyDescent="0.25">
      <c r="B123" s="1">
        <v>83</v>
      </c>
      <c r="C123" s="7">
        <v>16330407</v>
      </c>
      <c r="D123" s="2" t="s">
        <v>118</v>
      </c>
      <c r="E123" s="2" t="s">
        <v>594</v>
      </c>
      <c r="F123" s="2">
        <v>13844265016</v>
      </c>
      <c r="G123" s="2" t="s">
        <v>700</v>
      </c>
      <c r="H123" s="5">
        <v>300</v>
      </c>
      <c r="I123">
        <v>5000</v>
      </c>
      <c r="J123" s="27">
        <f t="shared" si="7"/>
        <v>4450</v>
      </c>
      <c r="K123" s="3">
        <v>475</v>
      </c>
      <c r="L123" s="29">
        <f t="shared" si="8"/>
        <v>4275</v>
      </c>
      <c r="M123" s="30">
        <v>0.05</v>
      </c>
      <c r="N123" s="31">
        <f t="shared" si="9"/>
        <v>250</v>
      </c>
      <c r="O123" s="32">
        <v>10</v>
      </c>
      <c r="P123" s="29">
        <f t="shared" si="10"/>
        <v>445</v>
      </c>
      <c r="Q123" s="31">
        <f t="shared" si="11"/>
        <v>1</v>
      </c>
      <c r="T123" s="3">
        <v>475</v>
      </c>
      <c r="U123" s="4"/>
      <c r="V123" s="4">
        <f t="shared" si="13"/>
        <v>4150</v>
      </c>
    </row>
    <row r="124" spans="2:22" x14ac:dyDescent="0.25">
      <c r="B124" s="1">
        <v>83</v>
      </c>
      <c r="C124" s="7">
        <v>17284361</v>
      </c>
      <c r="D124" s="2" t="s">
        <v>119</v>
      </c>
      <c r="E124" s="2" t="s">
        <v>595</v>
      </c>
      <c r="F124" s="2">
        <v>13844265016</v>
      </c>
      <c r="G124" s="2" t="s">
        <v>700</v>
      </c>
      <c r="H124" s="5"/>
      <c r="I124">
        <v>5000</v>
      </c>
      <c r="J124" s="27">
        <f t="shared" si="7"/>
        <v>4500</v>
      </c>
      <c r="K124" s="3">
        <v>450</v>
      </c>
      <c r="L124" s="29">
        <f t="shared" si="8"/>
        <v>4050</v>
      </c>
      <c r="M124" s="30">
        <v>0.1</v>
      </c>
      <c r="N124" s="31">
        <f t="shared" si="9"/>
        <v>500</v>
      </c>
      <c r="O124" s="32">
        <v>10</v>
      </c>
      <c r="P124" s="29">
        <f t="shared" si="10"/>
        <v>450</v>
      </c>
      <c r="Q124" s="31">
        <f t="shared" si="11"/>
        <v>1</v>
      </c>
      <c r="T124" s="3">
        <v>450</v>
      </c>
      <c r="U124" s="4"/>
      <c r="V124" s="4">
        <f t="shared" si="13"/>
        <v>4500</v>
      </c>
    </row>
    <row r="125" spans="2:22" x14ac:dyDescent="0.25">
      <c r="B125" s="1">
        <v>84</v>
      </c>
      <c r="C125" s="7">
        <v>13244538</v>
      </c>
      <c r="D125" s="2" t="s">
        <v>117</v>
      </c>
      <c r="E125" s="2" t="s">
        <v>592</v>
      </c>
      <c r="F125" s="2">
        <v>13844265016</v>
      </c>
      <c r="G125" s="2" t="s">
        <v>700</v>
      </c>
      <c r="H125" s="8"/>
      <c r="I125">
        <v>5000</v>
      </c>
      <c r="J125" s="27">
        <f t="shared" si="7"/>
        <v>5000</v>
      </c>
      <c r="K125" s="3">
        <v>500</v>
      </c>
      <c r="L125" s="29">
        <f t="shared" si="8"/>
        <v>4500</v>
      </c>
      <c r="M125" s="30">
        <v>0</v>
      </c>
      <c r="N125" s="31">
        <f t="shared" si="9"/>
        <v>0</v>
      </c>
      <c r="O125" s="32">
        <v>10</v>
      </c>
      <c r="P125" s="29">
        <f t="shared" si="10"/>
        <v>500</v>
      </c>
      <c r="Q125" s="31">
        <f t="shared" si="11"/>
        <v>1</v>
      </c>
      <c r="T125" s="3">
        <v>500</v>
      </c>
      <c r="U125" s="4"/>
      <c r="V125" s="4">
        <f t="shared" si="13"/>
        <v>5000</v>
      </c>
    </row>
    <row r="126" spans="2:22" x14ac:dyDescent="0.25">
      <c r="B126" s="1">
        <v>84</v>
      </c>
      <c r="C126" s="7">
        <v>16330407</v>
      </c>
      <c r="D126" s="2" t="s">
        <v>118</v>
      </c>
      <c r="E126" s="2" t="s">
        <v>594</v>
      </c>
      <c r="F126" s="2">
        <v>13844265016</v>
      </c>
      <c r="G126" s="2" t="s">
        <v>700</v>
      </c>
      <c r="H126" s="5"/>
      <c r="I126">
        <v>5000</v>
      </c>
      <c r="J126" s="27">
        <f t="shared" si="7"/>
        <v>4750</v>
      </c>
      <c r="K126" s="3">
        <v>475</v>
      </c>
      <c r="L126" s="29">
        <f t="shared" si="8"/>
        <v>4275</v>
      </c>
      <c r="M126" s="30">
        <v>0.05</v>
      </c>
      <c r="N126" s="31">
        <f t="shared" si="9"/>
        <v>250</v>
      </c>
      <c r="O126" s="32">
        <v>10</v>
      </c>
      <c r="P126" s="29">
        <f t="shared" si="10"/>
        <v>475</v>
      </c>
      <c r="Q126" s="31">
        <f t="shared" si="11"/>
        <v>1</v>
      </c>
      <c r="T126" s="3">
        <v>475</v>
      </c>
      <c r="U126" s="4"/>
      <c r="V126" s="4">
        <f t="shared" si="13"/>
        <v>4750</v>
      </c>
    </row>
    <row r="127" spans="2:22" x14ac:dyDescent="0.25">
      <c r="B127" s="1">
        <v>84</v>
      </c>
      <c r="C127" s="7">
        <v>17284361</v>
      </c>
      <c r="D127" s="2" t="s">
        <v>119</v>
      </c>
      <c r="E127" s="2" t="s">
        <v>595</v>
      </c>
      <c r="F127" s="2">
        <v>13844265016</v>
      </c>
      <c r="G127" s="2" t="s">
        <v>700</v>
      </c>
      <c r="H127" s="5"/>
      <c r="I127">
        <v>5000</v>
      </c>
      <c r="J127" s="27">
        <f t="shared" si="7"/>
        <v>4500</v>
      </c>
      <c r="K127" s="3">
        <v>450</v>
      </c>
      <c r="L127" s="29">
        <f t="shared" si="8"/>
        <v>4050</v>
      </c>
      <c r="M127" s="30">
        <v>0.1</v>
      </c>
      <c r="N127" s="31">
        <f t="shared" si="9"/>
        <v>500</v>
      </c>
      <c r="O127" s="32">
        <v>10</v>
      </c>
      <c r="P127" s="29">
        <f t="shared" si="10"/>
        <v>450</v>
      </c>
      <c r="Q127" s="31">
        <f t="shared" si="11"/>
        <v>1</v>
      </c>
      <c r="T127" s="3">
        <v>450</v>
      </c>
      <c r="U127" s="4"/>
      <c r="V127" s="4">
        <f t="shared" si="13"/>
        <v>4500</v>
      </c>
    </row>
    <row r="128" spans="2:22" x14ac:dyDescent="0.25">
      <c r="B128" s="1">
        <v>85</v>
      </c>
      <c r="C128" s="7">
        <v>1000668</v>
      </c>
      <c r="D128" s="2" t="s">
        <v>120</v>
      </c>
      <c r="E128" s="2" t="s">
        <v>592</v>
      </c>
      <c r="F128" s="2">
        <v>2703591</v>
      </c>
      <c r="G128" s="2" t="s">
        <v>641</v>
      </c>
      <c r="H128" s="5"/>
      <c r="I128">
        <v>5000</v>
      </c>
      <c r="J128" s="27">
        <f t="shared" si="7"/>
        <v>5000</v>
      </c>
      <c r="K128" s="3">
        <v>1500</v>
      </c>
      <c r="L128" s="29">
        <f t="shared" si="8"/>
        <v>3500</v>
      </c>
      <c r="M128" s="30">
        <v>0</v>
      </c>
      <c r="N128" s="31">
        <f t="shared" si="9"/>
        <v>0</v>
      </c>
      <c r="O128" s="32">
        <v>10</v>
      </c>
      <c r="P128" s="29">
        <f t="shared" si="10"/>
        <v>500</v>
      </c>
      <c r="Q128" s="31">
        <f t="shared" si="11"/>
        <v>3</v>
      </c>
      <c r="T128" s="3">
        <v>1500</v>
      </c>
      <c r="U128" s="4"/>
      <c r="V128" s="4">
        <f t="shared" si="13"/>
        <v>5000</v>
      </c>
    </row>
    <row r="129" spans="2:22" x14ac:dyDescent="0.25">
      <c r="B129" s="1">
        <v>86</v>
      </c>
      <c r="C129" s="7">
        <v>9892444</v>
      </c>
      <c r="D129" s="2" t="s">
        <v>121</v>
      </c>
      <c r="E129" s="2" t="s">
        <v>603</v>
      </c>
      <c r="F129" s="2">
        <v>7060703</v>
      </c>
      <c r="G129" s="2" t="s">
        <v>701</v>
      </c>
      <c r="H129" s="5">
        <v>300</v>
      </c>
      <c r="I129">
        <v>5000</v>
      </c>
      <c r="J129" s="27">
        <f t="shared" si="7"/>
        <v>4700</v>
      </c>
      <c r="K129" s="3">
        <v>500</v>
      </c>
      <c r="L129" s="29">
        <f t="shared" si="8"/>
        <v>4500</v>
      </c>
      <c r="M129" s="30">
        <v>0</v>
      </c>
      <c r="N129" s="31">
        <f t="shared" si="9"/>
        <v>0</v>
      </c>
      <c r="O129" s="32">
        <v>10</v>
      </c>
      <c r="P129" s="29">
        <f t="shared" si="10"/>
        <v>470</v>
      </c>
      <c r="Q129" s="31">
        <f t="shared" si="11"/>
        <v>1</v>
      </c>
      <c r="T129" s="3">
        <v>500</v>
      </c>
      <c r="U129" s="4"/>
      <c r="V129" s="4">
        <f t="shared" si="13"/>
        <v>4400</v>
      </c>
    </row>
    <row r="130" spans="2:22" x14ac:dyDescent="0.25">
      <c r="B130" s="1">
        <v>86</v>
      </c>
      <c r="C130" s="7">
        <v>14422693</v>
      </c>
      <c r="D130" s="2" t="s">
        <v>122</v>
      </c>
      <c r="E130" s="2" t="s">
        <v>600</v>
      </c>
      <c r="F130" s="2">
        <v>7060703</v>
      </c>
      <c r="G130" s="2" t="s">
        <v>701</v>
      </c>
      <c r="H130" s="5">
        <v>300</v>
      </c>
      <c r="I130">
        <v>5000</v>
      </c>
      <c r="J130" s="27">
        <f t="shared" si="7"/>
        <v>4450</v>
      </c>
      <c r="K130" s="3">
        <v>475</v>
      </c>
      <c r="L130" s="29">
        <f t="shared" si="8"/>
        <v>4275</v>
      </c>
      <c r="M130" s="30">
        <v>0.05</v>
      </c>
      <c r="N130" s="31">
        <f t="shared" si="9"/>
        <v>250</v>
      </c>
      <c r="O130" s="32">
        <v>10</v>
      </c>
      <c r="P130" s="29">
        <f t="shared" si="10"/>
        <v>445</v>
      </c>
      <c r="Q130" s="31">
        <f t="shared" si="11"/>
        <v>1</v>
      </c>
      <c r="T130" s="3">
        <v>475</v>
      </c>
      <c r="U130" s="4"/>
      <c r="V130" s="4">
        <f t="shared" si="13"/>
        <v>4150</v>
      </c>
    </row>
    <row r="131" spans="2:22" x14ac:dyDescent="0.25">
      <c r="B131" s="1">
        <v>87</v>
      </c>
      <c r="C131" s="7">
        <v>14488997</v>
      </c>
      <c r="D131" s="2" t="s">
        <v>123</v>
      </c>
      <c r="E131" s="2" t="s">
        <v>593</v>
      </c>
      <c r="F131" s="2">
        <v>4790313</v>
      </c>
      <c r="G131" s="2" t="s">
        <v>702</v>
      </c>
      <c r="H131" s="5"/>
      <c r="I131">
        <v>5000</v>
      </c>
      <c r="J131" s="27">
        <f t="shared" ref="J131:J194" si="14">I131-H131-N131</f>
        <v>5000</v>
      </c>
      <c r="K131" s="3">
        <v>500</v>
      </c>
      <c r="L131" s="29">
        <f t="shared" ref="L131:L194" si="15">(I131-N131)-K131</f>
        <v>4500</v>
      </c>
      <c r="M131" s="30">
        <v>0</v>
      </c>
      <c r="N131" s="31">
        <f t="shared" ref="N131:N194" si="16">I131*M131</f>
        <v>0</v>
      </c>
      <c r="O131" s="32">
        <v>10</v>
      </c>
      <c r="P131" s="29">
        <f t="shared" ref="P131:P194" si="17">J131/O131</f>
        <v>500</v>
      </c>
      <c r="Q131" s="31">
        <f t="shared" ref="Q131:Q194" si="18">INT(K131/P131)</f>
        <v>1</v>
      </c>
      <c r="T131" s="3">
        <v>500</v>
      </c>
      <c r="U131" s="4"/>
      <c r="V131" s="4">
        <f t="shared" ref="V131:V162" si="19">J131-H131-U131</f>
        <v>5000</v>
      </c>
    </row>
    <row r="132" spans="2:22" x14ac:dyDescent="0.25">
      <c r="B132" s="1">
        <v>88</v>
      </c>
      <c r="C132" s="7">
        <v>15045816</v>
      </c>
      <c r="D132" s="2" t="s">
        <v>124</v>
      </c>
      <c r="E132" s="2" t="s">
        <v>602</v>
      </c>
      <c r="F132" s="2">
        <v>6053462</v>
      </c>
      <c r="G132" s="2" t="s">
        <v>701</v>
      </c>
      <c r="H132" s="5">
        <v>300</v>
      </c>
      <c r="I132">
        <v>5000</v>
      </c>
      <c r="J132" s="27">
        <f t="shared" si="14"/>
        <v>4700</v>
      </c>
      <c r="K132" s="3">
        <v>500</v>
      </c>
      <c r="L132" s="29">
        <f t="shared" si="15"/>
        <v>4500</v>
      </c>
      <c r="M132" s="30">
        <v>0</v>
      </c>
      <c r="N132" s="31">
        <f t="shared" si="16"/>
        <v>0</v>
      </c>
      <c r="O132" s="32">
        <v>10</v>
      </c>
      <c r="P132" s="29">
        <f t="shared" si="17"/>
        <v>470</v>
      </c>
      <c r="Q132" s="31">
        <f t="shared" si="18"/>
        <v>1</v>
      </c>
      <c r="T132" s="3">
        <v>500</v>
      </c>
      <c r="U132" s="4"/>
      <c r="V132" s="4">
        <f t="shared" si="19"/>
        <v>4400</v>
      </c>
    </row>
    <row r="133" spans="2:22" x14ac:dyDescent="0.25">
      <c r="B133" s="1">
        <v>88</v>
      </c>
      <c r="C133" s="7">
        <v>15723644</v>
      </c>
      <c r="D133" s="2" t="s">
        <v>125</v>
      </c>
      <c r="E133" s="2" t="s">
        <v>596</v>
      </c>
      <c r="F133" s="2">
        <v>6053462</v>
      </c>
      <c r="G133" s="2" t="s">
        <v>701</v>
      </c>
      <c r="H133" s="5">
        <v>300</v>
      </c>
      <c r="I133">
        <v>5000</v>
      </c>
      <c r="J133" s="27">
        <f t="shared" si="14"/>
        <v>4450</v>
      </c>
      <c r="K133" s="3">
        <v>475</v>
      </c>
      <c r="L133" s="29">
        <f t="shared" si="15"/>
        <v>4275</v>
      </c>
      <c r="M133" s="30">
        <v>0.05</v>
      </c>
      <c r="N133" s="31">
        <f t="shared" si="16"/>
        <v>250</v>
      </c>
      <c r="O133" s="32">
        <v>10</v>
      </c>
      <c r="P133" s="29">
        <f t="shared" si="17"/>
        <v>445</v>
      </c>
      <c r="Q133" s="31">
        <f t="shared" si="18"/>
        <v>1</v>
      </c>
      <c r="T133" s="3">
        <v>475</v>
      </c>
      <c r="U133" s="4"/>
      <c r="V133" s="4">
        <f t="shared" si="19"/>
        <v>4150</v>
      </c>
    </row>
    <row r="134" spans="2:22" x14ac:dyDescent="0.25">
      <c r="B134" s="1">
        <v>89</v>
      </c>
      <c r="C134" s="7">
        <v>14626386</v>
      </c>
      <c r="D134" s="2" t="s">
        <v>126</v>
      </c>
      <c r="E134" s="2" t="s">
        <v>600</v>
      </c>
      <c r="F134" s="2">
        <v>5936643016</v>
      </c>
      <c r="G134" s="2" t="s">
        <v>703</v>
      </c>
      <c r="H134" s="5">
        <v>300</v>
      </c>
      <c r="I134">
        <v>5000</v>
      </c>
      <c r="J134" s="27">
        <f t="shared" si="14"/>
        <v>4700</v>
      </c>
      <c r="K134" s="3">
        <v>1500</v>
      </c>
      <c r="L134" s="29">
        <f t="shared" si="15"/>
        <v>3500</v>
      </c>
      <c r="M134" s="30">
        <v>0</v>
      </c>
      <c r="N134" s="31">
        <f t="shared" si="16"/>
        <v>0</v>
      </c>
      <c r="O134" s="32">
        <v>10</v>
      </c>
      <c r="P134" s="29">
        <f t="shared" si="17"/>
        <v>470</v>
      </c>
      <c r="Q134" s="31">
        <f t="shared" si="18"/>
        <v>3</v>
      </c>
      <c r="T134" s="3">
        <v>1500</v>
      </c>
      <c r="U134" s="4"/>
      <c r="V134" s="4">
        <f t="shared" si="19"/>
        <v>4400</v>
      </c>
    </row>
    <row r="135" spans="2:22" x14ac:dyDescent="0.25">
      <c r="B135" s="1">
        <v>89</v>
      </c>
      <c r="C135" s="7">
        <v>14626385</v>
      </c>
      <c r="D135" s="2" t="s">
        <v>127</v>
      </c>
      <c r="E135" s="2" t="s">
        <v>602</v>
      </c>
      <c r="F135" s="2">
        <v>5936643016</v>
      </c>
      <c r="G135" s="2" t="s">
        <v>703</v>
      </c>
      <c r="H135" s="5">
        <v>300</v>
      </c>
      <c r="I135">
        <v>5000</v>
      </c>
      <c r="J135" s="27">
        <f t="shared" si="14"/>
        <v>4700</v>
      </c>
      <c r="K135" s="3">
        <v>1425</v>
      </c>
      <c r="L135" s="29">
        <f t="shared" si="15"/>
        <v>3575</v>
      </c>
      <c r="M135" s="30">
        <v>0</v>
      </c>
      <c r="N135" s="31">
        <f t="shared" si="16"/>
        <v>0</v>
      </c>
      <c r="O135" s="32">
        <v>10</v>
      </c>
      <c r="P135" s="29">
        <f t="shared" si="17"/>
        <v>470</v>
      </c>
      <c r="Q135" s="31">
        <f t="shared" si="18"/>
        <v>3</v>
      </c>
      <c r="T135" s="3">
        <v>1425</v>
      </c>
      <c r="U135" s="4"/>
      <c r="V135" s="4">
        <f t="shared" si="19"/>
        <v>4400</v>
      </c>
    </row>
    <row r="136" spans="2:22" x14ac:dyDescent="0.25">
      <c r="B136" s="1">
        <v>90</v>
      </c>
      <c r="C136" s="7">
        <v>14039205</v>
      </c>
      <c r="D136" s="2" t="s">
        <v>128</v>
      </c>
      <c r="E136" s="2" t="s">
        <v>603</v>
      </c>
      <c r="F136" s="2">
        <v>8352279</v>
      </c>
      <c r="G136" s="2" t="s">
        <v>704</v>
      </c>
      <c r="H136" s="5"/>
      <c r="I136">
        <v>5000</v>
      </c>
      <c r="J136" s="27">
        <f t="shared" si="14"/>
        <v>5000</v>
      </c>
      <c r="K136" s="3">
        <v>500</v>
      </c>
      <c r="L136" s="29">
        <f t="shared" si="15"/>
        <v>4500</v>
      </c>
      <c r="M136" s="30">
        <v>0</v>
      </c>
      <c r="N136" s="31">
        <f t="shared" si="16"/>
        <v>0</v>
      </c>
      <c r="O136" s="32">
        <v>10</v>
      </c>
      <c r="P136" s="29">
        <f t="shared" si="17"/>
        <v>500</v>
      </c>
      <c r="Q136" s="31">
        <f t="shared" si="18"/>
        <v>1</v>
      </c>
      <c r="T136" s="3">
        <v>500</v>
      </c>
      <c r="U136" s="4"/>
      <c r="V136" s="4">
        <f t="shared" si="19"/>
        <v>5000</v>
      </c>
    </row>
    <row r="137" spans="2:22" x14ac:dyDescent="0.25">
      <c r="B137" s="1">
        <v>91</v>
      </c>
      <c r="C137" s="7">
        <v>14560961</v>
      </c>
      <c r="D137" s="2" t="s">
        <v>129</v>
      </c>
      <c r="E137" s="2" t="s">
        <v>602</v>
      </c>
      <c r="F137" s="2">
        <v>6061428</v>
      </c>
      <c r="G137" s="2" t="s">
        <v>705</v>
      </c>
      <c r="H137" s="5">
        <v>300</v>
      </c>
      <c r="I137">
        <v>5000</v>
      </c>
      <c r="J137" s="27">
        <f t="shared" si="14"/>
        <v>4700</v>
      </c>
      <c r="K137" s="3">
        <v>4750</v>
      </c>
      <c r="L137" s="29">
        <f t="shared" si="15"/>
        <v>250</v>
      </c>
      <c r="M137" s="30">
        <v>0</v>
      </c>
      <c r="N137" s="31">
        <f t="shared" si="16"/>
        <v>0</v>
      </c>
      <c r="O137" s="32">
        <v>10</v>
      </c>
      <c r="P137" s="29">
        <f t="shared" si="17"/>
        <v>470</v>
      </c>
      <c r="Q137" s="31">
        <f t="shared" si="18"/>
        <v>10</v>
      </c>
      <c r="T137" s="3">
        <v>4750</v>
      </c>
      <c r="U137" s="4"/>
      <c r="V137" s="4">
        <f t="shared" si="19"/>
        <v>4400</v>
      </c>
    </row>
    <row r="138" spans="2:22" x14ac:dyDescent="0.25">
      <c r="B138" s="1">
        <v>92</v>
      </c>
      <c r="C138" s="7">
        <v>14229509</v>
      </c>
      <c r="D138" s="2" t="s">
        <v>130</v>
      </c>
      <c r="E138" s="2" t="s">
        <v>601</v>
      </c>
      <c r="F138" s="2">
        <v>5956419</v>
      </c>
      <c r="G138" s="2" t="s">
        <v>706</v>
      </c>
      <c r="H138" s="5">
        <v>300</v>
      </c>
      <c r="I138">
        <v>5000</v>
      </c>
      <c r="J138" s="27">
        <f t="shared" si="14"/>
        <v>4700</v>
      </c>
      <c r="K138" s="3">
        <v>500</v>
      </c>
      <c r="L138" s="29">
        <f t="shared" si="15"/>
        <v>4500</v>
      </c>
      <c r="M138" s="30">
        <v>0</v>
      </c>
      <c r="N138" s="31">
        <f t="shared" si="16"/>
        <v>0</v>
      </c>
      <c r="O138" s="32">
        <v>10</v>
      </c>
      <c r="P138" s="29">
        <f t="shared" si="17"/>
        <v>470</v>
      </c>
      <c r="Q138" s="31">
        <f t="shared" si="18"/>
        <v>1</v>
      </c>
      <c r="T138" s="3">
        <v>500</v>
      </c>
      <c r="U138" s="4"/>
      <c r="V138" s="4">
        <f t="shared" si="19"/>
        <v>4400</v>
      </c>
    </row>
    <row r="139" spans="2:22" x14ac:dyDescent="0.25">
      <c r="B139" s="1">
        <v>92</v>
      </c>
      <c r="C139" s="7">
        <v>14228194</v>
      </c>
      <c r="D139" s="2" t="s">
        <v>131</v>
      </c>
      <c r="E139" s="2" t="s">
        <v>600</v>
      </c>
      <c r="F139" s="2">
        <v>5956419</v>
      </c>
      <c r="G139" s="2" t="s">
        <v>706</v>
      </c>
      <c r="H139" s="5">
        <v>300</v>
      </c>
      <c r="I139">
        <v>5000</v>
      </c>
      <c r="J139" s="27">
        <f t="shared" si="14"/>
        <v>4450</v>
      </c>
      <c r="K139" s="3">
        <v>475</v>
      </c>
      <c r="L139" s="29">
        <f t="shared" si="15"/>
        <v>4275</v>
      </c>
      <c r="M139" s="30">
        <v>0.05</v>
      </c>
      <c r="N139" s="31">
        <f t="shared" si="16"/>
        <v>250</v>
      </c>
      <c r="O139" s="32">
        <v>10</v>
      </c>
      <c r="P139" s="29">
        <f t="shared" si="17"/>
        <v>445</v>
      </c>
      <c r="Q139" s="31">
        <f t="shared" si="18"/>
        <v>1</v>
      </c>
      <c r="T139" s="3">
        <v>475</v>
      </c>
      <c r="U139" s="4"/>
      <c r="V139" s="4">
        <f t="shared" si="19"/>
        <v>4150</v>
      </c>
    </row>
    <row r="140" spans="2:22" x14ac:dyDescent="0.25">
      <c r="B140" s="1">
        <v>93</v>
      </c>
      <c r="C140" s="7">
        <v>17143738</v>
      </c>
      <c r="D140" s="2" t="s">
        <v>132</v>
      </c>
      <c r="E140" s="2" t="s">
        <v>595</v>
      </c>
      <c r="F140" s="2">
        <v>7072081</v>
      </c>
      <c r="G140" s="2" t="s">
        <v>692</v>
      </c>
      <c r="H140" s="5"/>
      <c r="I140">
        <v>5000</v>
      </c>
      <c r="J140" s="27">
        <f t="shared" si="14"/>
        <v>5000</v>
      </c>
      <c r="K140" s="3">
        <v>500</v>
      </c>
      <c r="L140" s="29">
        <f t="shared" si="15"/>
        <v>4500</v>
      </c>
      <c r="M140" s="30">
        <v>0</v>
      </c>
      <c r="N140" s="31">
        <f t="shared" si="16"/>
        <v>0</v>
      </c>
      <c r="O140" s="32">
        <v>10</v>
      </c>
      <c r="P140" s="29">
        <f t="shared" si="17"/>
        <v>500</v>
      </c>
      <c r="Q140" s="31">
        <f t="shared" si="18"/>
        <v>1</v>
      </c>
      <c r="T140" s="3">
        <v>500</v>
      </c>
      <c r="U140" s="4"/>
      <c r="V140" s="4">
        <f t="shared" si="19"/>
        <v>5000</v>
      </c>
    </row>
    <row r="141" spans="2:22" x14ac:dyDescent="0.25">
      <c r="B141" s="1">
        <v>94</v>
      </c>
      <c r="C141" s="6"/>
      <c r="D141" s="2" t="s">
        <v>99</v>
      </c>
      <c r="E141" s="12"/>
      <c r="F141" s="12"/>
      <c r="G141" s="12"/>
      <c r="H141" s="5"/>
      <c r="I141">
        <v>5000</v>
      </c>
      <c r="J141" s="27">
        <f t="shared" si="14"/>
        <v>5000</v>
      </c>
      <c r="K141" s="3">
        <v>0</v>
      </c>
      <c r="L141" s="29">
        <f t="shared" si="15"/>
        <v>5000</v>
      </c>
      <c r="M141" s="30">
        <v>0</v>
      </c>
      <c r="N141" s="31">
        <f t="shared" si="16"/>
        <v>0</v>
      </c>
      <c r="O141" s="32">
        <v>10</v>
      </c>
      <c r="P141" s="29">
        <f t="shared" si="17"/>
        <v>500</v>
      </c>
      <c r="Q141" s="31">
        <f t="shared" si="18"/>
        <v>0</v>
      </c>
      <c r="T141" s="3">
        <v>0</v>
      </c>
      <c r="U141" s="4"/>
      <c r="V141" s="4">
        <f t="shared" si="19"/>
        <v>5000</v>
      </c>
    </row>
    <row r="142" spans="2:22" x14ac:dyDescent="0.25">
      <c r="B142" s="1">
        <v>95</v>
      </c>
      <c r="C142" s="7">
        <v>13277824</v>
      </c>
      <c r="D142" s="2" t="s">
        <v>133</v>
      </c>
      <c r="E142" s="2" t="s">
        <v>593</v>
      </c>
      <c r="F142" s="2">
        <v>5475402</v>
      </c>
      <c r="G142" s="2" t="s">
        <v>707</v>
      </c>
      <c r="H142" s="5"/>
      <c r="I142">
        <v>5000</v>
      </c>
      <c r="J142" s="27">
        <f t="shared" si="14"/>
        <v>5000</v>
      </c>
      <c r="K142" s="3">
        <v>4750</v>
      </c>
      <c r="L142" s="29">
        <f t="shared" si="15"/>
        <v>250</v>
      </c>
      <c r="M142" s="30">
        <v>0</v>
      </c>
      <c r="N142" s="31">
        <f t="shared" si="16"/>
        <v>0</v>
      </c>
      <c r="O142" s="32">
        <v>10</v>
      </c>
      <c r="P142" s="29">
        <f t="shared" si="17"/>
        <v>500</v>
      </c>
      <c r="Q142" s="31">
        <f t="shared" si="18"/>
        <v>9</v>
      </c>
      <c r="T142" s="3">
        <v>4750</v>
      </c>
      <c r="U142" s="4">
        <v>4750</v>
      </c>
      <c r="V142" s="4">
        <f t="shared" si="19"/>
        <v>250</v>
      </c>
    </row>
    <row r="143" spans="2:22" x14ac:dyDescent="0.25">
      <c r="B143" s="1">
        <v>96</v>
      </c>
      <c r="C143" s="7">
        <v>14905851</v>
      </c>
      <c r="D143" s="2" t="s">
        <v>134</v>
      </c>
      <c r="E143" s="2" t="s">
        <v>592</v>
      </c>
      <c r="F143" s="2">
        <v>3441650</v>
      </c>
      <c r="G143" s="2" t="s">
        <v>708</v>
      </c>
      <c r="H143" s="5"/>
      <c r="I143">
        <v>5000</v>
      </c>
      <c r="J143" s="27">
        <f t="shared" si="14"/>
        <v>5000</v>
      </c>
      <c r="K143" s="3">
        <v>500</v>
      </c>
      <c r="L143" s="29">
        <f t="shared" si="15"/>
        <v>4500</v>
      </c>
      <c r="M143" s="30">
        <v>0</v>
      </c>
      <c r="N143" s="31">
        <f t="shared" si="16"/>
        <v>0</v>
      </c>
      <c r="O143" s="32">
        <v>10</v>
      </c>
      <c r="P143" s="29">
        <f t="shared" si="17"/>
        <v>500</v>
      </c>
      <c r="Q143" s="31">
        <f t="shared" si="18"/>
        <v>1</v>
      </c>
      <c r="T143" s="3">
        <v>500</v>
      </c>
      <c r="U143" s="4"/>
      <c r="V143" s="4">
        <f t="shared" si="19"/>
        <v>5000</v>
      </c>
    </row>
    <row r="144" spans="2:22" x14ac:dyDescent="0.25">
      <c r="B144" s="1">
        <v>96</v>
      </c>
      <c r="C144" s="7">
        <v>14306016</v>
      </c>
      <c r="D144" s="2" t="s">
        <v>135</v>
      </c>
      <c r="E144" s="2" t="s">
        <v>594</v>
      </c>
      <c r="F144" s="2">
        <v>3441650</v>
      </c>
      <c r="G144" s="2" t="s">
        <v>708</v>
      </c>
      <c r="H144" s="5"/>
      <c r="I144">
        <v>5000</v>
      </c>
      <c r="J144" s="27">
        <f t="shared" si="14"/>
        <v>4750</v>
      </c>
      <c r="K144" s="3">
        <v>475</v>
      </c>
      <c r="L144" s="29">
        <f t="shared" si="15"/>
        <v>4275</v>
      </c>
      <c r="M144" s="30">
        <v>0.05</v>
      </c>
      <c r="N144" s="31">
        <f t="shared" si="16"/>
        <v>250</v>
      </c>
      <c r="O144" s="32">
        <v>10</v>
      </c>
      <c r="P144" s="29">
        <f t="shared" si="17"/>
        <v>475</v>
      </c>
      <c r="Q144" s="31">
        <f t="shared" si="18"/>
        <v>1</v>
      </c>
      <c r="T144" s="3">
        <v>475</v>
      </c>
      <c r="U144" s="4"/>
      <c r="V144" s="4">
        <f t="shared" si="19"/>
        <v>4750</v>
      </c>
    </row>
    <row r="145" spans="2:22" x14ac:dyDescent="0.25">
      <c r="B145" s="1">
        <v>97</v>
      </c>
      <c r="C145" s="7">
        <v>15389915</v>
      </c>
      <c r="D145" s="2" t="s">
        <v>136</v>
      </c>
      <c r="E145" s="2" t="s">
        <v>596</v>
      </c>
      <c r="F145" s="2">
        <v>7017319</v>
      </c>
      <c r="G145" s="2" t="s">
        <v>709</v>
      </c>
      <c r="H145" s="5">
        <v>300</v>
      </c>
      <c r="I145">
        <v>5000</v>
      </c>
      <c r="J145" s="27">
        <f t="shared" si="14"/>
        <v>4700</v>
      </c>
      <c r="K145" s="3">
        <v>4750</v>
      </c>
      <c r="L145" s="29">
        <f t="shared" si="15"/>
        <v>250</v>
      </c>
      <c r="M145" s="30">
        <v>0</v>
      </c>
      <c r="N145" s="31">
        <f t="shared" si="16"/>
        <v>0</v>
      </c>
      <c r="O145" s="32">
        <v>10</v>
      </c>
      <c r="P145" s="29">
        <f t="shared" si="17"/>
        <v>470</v>
      </c>
      <c r="Q145" s="31">
        <f t="shared" si="18"/>
        <v>10</v>
      </c>
      <c r="T145" s="3">
        <v>4750</v>
      </c>
      <c r="U145" s="4"/>
      <c r="V145" s="4">
        <f t="shared" si="19"/>
        <v>4400</v>
      </c>
    </row>
    <row r="146" spans="2:22" x14ac:dyDescent="0.25">
      <c r="B146" s="1">
        <v>98</v>
      </c>
      <c r="C146" s="7">
        <v>13437341</v>
      </c>
      <c r="D146" s="2" t="s">
        <v>137</v>
      </c>
      <c r="E146" s="2" t="s">
        <v>603</v>
      </c>
      <c r="F146" s="2">
        <v>6176759019</v>
      </c>
      <c r="G146" s="2" t="s">
        <v>710</v>
      </c>
      <c r="H146" s="5">
        <v>300</v>
      </c>
      <c r="I146">
        <v>5000</v>
      </c>
      <c r="J146" s="27">
        <f t="shared" si="14"/>
        <v>4700</v>
      </c>
      <c r="K146" s="3">
        <v>4750</v>
      </c>
      <c r="L146" s="29">
        <f t="shared" si="15"/>
        <v>250</v>
      </c>
      <c r="M146" s="30">
        <v>0</v>
      </c>
      <c r="N146" s="31">
        <f t="shared" si="16"/>
        <v>0</v>
      </c>
      <c r="O146" s="32">
        <v>10</v>
      </c>
      <c r="P146" s="29">
        <f t="shared" si="17"/>
        <v>470</v>
      </c>
      <c r="Q146" s="31">
        <f t="shared" si="18"/>
        <v>10</v>
      </c>
      <c r="T146" s="3">
        <v>4750</v>
      </c>
      <c r="U146" s="4"/>
      <c r="V146" s="4">
        <f t="shared" si="19"/>
        <v>4400</v>
      </c>
    </row>
    <row r="147" spans="2:22" x14ac:dyDescent="0.25">
      <c r="B147" s="1">
        <v>98</v>
      </c>
      <c r="C147" s="7">
        <v>13313964</v>
      </c>
      <c r="D147" s="2" t="s">
        <v>138</v>
      </c>
      <c r="E147" s="2" t="s">
        <v>600</v>
      </c>
      <c r="F147" s="2">
        <v>6176759019</v>
      </c>
      <c r="G147" s="2" t="s">
        <v>710</v>
      </c>
      <c r="H147" s="5">
        <v>300</v>
      </c>
      <c r="I147">
        <v>5000</v>
      </c>
      <c r="J147" s="27">
        <f t="shared" si="14"/>
        <v>4700</v>
      </c>
      <c r="K147" s="3">
        <v>4750</v>
      </c>
      <c r="L147" s="29">
        <f t="shared" si="15"/>
        <v>250</v>
      </c>
      <c r="M147" s="30">
        <v>0</v>
      </c>
      <c r="N147" s="31">
        <f t="shared" si="16"/>
        <v>0</v>
      </c>
      <c r="O147" s="32">
        <v>10</v>
      </c>
      <c r="P147" s="29">
        <f t="shared" si="17"/>
        <v>470</v>
      </c>
      <c r="Q147" s="31">
        <f t="shared" si="18"/>
        <v>10</v>
      </c>
      <c r="T147" s="3">
        <v>4750</v>
      </c>
      <c r="U147" s="4"/>
      <c r="V147" s="4">
        <f t="shared" si="19"/>
        <v>4400</v>
      </c>
    </row>
    <row r="148" spans="2:22" x14ac:dyDescent="0.25">
      <c r="B148" s="1">
        <v>98</v>
      </c>
      <c r="C148" s="7">
        <v>15330490</v>
      </c>
      <c r="D148" s="2" t="s">
        <v>139</v>
      </c>
      <c r="E148" s="2" t="s">
        <v>599</v>
      </c>
      <c r="F148" s="2">
        <v>6176759019</v>
      </c>
      <c r="G148" s="2" t="s">
        <v>710</v>
      </c>
      <c r="H148" s="5">
        <v>300</v>
      </c>
      <c r="I148">
        <v>5000</v>
      </c>
      <c r="J148" s="27">
        <f t="shared" si="14"/>
        <v>4700</v>
      </c>
      <c r="K148" s="3">
        <v>4500</v>
      </c>
      <c r="L148" s="29">
        <f t="shared" si="15"/>
        <v>500</v>
      </c>
      <c r="M148" s="30">
        <v>0</v>
      </c>
      <c r="N148" s="31">
        <f t="shared" si="16"/>
        <v>0</v>
      </c>
      <c r="O148" s="32">
        <v>10</v>
      </c>
      <c r="P148" s="29">
        <f t="shared" si="17"/>
        <v>470</v>
      </c>
      <c r="Q148" s="31">
        <f t="shared" si="18"/>
        <v>9</v>
      </c>
      <c r="T148" s="3">
        <v>4500</v>
      </c>
      <c r="U148" s="4"/>
      <c r="V148" s="4">
        <f t="shared" si="19"/>
        <v>4400</v>
      </c>
    </row>
    <row r="149" spans="2:22" x14ac:dyDescent="0.25">
      <c r="B149" s="1">
        <v>99</v>
      </c>
      <c r="C149" s="7">
        <v>16957399</v>
      </c>
      <c r="D149" s="2" t="s">
        <v>140</v>
      </c>
      <c r="E149" s="2" t="s">
        <v>595</v>
      </c>
      <c r="F149" s="2">
        <v>6989831</v>
      </c>
      <c r="G149" s="2" t="s">
        <v>711</v>
      </c>
      <c r="H149" s="5"/>
      <c r="I149">
        <v>5000</v>
      </c>
      <c r="J149" s="27">
        <f t="shared" si="14"/>
        <v>5000</v>
      </c>
      <c r="K149" s="3">
        <v>500</v>
      </c>
      <c r="L149" s="29">
        <f t="shared" si="15"/>
        <v>4500</v>
      </c>
      <c r="M149" s="30">
        <v>0</v>
      </c>
      <c r="N149" s="31">
        <f t="shared" si="16"/>
        <v>0</v>
      </c>
      <c r="O149" s="32">
        <v>10</v>
      </c>
      <c r="P149" s="29">
        <f t="shared" si="17"/>
        <v>500</v>
      </c>
      <c r="Q149" s="31">
        <f t="shared" si="18"/>
        <v>1</v>
      </c>
      <c r="T149" s="3">
        <v>500</v>
      </c>
      <c r="U149" s="4">
        <v>500</v>
      </c>
      <c r="V149" s="4">
        <f t="shared" si="19"/>
        <v>4500</v>
      </c>
    </row>
    <row r="150" spans="2:22" x14ac:dyDescent="0.25">
      <c r="B150" s="1">
        <v>100</v>
      </c>
      <c r="C150" s="7">
        <v>14651364</v>
      </c>
      <c r="D150" s="2" t="s">
        <v>141</v>
      </c>
      <c r="E150" s="2" t="s">
        <v>600</v>
      </c>
      <c r="F150" s="2">
        <v>9228016</v>
      </c>
      <c r="G150" s="2" t="s">
        <v>701</v>
      </c>
      <c r="H150" s="5">
        <v>300</v>
      </c>
      <c r="I150">
        <v>5000</v>
      </c>
      <c r="J150" s="27">
        <f t="shared" si="14"/>
        <v>4700</v>
      </c>
      <c r="K150" s="3">
        <v>500</v>
      </c>
      <c r="L150" s="29">
        <f t="shared" si="15"/>
        <v>4500</v>
      </c>
      <c r="M150" s="30">
        <v>0</v>
      </c>
      <c r="N150" s="31">
        <f t="shared" si="16"/>
        <v>0</v>
      </c>
      <c r="O150" s="32">
        <v>10</v>
      </c>
      <c r="P150" s="29">
        <f t="shared" si="17"/>
        <v>470</v>
      </c>
      <c r="Q150" s="31">
        <f t="shared" si="18"/>
        <v>1</v>
      </c>
      <c r="T150" s="3">
        <v>500</v>
      </c>
      <c r="U150" s="4"/>
      <c r="V150" s="4">
        <f t="shared" si="19"/>
        <v>4400</v>
      </c>
    </row>
    <row r="151" spans="2:22" x14ac:dyDescent="0.25">
      <c r="B151" s="1">
        <v>101</v>
      </c>
      <c r="C151" s="7">
        <v>14295068</v>
      </c>
      <c r="D151" s="2" t="s">
        <v>142</v>
      </c>
      <c r="E151" s="2" t="s">
        <v>601</v>
      </c>
      <c r="F151" s="2">
        <v>4954395</v>
      </c>
      <c r="G151" s="2" t="s">
        <v>712</v>
      </c>
      <c r="H151" s="5">
        <v>300</v>
      </c>
      <c r="I151">
        <v>5000</v>
      </c>
      <c r="J151" s="27">
        <f t="shared" si="14"/>
        <v>4700</v>
      </c>
      <c r="K151" s="3">
        <v>500</v>
      </c>
      <c r="L151" s="29">
        <f t="shared" si="15"/>
        <v>4500</v>
      </c>
      <c r="M151" s="30">
        <v>0</v>
      </c>
      <c r="N151" s="31">
        <f t="shared" si="16"/>
        <v>0</v>
      </c>
      <c r="O151" s="32">
        <v>10</v>
      </c>
      <c r="P151" s="29">
        <f t="shared" si="17"/>
        <v>470</v>
      </c>
      <c r="Q151" s="31">
        <f t="shared" si="18"/>
        <v>1</v>
      </c>
      <c r="T151" s="3">
        <v>500</v>
      </c>
      <c r="U151" s="4"/>
      <c r="V151" s="4">
        <f t="shared" si="19"/>
        <v>4400</v>
      </c>
    </row>
    <row r="152" spans="2:22" x14ac:dyDescent="0.25">
      <c r="B152" s="1">
        <v>101</v>
      </c>
      <c r="C152" s="7">
        <v>14295067</v>
      </c>
      <c r="D152" s="2" t="s">
        <v>143</v>
      </c>
      <c r="E152" s="2" t="s">
        <v>600</v>
      </c>
      <c r="F152" s="2">
        <v>4954396</v>
      </c>
      <c r="G152" s="2" t="s">
        <v>712</v>
      </c>
      <c r="H152" s="5">
        <v>300</v>
      </c>
      <c r="I152">
        <v>5000</v>
      </c>
      <c r="J152" s="27">
        <f t="shared" si="14"/>
        <v>4450</v>
      </c>
      <c r="K152" s="3">
        <v>475</v>
      </c>
      <c r="L152" s="29">
        <f t="shared" si="15"/>
        <v>4275</v>
      </c>
      <c r="M152" s="30">
        <v>0.05</v>
      </c>
      <c r="N152" s="31">
        <f t="shared" si="16"/>
        <v>250</v>
      </c>
      <c r="O152" s="32">
        <v>10</v>
      </c>
      <c r="P152" s="29">
        <f t="shared" si="17"/>
        <v>445</v>
      </c>
      <c r="Q152" s="31">
        <f t="shared" si="18"/>
        <v>1</v>
      </c>
      <c r="T152" s="3">
        <v>475</v>
      </c>
      <c r="U152" s="4"/>
      <c r="V152" s="4">
        <f t="shared" si="19"/>
        <v>4150</v>
      </c>
    </row>
    <row r="153" spans="2:22" x14ac:dyDescent="0.25">
      <c r="B153" s="1">
        <v>102</v>
      </c>
      <c r="C153" s="7">
        <v>14961578</v>
      </c>
      <c r="D153" s="2" t="s">
        <v>144</v>
      </c>
      <c r="E153" s="2" t="s">
        <v>605</v>
      </c>
      <c r="F153" s="2">
        <v>6049130</v>
      </c>
      <c r="G153" s="2" t="s">
        <v>648</v>
      </c>
      <c r="H153" s="5">
        <v>300</v>
      </c>
      <c r="I153">
        <v>5000</v>
      </c>
      <c r="J153" s="27">
        <f t="shared" si="14"/>
        <v>4700</v>
      </c>
      <c r="K153" s="3">
        <v>500</v>
      </c>
      <c r="L153" s="29">
        <f t="shared" si="15"/>
        <v>4500</v>
      </c>
      <c r="M153" s="30">
        <v>0</v>
      </c>
      <c r="N153" s="31">
        <f t="shared" si="16"/>
        <v>0</v>
      </c>
      <c r="O153" s="32">
        <v>10</v>
      </c>
      <c r="P153" s="29">
        <f t="shared" si="17"/>
        <v>470</v>
      </c>
      <c r="Q153" s="31">
        <f t="shared" si="18"/>
        <v>1</v>
      </c>
      <c r="T153" s="3">
        <v>500</v>
      </c>
      <c r="U153" s="4"/>
      <c r="V153" s="4">
        <f t="shared" si="19"/>
        <v>4400</v>
      </c>
    </row>
    <row r="154" spans="2:22" x14ac:dyDescent="0.25">
      <c r="B154" s="1">
        <v>102</v>
      </c>
      <c r="C154" s="7">
        <v>14960918</v>
      </c>
      <c r="D154" s="2" t="s">
        <v>145</v>
      </c>
      <c r="E154" s="2" t="s">
        <v>604</v>
      </c>
      <c r="F154" s="2">
        <v>6049131</v>
      </c>
      <c r="G154" s="2" t="s">
        <v>648</v>
      </c>
      <c r="H154" s="5">
        <v>300</v>
      </c>
      <c r="I154">
        <v>5000</v>
      </c>
      <c r="J154" s="27">
        <f t="shared" si="14"/>
        <v>4450</v>
      </c>
      <c r="K154" s="3">
        <v>475</v>
      </c>
      <c r="L154" s="29">
        <f t="shared" si="15"/>
        <v>4275</v>
      </c>
      <c r="M154" s="30">
        <v>0.05</v>
      </c>
      <c r="N154" s="31">
        <f t="shared" si="16"/>
        <v>250</v>
      </c>
      <c r="O154" s="32">
        <v>10</v>
      </c>
      <c r="P154" s="29">
        <f t="shared" si="17"/>
        <v>445</v>
      </c>
      <c r="Q154" s="31">
        <f t="shared" si="18"/>
        <v>1</v>
      </c>
      <c r="T154" s="3">
        <v>475</v>
      </c>
      <c r="U154" s="4"/>
      <c r="V154" s="4">
        <f t="shared" si="19"/>
        <v>4150</v>
      </c>
    </row>
    <row r="155" spans="2:22" x14ac:dyDescent="0.25">
      <c r="B155" s="1">
        <v>103</v>
      </c>
      <c r="C155" s="7">
        <v>15688453</v>
      </c>
      <c r="D155" s="2" t="s">
        <v>146</v>
      </c>
      <c r="E155" s="2" t="s">
        <v>596</v>
      </c>
      <c r="F155" s="2">
        <v>10037745</v>
      </c>
      <c r="G155" s="2" t="s">
        <v>713</v>
      </c>
      <c r="H155" s="5">
        <v>300</v>
      </c>
      <c r="I155">
        <v>5000</v>
      </c>
      <c r="J155" s="27">
        <f t="shared" si="14"/>
        <v>4700</v>
      </c>
      <c r="K155" s="3">
        <v>1000</v>
      </c>
      <c r="L155" s="29">
        <f t="shared" si="15"/>
        <v>4000</v>
      </c>
      <c r="M155" s="30">
        <v>0</v>
      </c>
      <c r="N155" s="31">
        <f t="shared" si="16"/>
        <v>0</v>
      </c>
      <c r="O155" s="32">
        <v>10</v>
      </c>
      <c r="P155" s="29">
        <f t="shared" si="17"/>
        <v>470</v>
      </c>
      <c r="Q155" s="31">
        <f t="shared" si="18"/>
        <v>2</v>
      </c>
      <c r="T155" s="3">
        <v>1000</v>
      </c>
      <c r="U155" s="4"/>
      <c r="V155" s="4">
        <f t="shared" si="19"/>
        <v>4400</v>
      </c>
    </row>
    <row r="156" spans="2:22" x14ac:dyDescent="0.25">
      <c r="B156" s="1">
        <v>104</v>
      </c>
      <c r="C156" s="7">
        <v>13734958</v>
      </c>
      <c r="D156" s="2" t="s">
        <v>147</v>
      </c>
      <c r="E156" s="2" t="s">
        <v>603</v>
      </c>
      <c r="F156" s="2">
        <v>4808867</v>
      </c>
      <c r="G156" s="2" t="s">
        <v>714</v>
      </c>
      <c r="H156" s="5"/>
      <c r="I156">
        <v>5000</v>
      </c>
      <c r="J156" s="27">
        <f t="shared" si="14"/>
        <v>5000</v>
      </c>
      <c r="K156" s="3">
        <v>500</v>
      </c>
      <c r="L156" s="29">
        <f t="shared" si="15"/>
        <v>4500</v>
      </c>
      <c r="M156" s="30">
        <v>0</v>
      </c>
      <c r="N156" s="31">
        <f t="shared" si="16"/>
        <v>0</v>
      </c>
      <c r="O156" s="32">
        <v>10</v>
      </c>
      <c r="P156" s="29">
        <f t="shared" si="17"/>
        <v>500</v>
      </c>
      <c r="Q156" s="31">
        <f t="shared" si="18"/>
        <v>1</v>
      </c>
      <c r="T156" s="3">
        <v>500</v>
      </c>
      <c r="U156" s="4">
        <v>500</v>
      </c>
      <c r="V156" s="4">
        <f t="shared" si="19"/>
        <v>4500</v>
      </c>
    </row>
    <row r="157" spans="2:22" x14ac:dyDescent="0.25">
      <c r="B157" s="1">
        <v>104</v>
      </c>
      <c r="C157" s="7">
        <v>15022870</v>
      </c>
      <c r="D157" s="2" t="s">
        <v>148</v>
      </c>
      <c r="E157" s="2" t="s">
        <v>602</v>
      </c>
      <c r="F157" s="2">
        <v>4808867</v>
      </c>
      <c r="G157" s="2" t="s">
        <v>714</v>
      </c>
      <c r="H157" s="5"/>
      <c r="I157">
        <v>5000</v>
      </c>
      <c r="J157" s="27">
        <f t="shared" si="14"/>
        <v>4750</v>
      </c>
      <c r="K157" s="3">
        <v>475</v>
      </c>
      <c r="L157" s="29">
        <f t="shared" si="15"/>
        <v>4275</v>
      </c>
      <c r="M157" s="30">
        <v>0.05</v>
      </c>
      <c r="N157" s="31">
        <f t="shared" si="16"/>
        <v>250</v>
      </c>
      <c r="O157" s="32">
        <v>10</v>
      </c>
      <c r="P157" s="29">
        <f t="shared" si="17"/>
        <v>475</v>
      </c>
      <c r="Q157" s="31">
        <f t="shared" si="18"/>
        <v>1</v>
      </c>
      <c r="T157" s="3">
        <v>475</v>
      </c>
      <c r="U157" s="4">
        <v>475</v>
      </c>
      <c r="V157" s="4">
        <f t="shared" si="19"/>
        <v>4275</v>
      </c>
    </row>
    <row r="158" spans="2:22" x14ac:dyDescent="0.25">
      <c r="B158" s="1">
        <v>105</v>
      </c>
      <c r="C158" s="7">
        <v>10854612</v>
      </c>
      <c r="D158" s="2" t="s">
        <v>149</v>
      </c>
      <c r="E158" s="2" t="s">
        <v>601</v>
      </c>
      <c r="F158" s="2">
        <v>6874994</v>
      </c>
      <c r="G158" s="2" t="s">
        <v>715</v>
      </c>
      <c r="H158" s="5"/>
      <c r="I158">
        <v>5000</v>
      </c>
      <c r="J158" s="27">
        <f t="shared" si="14"/>
        <v>5000</v>
      </c>
      <c r="K158" s="3">
        <v>500</v>
      </c>
      <c r="L158" s="29">
        <f t="shared" si="15"/>
        <v>4500</v>
      </c>
      <c r="M158" s="30">
        <v>0</v>
      </c>
      <c r="N158" s="31">
        <f t="shared" si="16"/>
        <v>0</v>
      </c>
      <c r="O158" s="32">
        <v>10</v>
      </c>
      <c r="P158" s="29">
        <f t="shared" si="17"/>
        <v>500</v>
      </c>
      <c r="Q158" s="31">
        <f t="shared" si="18"/>
        <v>1</v>
      </c>
      <c r="T158" s="3">
        <v>500</v>
      </c>
      <c r="U158" s="4"/>
      <c r="V158" s="4">
        <f t="shared" si="19"/>
        <v>5000</v>
      </c>
    </row>
    <row r="159" spans="2:22" x14ac:dyDescent="0.25">
      <c r="B159" s="1">
        <v>105</v>
      </c>
      <c r="C159" s="7">
        <v>17167141</v>
      </c>
      <c r="D159" s="2" t="s">
        <v>150</v>
      </c>
      <c r="E159" s="2" t="s">
        <v>595</v>
      </c>
      <c r="F159" s="2">
        <v>6874995</v>
      </c>
      <c r="G159" s="2" t="s">
        <v>715</v>
      </c>
      <c r="H159" s="5"/>
      <c r="I159">
        <v>5000</v>
      </c>
      <c r="J159" s="27">
        <f t="shared" si="14"/>
        <v>4750</v>
      </c>
      <c r="K159" s="3">
        <v>475</v>
      </c>
      <c r="L159" s="29">
        <f t="shared" si="15"/>
        <v>4275</v>
      </c>
      <c r="M159" s="30">
        <v>0.05</v>
      </c>
      <c r="N159" s="31">
        <f t="shared" si="16"/>
        <v>250</v>
      </c>
      <c r="O159" s="32">
        <v>10</v>
      </c>
      <c r="P159" s="29">
        <f t="shared" si="17"/>
        <v>475</v>
      </c>
      <c r="Q159" s="31">
        <f t="shared" si="18"/>
        <v>1</v>
      </c>
      <c r="T159" s="3">
        <v>475</v>
      </c>
      <c r="U159" s="4"/>
      <c r="V159" s="4">
        <f t="shared" si="19"/>
        <v>4750</v>
      </c>
    </row>
    <row r="160" spans="2:22" x14ac:dyDescent="0.25">
      <c r="B160" s="1">
        <v>106</v>
      </c>
      <c r="C160" s="7">
        <v>14649882</v>
      </c>
      <c r="D160" s="2" t="s">
        <v>151</v>
      </c>
      <c r="E160" s="2" t="s">
        <v>600</v>
      </c>
      <c r="F160" s="2">
        <v>4817873</v>
      </c>
      <c r="G160" s="2" t="s">
        <v>716</v>
      </c>
      <c r="H160" s="5"/>
      <c r="I160">
        <v>5000</v>
      </c>
      <c r="J160" s="27">
        <f t="shared" si="14"/>
        <v>5000</v>
      </c>
      <c r="K160" s="3">
        <v>500</v>
      </c>
      <c r="L160" s="29">
        <f t="shared" si="15"/>
        <v>4500</v>
      </c>
      <c r="M160" s="30">
        <v>0</v>
      </c>
      <c r="N160" s="31">
        <f t="shared" si="16"/>
        <v>0</v>
      </c>
      <c r="O160" s="32">
        <v>10</v>
      </c>
      <c r="P160" s="29">
        <f t="shared" si="17"/>
        <v>500</v>
      </c>
      <c r="Q160" s="31">
        <f t="shared" si="18"/>
        <v>1</v>
      </c>
      <c r="T160" s="3">
        <v>500</v>
      </c>
      <c r="U160" s="4">
        <v>500</v>
      </c>
      <c r="V160" s="4">
        <f t="shared" si="19"/>
        <v>4500</v>
      </c>
    </row>
    <row r="161" spans="2:22" x14ac:dyDescent="0.25">
      <c r="B161" s="1">
        <v>107</v>
      </c>
      <c r="C161" s="7">
        <v>15230230</v>
      </c>
      <c r="D161" s="2" t="s">
        <v>152</v>
      </c>
      <c r="E161" s="2" t="s">
        <v>600</v>
      </c>
      <c r="F161" s="2">
        <v>4376875</v>
      </c>
      <c r="G161" s="2" t="s">
        <v>677</v>
      </c>
      <c r="H161" s="5">
        <v>300</v>
      </c>
      <c r="I161">
        <v>5000</v>
      </c>
      <c r="J161" s="27">
        <f t="shared" si="14"/>
        <v>4700</v>
      </c>
      <c r="K161" s="3">
        <v>500</v>
      </c>
      <c r="L161" s="29">
        <f t="shared" si="15"/>
        <v>4500</v>
      </c>
      <c r="M161" s="30">
        <v>0</v>
      </c>
      <c r="N161" s="31">
        <f t="shared" si="16"/>
        <v>0</v>
      </c>
      <c r="O161" s="32">
        <v>10</v>
      </c>
      <c r="P161" s="29">
        <f t="shared" si="17"/>
        <v>470</v>
      </c>
      <c r="Q161" s="31">
        <f t="shared" si="18"/>
        <v>1</v>
      </c>
      <c r="T161" s="3">
        <v>500</v>
      </c>
      <c r="U161" s="4">
        <v>200</v>
      </c>
      <c r="V161" s="4">
        <f t="shared" si="19"/>
        <v>4200</v>
      </c>
    </row>
    <row r="162" spans="2:22" x14ac:dyDescent="0.25">
      <c r="B162" s="1">
        <v>108</v>
      </c>
      <c r="C162" s="7">
        <v>13968676</v>
      </c>
      <c r="D162" s="2" t="s">
        <v>153</v>
      </c>
      <c r="E162" s="2" t="s">
        <v>592</v>
      </c>
      <c r="F162" s="2">
        <v>6052537</v>
      </c>
      <c r="G162" s="2" t="s">
        <v>657</v>
      </c>
      <c r="H162" s="5">
        <v>300</v>
      </c>
      <c r="I162">
        <v>5000</v>
      </c>
      <c r="J162" s="27">
        <f t="shared" si="14"/>
        <v>4700</v>
      </c>
      <c r="K162" s="3">
        <v>500</v>
      </c>
      <c r="L162" s="29">
        <f t="shared" si="15"/>
        <v>4500</v>
      </c>
      <c r="M162" s="30">
        <v>0</v>
      </c>
      <c r="N162" s="31">
        <f t="shared" si="16"/>
        <v>0</v>
      </c>
      <c r="O162" s="32">
        <v>10</v>
      </c>
      <c r="P162" s="29">
        <f t="shared" si="17"/>
        <v>470</v>
      </c>
      <c r="Q162" s="31">
        <f t="shared" si="18"/>
        <v>1</v>
      </c>
      <c r="T162" s="3">
        <v>500</v>
      </c>
      <c r="U162" s="4">
        <v>200</v>
      </c>
      <c r="V162" s="4">
        <f t="shared" si="19"/>
        <v>4200</v>
      </c>
    </row>
    <row r="163" spans="2:22" x14ac:dyDescent="0.25">
      <c r="B163" s="1">
        <v>108</v>
      </c>
      <c r="C163" s="7">
        <v>14649576</v>
      </c>
      <c r="D163" s="2" t="s">
        <v>154</v>
      </c>
      <c r="E163" s="2" t="s">
        <v>604</v>
      </c>
      <c r="F163" s="2">
        <v>6052537</v>
      </c>
      <c r="G163" s="2" t="s">
        <v>657</v>
      </c>
      <c r="H163" s="5">
        <v>300</v>
      </c>
      <c r="I163">
        <v>5000</v>
      </c>
      <c r="J163" s="27">
        <f t="shared" si="14"/>
        <v>4450</v>
      </c>
      <c r="K163" s="3">
        <v>475</v>
      </c>
      <c r="L163" s="29">
        <f t="shared" si="15"/>
        <v>4275</v>
      </c>
      <c r="M163" s="30">
        <v>0.05</v>
      </c>
      <c r="N163" s="31">
        <f t="shared" si="16"/>
        <v>250</v>
      </c>
      <c r="O163" s="32">
        <v>10</v>
      </c>
      <c r="P163" s="29">
        <f t="shared" si="17"/>
        <v>445</v>
      </c>
      <c r="Q163" s="31">
        <f t="shared" si="18"/>
        <v>1</v>
      </c>
      <c r="T163" s="3">
        <v>475</v>
      </c>
      <c r="U163" s="4">
        <v>175</v>
      </c>
      <c r="V163" s="4">
        <f t="shared" ref="V163" si="20">J163-H163-U163</f>
        <v>3975</v>
      </c>
    </row>
    <row r="164" spans="2:22" x14ac:dyDescent="0.25">
      <c r="B164" s="1">
        <v>109</v>
      </c>
      <c r="C164" s="6"/>
      <c r="D164" s="2" t="s">
        <v>99</v>
      </c>
      <c r="E164" s="12"/>
      <c r="F164" s="12"/>
      <c r="G164" s="12"/>
      <c r="H164" s="5"/>
      <c r="I164">
        <v>5000</v>
      </c>
      <c r="J164" s="27">
        <f t="shared" si="14"/>
        <v>5000</v>
      </c>
      <c r="K164" s="3">
        <v>0</v>
      </c>
      <c r="L164" s="29">
        <f t="shared" si="15"/>
        <v>5000</v>
      </c>
      <c r="M164" s="30">
        <v>0</v>
      </c>
      <c r="N164" s="31">
        <f t="shared" si="16"/>
        <v>0</v>
      </c>
      <c r="O164" s="32">
        <v>10</v>
      </c>
      <c r="P164" s="29">
        <f t="shared" si="17"/>
        <v>500</v>
      </c>
      <c r="Q164" s="31">
        <f t="shared" si="18"/>
        <v>0</v>
      </c>
      <c r="T164" s="3">
        <v>0</v>
      </c>
      <c r="U164" s="4"/>
      <c r="V164" s="4"/>
    </row>
    <row r="165" spans="2:22" x14ac:dyDescent="0.25">
      <c r="B165" s="1">
        <v>110</v>
      </c>
      <c r="C165" s="7">
        <v>15132814</v>
      </c>
      <c r="D165" s="2" t="s">
        <v>155</v>
      </c>
      <c r="E165" s="2" t="s">
        <v>600</v>
      </c>
      <c r="F165" s="2">
        <v>3342573014</v>
      </c>
      <c r="G165" s="2" t="s">
        <v>648</v>
      </c>
      <c r="H165" s="5">
        <v>300</v>
      </c>
      <c r="I165">
        <v>5000</v>
      </c>
      <c r="J165" s="27">
        <f t="shared" si="14"/>
        <v>4700</v>
      </c>
      <c r="K165" s="3">
        <v>500</v>
      </c>
      <c r="L165" s="29">
        <f t="shared" si="15"/>
        <v>4500</v>
      </c>
      <c r="M165" s="30">
        <v>0</v>
      </c>
      <c r="N165" s="31">
        <f t="shared" si="16"/>
        <v>0</v>
      </c>
      <c r="O165" s="32">
        <v>10</v>
      </c>
      <c r="P165" s="29">
        <f t="shared" si="17"/>
        <v>470</v>
      </c>
      <c r="Q165" s="31">
        <f t="shared" si="18"/>
        <v>1</v>
      </c>
      <c r="T165" s="3">
        <v>500</v>
      </c>
      <c r="U165" s="4"/>
      <c r="V165" s="4">
        <f t="shared" ref="V165:V191" si="21">J165-H165-U165</f>
        <v>4400</v>
      </c>
    </row>
    <row r="166" spans="2:22" x14ac:dyDescent="0.25">
      <c r="B166" s="1">
        <v>110</v>
      </c>
      <c r="C166" s="7">
        <v>17072938</v>
      </c>
      <c r="D166" s="2" t="s">
        <v>156</v>
      </c>
      <c r="E166" s="2" t="s">
        <v>594</v>
      </c>
      <c r="F166" s="2">
        <v>3342573014</v>
      </c>
      <c r="G166" s="2" t="s">
        <v>648</v>
      </c>
      <c r="H166" s="5">
        <v>300</v>
      </c>
      <c r="I166">
        <v>5000</v>
      </c>
      <c r="J166" s="27">
        <f t="shared" si="14"/>
        <v>4450</v>
      </c>
      <c r="K166" s="3">
        <v>475</v>
      </c>
      <c r="L166" s="29">
        <f t="shared" si="15"/>
        <v>4275</v>
      </c>
      <c r="M166" s="30">
        <v>0.05</v>
      </c>
      <c r="N166" s="31">
        <f t="shared" si="16"/>
        <v>250</v>
      </c>
      <c r="O166" s="32">
        <v>10</v>
      </c>
      <c r="P166" s="29">
        <f t="shared" si="17"/>
        <v>445</v>
      </c>
      <c r="Q166" s="31">
        <f t="shared" si="18"/>
        <v>1</v>
      </c>
      <c r="T166" s="3">
        <v>475</v>
      </c>
      <c r="U166" s="4"/>
      <c r="V166" s="4">
        <f t="shared" si="21"/>
        <v>4150</v>
      </c>
    </row>
    <row r="167" spans="2:22" x14ac:dyDescent="0.25">
      <c r="B167" s="1">
        <v>111</v>
      </c>
      <c r="C167" s="7">
        <v>14905468</v>
      </c>
      <c r="D167" s="2" t="s">
        <v>157</v>
      </c>
      <c r="E167" s="2" t="s">
        <v>605</v>
      </c>
      <c r="F167" s="2">
        <v>6105523</v>
      </c>
      <c r="G167" s="2" t="s">
        <v>717</v>
      </c>
      <c r="H167" s="5"/>
      <c r="I167">
        <v>5000</v>
      </c>
      <c r="J167" s="27">
        <f t="shared" si="14"/>
        <v>5000</v>
      </c>
      <c r="K167" s="3">
        <v>4750</v>
      </c>
      <c r="L167" s="29">
        <f t="shared" si="15"/>
        <v>250</v>
      </c>
      <c r="M167" s="30">
        <v>0</v>
      </c>
      <c r="N167" s="31">
        <f t="shared" si="16"/>
        <v>0</v>
      </c>
      <c r="O167" s="32">
        <v>10</v>
      </c>
      <c r="P167" s="29">
        <f t="shared" si="17"/>
        <v>500</v>
      </c>
      <c r="Q167" s="31">
        <f t="shared" si="18"/>
        <v>9</v>
      </c>
      <c r="T167" s="3">
        <v>4750</v>
      </c>
      <c r="U167" s="4"/>
      <c r="V167" s="4">
        <f t="shared" si="21"/>
        <v>5000</v>
      </c>
    </row>
    <row r="168" spans="2:22" x14ac:dyDescent="0.25">
      <c r="B168" s="1">
        <v>112</v>
      </c>
      <c r="C168" s="6"/>
      <c r="D168" s="2" t="s">
        <v>99</v>
      </c>
      <c r="E168" s="12"/>
      <c r="F168" s="12"/>
      <c r="G168" s="12"/>
      <c r="H168" s="5"/>
      <c r="I168">
        <v>5000</v>
      </c>
      <c r="J168" s="27">
        <f t="shared" si="14"/>
        <v>5000</v>
      </c>
      <c r="K168" s="3">
        <v>0</v>
      </c>
      <c r="L168" s="29">
        <f t="shared" si="15"/>
        <v>5000</v>
      </c>
      <c r="M168" s="30">
        <v>0</v>
      </c>
      <c r="N168" s="31">
        <f t="shared" si="16"/>
        <v>0</v>
      </c>
      <c r="O168" s="32">
        <v>10</v>
      </c>
      <c r="P168" s="29">
        <f t="shared" si="17"/>
        <v>500</v>
      </c>
      <c r="Q168" s="31">
        <f t="shared" si="18"/>
        <v>0</v>
      </c>
      <c r="T168" s="3">
        <v>0</v>
      </c>
      <c r="U168" s="4"/>
      <c r="V168" s="4">
        <f t="shared" si="21"/>
        <v>5000</v>
      </c>
    </row>
    <row r="169" spans="2:22" x14ac:dyDescent="0.25">
      <c r="B169" s="1">
        <v>113</v>
      </c>
      <c r="C169" s="7">
        <v>15603062</v>
      </c>
      <c r="D169" s="2" t="s">
        <v>158</v>
      </c>
      <c r="E169" s="2" t="s">
        <v>600</v>
      </c>
      <c r="F169" s="2">
        <v>9225539</v>
      </c>
      <c r="G169" s="2" t="s">
        <v>700</v>
      </c>
      <c r="H169" s="5">
        <v>300</v>
      </c>
      <c r="I169">
        <v>5000</v>
      </c>
      <c r="J169" s="27">
        <f t="shared" si="14"/>
        <v>4700</v>
      </c>
      <c r="K169" s="3">
        <v>500</v>
      </c>
      <c r="L169" s="29">
        <f t="shared" si="15"/>
        <v>4500</v>
      </c>
      <c r="M169" s="30">
        <v>0</v>
      </c>
      <c r="N169" s="31">
        <f t="shared" si="16"/>
        <v>0</v>
      </c>
      <c r="O169" s="32">
        <v>10</v>
      </c>
      <c r="P169" s="29">
        <f t="shared" si="17"/>
        <v>470</v>
      </c>
      <c r="Q169" s="31">
        <f t="shared" si="18"/>
        <v>1</v>
      </c>
      <c r="T169" s="3">
        <v>500</v>
      </c>
      <c r="U169" s="4"/>
      <c r="V169" s="4">
        <f t="shared" si="21"/>
        <v>4400</v>
      </c>
    </row>
    <row r="170" spans="2:22" x14ac:dyDescent="0.25">
      <c r="B170" s="1">
        <v>113</v>
      </c>
      <c r="C170" s="7">
        <v>16944203</v>
      </c>
      <c r="D170" s="2" t="s">
        <v>159</v>
      </c>
      <c r="E170" s="2" t="s">
        <v>599</v>
      </c>
      <c r="F170" s="2">
        <v>9225539</v>
      </c>
      <c r="G170" s="2" t="s">
        <v>700</v>
      </c>
      <c r="H170" s="5">
        <v>300</v>
      </c>
      <c r="I170">
        <v>5000</v>
      </c>
      <c r="J170" s="27">
        <f t="shared" si="14"/>
        <v>4450</v>
      </c>
      <c r="K170" s="3">
        <v>475</v>
      </c>
      <c r="L170" s="29">
        <f t="shared" si="15"/>
        <v>4275</v>
      </c>
      <c r="M170" s="30">
        <v>0.05</v>
      </c>
      <c r="N170" s="31">
        <f t="shared" si="16"/>
        <v>250</v>
      </c>
      <c r="O170" s="32">
        <v>10</v>
      </c>
      <c r="P170" s="29">
        <f t="shared" si="17"/>
        <v>445</v>
      </c>
      <c r="Q170" s="31">
        <f t="shared" si="18"/>
        <v>1</v>
      </c>
      <c r="T170" s="3">
        <v>475</v>
      </c>
      <c r="U170" s="4"/>
      <c r="V170" s="4">
        <f t="shared" si="21"/>
        <v>4150</v>
      </c>
    </row>
    <row r="171" spans="2:22" x14ac:dyDescent="0.25">
      <c r="B171" s="1">
        <v>114</v>
      </c>
      <c r="C171" s="7">
        <v>14781846</v>
      </c>
      <c r="D171" s="2" t="s">
        <v>160</v>
      </c>
      <c r="E171" s="2" t="s">
        <v>600</v>
      </c>
      <c r="F171" s="2">
        <v>6904504</v>
      </c>
      <c r="G171" s="2" t="s">
        <v>718</v>
      </c>
      <c r="H171" s="5"/>
      <c r="I171">
        <v>5000</v>
      </c>
      <c r="J171" s="27">
        <f t="shared" si="14"/>
        <v>5000</v>
      </c>
      <c r="K171" s="3">
        <v>500</v>
      </c>
      <c r="L171" s="29">
        <f t="shared" si="15"/>
        <v>4500</v>
      </c>
      <c r="M171" s="30">
        <v>0</v>
      </c>
      <c r="N171" s="31">
        <f t="shared" si="16"/>
        <v>0</v>
      </c>
      <c r="O171" s="32">
        <v>10</v>
      </c>
      <c r="P171" s="29">
        <f t="shared" si="17"/>
        <v>500</v>
      </c>
      <c r="Q171" s="31">
        <f t="shared" si="18"/>
        <v>1</v>
      </c>
      <c r="T171" s="3">
        <v>500</v>
      </c>
      <c r="U171" s="4"/>
      <c r="V171" s="4">
        <f t="shared" si="21"/>
        <v>5000</v>
      </c>
    </row>
    <row r="172" spans="2:22" x14ac:dyDescent="0.25">
      <c r="B172" s="1">
        <v>114</v>
      </c>
      <c r="C172" s="7">
        <v>14738965</v>
      </c>
      <c r="D172" s="2" t="s">
        <v>161</v>
      </c>
      <c r="E172" s="2" t="s">
        <v>594</v>
      </c>
      <c r="F172" s="2">
        <v>6904504</v>
      </c>
      <c r="G172" s="2" t="s">
        <v>718</v>
      </c>
      <c r="H172" s="5"/>
      <c r="I172">
        <v>5000</v>
      </c>
      <c r="J172" s="27">
        <f t="shared" si="14"/>
        <v>4750</v>
      </c>
      <c r="K172" s="3">
        <v>475</v>
      </c>
      <c r="L172" s="29">
        <f t="shared" si="15"/>
        <v>4275</v>
      </c>
      <c r="M172" s="30">
        <v>0.05</v>
      </c>
      <c r="N172" s="31">
        <f t="shared" si="16"/>
        <v>250</v>
      </c>
      <c r="O172" s="32">
        <v>10</v>
      </c>
      <c r="P172" s="29">
        <f t="shared" si="17"/>
        <v>475</v>
      </c>
      <c r="Q172" s="31">
        <f t="shared" si="18"/>
        <v>1</v>
      </c>
      <c r="T172" s="3">
        <v>475</v>
      </c>
      <c r="U172" s="4"/>
      <c r="V172" s="4">
        <f t="shared" si="21"/>
        <v>4750</v>
      </c>
    </row>
    <row r="173" spans="2:22" x14ac:dyDescent="0.25">
      <c r="B173" s="1">
        <v>115</v>
      </c>
      <c r="C173" s="7">
        <v>14155668</v>
      </c>
      <c r="D173" s="2" t="s">
        <v>162</v>
      </c>
      <c r="E173" s="2" t="s">
        <v>600</v>
      </c>
      <c r="F173" s="2">
        <v>6092339</v>
      </c>
      <c r="G173" s="2" t="s">
        <v>699</v>
      </c>
      <c r="H173" s="5">
        <v>300</v>
      </c>
      <c r="I173">
        <v>5000</v>
      </c>
      <c r="J173" s="27">
        <f t="shared" si="14"/>
        <v>4700</v>
      </c>
      <c r="K173" s="3">
        <v>4750</v>
      </c>
      <c r="L173" s="29">
        <f t="shared" si="15"/>
        <v>250</v>
      </c>
      <c r="M173" s="30">
        <v>0</v>
      </c>
      <c r="N173" s="31">
        <f t="shared" si="16"/>
        <v>0</v>
      </c>
      <c r="O173" s="32">
        <v>10</v>
      </c>
      <c r="P173" s="29">
        <f t="shared" si="17"/>
        <v>470</v>
      </c>
      <c r="Q173" s="31">
        <f t="shared" si="18"/>
        <v>10</v>
      </c>
      <c r="T173" s="3">
        <v>4750</v>
      </c>
      <c r="U173" s="4"/>
      <c r="V173" s="4">
        <f t="shared" si="21"/>
        <v>4400</v>
      </c>
    </row>
    <row r="174" spans="2:22" x14ac:dyDescent="0.25">
      <c r="B174" s="1">
        <v>116</v>
      </c>
      <c r="C174" s="7">
        <v>13850930</v>
      </c>
      <c r="D174" s="2" t="s">
        <v>163</v>
      </c>
      <c r="E174" s="2" t="s">
        <v>601</v>
      </c>
      <c r="F174" s="2">
        <v>10066725</v>
      </c>
      <c r="G174" s="2" t="s">
        <v>719</v>
      </c>
      <c r="H174" s="5"/>
      <c r="I174">
        <v>5000</v>
      </c>
      <c r="J174" s="27">
        <f t="shared" si="14"/>
        <v>4750</v>
      </c>
      <c r="K174" s="3">
        <v>475</v>
      </c>
      <c r="L174" s="29">
        <f t="shared" si="15"/>
        <v>4275</v>
      </c>
      <c r="M174" s="30">
        <v>0.05</v>
      </c>
      <c r="N174" s="31">
        <f t="shared" si="16"/>
        <v>250</v>
      </c>
      <c r="O174" s="32">
        <v>10</v>
      </c>
      <c r="P174" s="29">
        <f t="shared" si="17"/>
        <v>475</v>
      </c>
      <c r="Q174" s="31">
        <f t="shared" si="18"/>
        <v>1</v>
      </c>
      <c r="T174" s="3">
        <v>475</v>
      </c>
      <c r="U174" s="4"/>
      <c r="V174" s="4">
        <f t="shared" si="21"/>
        <v>4750</v>
      </c>
    </row>
    <row r="175" spans="2:22" x14ac:dyDescent="0.25">
      <c r="B175" s="1">
        <v>116</v>
      </c>
      <c r="C175" s="7">
        <v>13851008</v>
      </c>
      <c r="D175" s="2" t="s">
        <v>164</v>
      </c>
      <c r="E175" s="2" t="s">
        <v>600</v>
      </c>
      <c r="F175" s="2">
        <v>10066725</v>
      </c>
      <c r="G175" s="2" t="s">
        <v>719</v>
      </c>
      <c r="H175" s="5"/>
      <c r="I175">
        <v>5000</v>
      </c>
      <c r="J175" s="27">
        <f t="shared" si="14"/>
        <v>4500</v>
      </c>
      <c r="K175" s="3">
        <v>450</v>
      </c>
      <c r="L175" s="29">
        <f t="shared" si="15"/>
        <v>4050</v>
      </c>
      <c r="M175" s="30">
        <v>0.1</v>
      </c>
      <c r="N175" s="31">
        <f t="shared" si="16"/>
        <v>500</v>
      </c>
      <c r="O175" s="32">
        <v>10</v>
      </c>
      <c r="P175" s="29">
        <f t="shared" si="17"/>
        <v>450</v>
      </c>
      <c r="Q175" s="31">
        <f t="shared" si="18"/>
        <v>1</v>
      </c>
      <c r="T175" s="3">
        <v>450</v>
      </c>
      <c r="U175" s="4"/>
      <c r="V175" s="4">
        <f t="shared" si="21"/>
        <v>4500</v>
      </c>
    </row>
    <row r="176" spans="2:22" x14ac:dyDescent="0.25">
      <c r="B176" s="1">
        <v>116</v>
      </c>
      <c r="C176" s="7">
        <v>15425329</v>
      </c>
      <c r="D176" s="2" t="s">
        <v>165</v>
      </c>
      <c r="E176" s="2" t="s">
        <v>604</v>
      </c>
      <c r="F176" s="2">
        <v>10066725</v>
      </c>
      <c r="G176" s="2" t="s">
        <v>719</v>
      </c>
      <c r="H176" s="5"/>
      <c r="I176">
        <v>5000</v>
      </c>
      <c r="J176" s="27">
        <f t="shared" si="14"/>
        <v>5000</v>
      </c>
      <c r="K176" s="3">
        <v>425</v>
      </c>
      <c r="L176" s="29">
        <f t="shared" si="15"/>
        <v>4575</v>
      </c>
      <c r="M176" s="30">
        <v>0</v>
      </c>
      <c r="N176" s="31">
        <f t="shared" si="16"/>
        <v>0</v>
      </c>
      <c r="O176" s="32">
        <v>10</v>
      </c>
      <c r="P176" s="29">
        <f t="shared" si="17"/>
        <v>500</v>
      </c>
      <c r="Q176" s="31">
        <f t="shared" si="18"/>
        <v>0</v>
      </c>
      <c r="T176" s="3">
        <v>425</v>
      </c>
      <c r="U176" s="4"/>
      <c r="V176" s="4">
        <f t="shared" si="21"/>
        <v>5000</v>
      </c>
    </row>
    <row r="177" spans="2:22" x14ac:dyDescent="0.25">
      <c r="B177" s="1">
        <v>117</v>
      </c>
      <c r="C177" s="7">
        <v>16994159</v>
      </c>
      <c r="D177" s="2" t="s">
        <v>166</v>
      </c>
      <c r="E177" s="2" t="s">
        <v>599</v>
      </c>
      <c r="F177" s="2">
        <v>10066725</v>
      </c>
      <c r="G177" s="2" t="s">
        <v>719</v>
      </c>
      <c r="H177" s="5"/>
      <c r="I177">
        <v>5000</v>
      </c>
      <c r="J177" s="27">
        <f t="shared" si="14"/>
        <v>5000</v>
      </c>
      <c r="K177" s="3">
        <v>500</v>
      </c>
      <c r="L177" s="29">
        <f t="shared" si="15"/>
        <v>4500</v>
      </c>
      <c r="M177" s="30">
        <v>0</v>
      </c>
      <c r="N177" s="31">
        <f t="shared" si="16"/>
        <v>0</v>
      </c>
      <c r="O177" s="32">
        <v>10</v>
      </c>
      <c r="P177" s="29">
        <f t="shared" si="17"/>
        <v>500</v>
      </c>
      <c r="Q177" s="31">
        <f t="shared" si="18"/>
        <v>1</v>
      </c>
      <c r="T177" s="3">
        <v>500</v>
      </c>
      <c r="U177" s="4"/>
      <c r="V177" s="4">
        <f t="shared" si="21"/>
        <v>5000</v>
      </c>
    </row>
    <row r="178" spans="2:22" x14ac:dyDescent="0.25">
      <c r="B178" s="1">
        <v>118</v>
      </c>
      <c r="C178" s="7">
        <v>15157030</v>
      </c>
      <c r="D178" s="2" t="s">
        <v>167</v>
      </c>
      <c r="E178" s="2" t="s">
        <v>599</v>
      </c>
      <c r="F178" s="2">
        <v>3405489</v>
      </c>
      <c r="G178" s="2" t="s">
        <v>720</v>
      </c>
      <c r="H178" s="5">
        <v>300</v>
      </c>
      <c r="I178">
        <v>5000</v>
      </c>
      <c r="J178" s="27">
        <f t="shared" si="14"/>
        <v>4700</v>
      </c>
      <c r="K178" s="3">
        <v>1000</v>
      </c>
      <c r="L178" s="29">
        <f t="shared" si="15"/>
        <v>4000</v>
      </c>
      <c r="M178" s="30">
        <v>0</v>
      </c>
      <c r="N178" s="31">
        <f t="shared" si="16"/>
        <v>0</v>
      </c>
      <c r="O178" s="32">
        <v>10</v>
      </c>
      <c r="P178" s="29">
        <f t="shared" si="17"/>
        <v>470</v>
      </c>
      <c r="Q178" s="31">
        <f t="shared" si="18"/>
        <v>2</v>
      </c>
      <c r="T178" s="3">
        <v>1000</v>
      </c>
      <c r="U178" s="4"/>
      <c r="V178" s="4">
        <f t="shared" si="21"/>
        <v>4400</v>
      </c>
    </row>
    <row r="179" spans="2:22" x14ac:dyDescent="0.25">
      <c r="B179" s="1">
        <v>119</v>
      </c>
      <c r="C179" s="7">
        <v>15447983</v>
      </c>
      <c r="D179" s="2" t="s">
        <v>168</v>
      </c>
      <c r="E179" s="2" t="s">
        <v>600</v>
      </c>
      <c r="F179" s="2">
        <v>6025449</v>
      </c>
      <c r="G179" s="2" t="s">
        <v>656</v>
      </c>
      <c r="H179" s="5">
        <v>300</v>
      </c>
      <c r="I179">
        <v>5000</v>
      </c>
      <c r="J179" s="27">
        <f t="shared" si="14"/>
        <v>4700</v>
      </c>
      <c r="K179" s="3">
        <v>500</v>
      </c>
      <c r="L179" s="29">
        <f t="shared" si="15"/>
        <v>4500</v>
      </c>
      <c r="M179" s="30">
        <v>0</v>
      </c>
      <c r="N179" s="31">
        <f t="shared" si="16"/>
        <v>0</v>
      </c>
      <c r="O179" s="32">
        <v>10</v>
      </c>
      <c r="P179" s="29">
        <f t="shared" si="17"/>
        <v>470</v>
      </c>
      <c r="Q179" s="31">
        <f t="shared" si="18"/>
        <v>1</v>
      </c>
      <c r="T179" s="3">
        <v>500</v>
      </c>
      <c r="U179" s="4"/>
      <c r="V179" s="4">
        <f t="shared" si="21"/>
        <v>4400</v>
      </c>
    </row>
    <row r="180" spans="2:22" x14ac:dyDescent="0.25">
      <c r="B180" s="1">
        <v>120</v>
      </c>
      <c r="C180" s="7">
        <v>14418010</v>
      </c>
      <c r="D180" s="2" t="s">
        <v>169</v>
      </c>
      <c r="E180" s="2" t="s">
        <v>600</v>
      </c>
      <c r="F180" s="2">
        <v>9100300</v>
      </c>
      <c r="G180" s="2" t="s">
        <v>721</v>
      </c>
      <c r="H180" s="5"/>
      <c r="I180">
        <v>5000</v>
      </c>
      <c r="J180" s="27">
        <f t="shared" si="14"/>
        <v>5000</v>
      </c>
      <c r="K180" s="3">
        <v>4750</v>
      </c>
      <c r="L180" s="29">
        <f t="shared" si="15"/>
        <v>250</v>
      </c>
      <c r="M180" s="30">
        <v>0</v>
      </c>
      <c r="N180" s="31">
        <f t="shared" si="16"/>
        <v>0</v>
      </c>
      <c r="O180" s="32">
        <v>10</v>
      </c>
      <c r="P180" s="29">
        <f t="shared" si="17"/>
        <v>500</v>
      </c>
      <c r="Q180" s="31">
        <f t="shared" si="18"/>
        <v>9</v>
      </c>
      <c r="T180" s="3">
        <v>4750</v>
      </c>
      <c r="U180" s="4">
        <v>4750</v>
      </c>
      <c r="V180" s="4">
        <f t="shared" si="21"/>
        <v>250</v>
      </c>
    </row>
    <row r="181" spans="2:22" x14ac:dyDescent="0.25">
      <c r="B181" s="1">
        <v>121</v>
      </c>
      <c r="C181" s="7">
        <v>15146068</v>
      </c>
      <c r="D181" s="2" t="s">
        <v>170</v>
      </c>
      <c r="E181" s="2" t="s">
        <v>604</v>
      </c>
      <c r="F181" s="2">
        <v>4817784018</v>
      </c>
      <c r="G181" s="2" t="s">
        <v>722</v>
      </c>
      <c r="H181" s="5">
        <v>300</v>
      </c>
      <c r="I181">
        <v>5000</v>
      </c>
      <c r="J181" s="27">
        <f t="shared" si="14"/>
        <v>4700</v>
      </c>
      <c r="K181" s="3">
        <v>4750</v>
      </c>
      <c r="L181" s="29">
        <f t="shared" si="15"/>
        <v>250</v>
      </c>
      <c r="M181" s="30">
        <v>0</v>
      </c>
      <c r="N181" s="31">
        <f t="shared" si="16"/>
        <v>0</v>
      </c>
      <c r="O181" s="32">
        <v>10</v>
      </c>
      <c r="P181" s="29">
        <f t="shared" si="17"/>
        <v>470</v>
      </c>
      <c r="Q181" s="31">
        <f t="shared" si="18"/>
        <v>10</v>
      </c>
      <c r="T181" s="3">
        <v>4750</v>
      </c>
      <c r="U181" s="4">
        <v>4450</v>
      </c>
      <c r="V181" s="4">
        <f t="shared" si="21"/>
        <v>-50</v>
      </c>
    </row>
    <row r="182" spans="2:22" x14ac:dyDescent="0.25">
      <c r="B182" s="1">
        <v>122</v>
      </c>
      <c r="C182" s="7">
        <v>14782313</v>
      </c>
      <c r="D182" s="2" t="s">
        <v>171</v>
      </c>
      <c r="E182" s="2" t="s">
        <v>600</v>
      </c>
      <c r="F182" s="2">
        <v>9884334</v>
      </c>
      <c r="G182" s="2" t="s">
        <v>723</v>
      </c>
      <c r="H182" s="5"/>
      <c r="I182">
        <v>5000</v>
      </c>
      <c r="J182" s="27">
        <f t="shared" si="14"/>
        <v>5000</v>
      </c>
      <c r="K182" s="3">
        <v>500</v>
      </c>
      <c r="L182" s="29">
        <f t="shared" si="15"/>
        <v>4500</v>
      </c>
      <c r="M182" s="30">
        <v>0</v>
      </c>
      <c r="N182" s="31">
        <f t="shared" si="16"/>
        <v>0</v>
      </c>
      <c r="O182" s="32">
        <v>10</v>
      </c>
      <c r="P182" s="29">
        <f t="shared" si="17"/>
        <v>500</v>
      </c>
      <c r="Q182" s="31">
        <f t="shared" si="18"/>
        <v>1</v>
      </c>
      <c r="T182" s="3">
        <v>500</v>
      </c>
      <c r="U182" s="4"/>
      <c r="V182" s="4">
        <f t="shared" si="21"/>
        <v>5000</v>
      </c>
    </row>
    <row r="183" spans="2:22" x14ac:dyDescent="0.25">
      <c r="B183" s="1">
        <v>123</v>
      </c>
      <c r="C183" s="7">
        <v>14389331</v>
      </c>
      <c r="D183" s="2" t="s">
        <v>172</v>
      </c>
      <c r="E183" s="2" t="s">
        <v>605</v>
      </c>
      <c r="F183" s="2">
        <v>4978130</v>
      </c>
      <c r="G183" s="2" t="s">
        <v>670</v>
      </c>
      <c r="H183" s="5"/>
      <c r="I183">
        <v>5000</v>
      </c>
      <c r="J183" s="27">
        <f t="shared" si="14"/>
        <v>5000</v>
      </c>
      <c r="K183" s="3">
        <v>500</v>
      </c>
      <c r="L183" s="29">
        <f t="shared" si="15"/>
        <v>4500</v>
      </c>
      <c r="M183" s="30">
        <v>0</v>
      </c>
      <c r="N183" s="31">
        <f t="shared" si="16"/>
        <v>0</v>
      </c>
      <c r="O183" s="32">
        <v>10</v>
      </c>
      <c r="P183" s="29">
        <f t="shared" si="17"/>
        <v>500</v>
      </c>
      <c r="Q183" s="31">
        <f t="shared" si="18"/>
        <v>1</v>
      </c>
      <c r="T183" s="3">
        <v>500</v>
      </c>
      <c r="U183" s="4"/>
      <c r="V183" s="4">
        <f t="shared" si="21"/>
        <v>5000</v>
      </c>
    </row>
    <row r="184" spans="2:22" x14ac:dyDescent="0.25">
      <c r="B184" s="1">
        <v>123</v>
      </c>
      <c r="C184" s="7">
        <v>15685002</v>
      </c>
      <c r="D184" s="2" t="s">
        <v>173</v>
      </c>
      <c r="E184" s="2" t="s">
        <v>599</v>
      </c>
      <c r="F184" s="2">
        <v>4978130</v>
      </c>
      <c r="G184" s="2" t="s">
        <v>670</v>
      </c>
      <c r="H184" s="5"/>
      <c r="I184">
        <v>5000</v>
      </c>
      <c r="J184" s="27">
        <f t="shared" si="14"/>
        <v>4750</v>
      </c>
      <c r="K184" s="3">
        <v>475</v>
      </c>
      <c r="L184" s="29">
        <f t="shared" si="15"/>
        <v>4275</v>
      </c>
      <c r="M184" s="30">
        <v>0.05</v>
      </c>
      <c r="N184" s="31">
        <f t="shared" si="16"/>
        <v>250</v>
      </c>
      <c r="O184" s="32">
        <v>10</v>
      </c>
      <c r="P184" s="29">
        <f t="shared" si="17"/>
        <v>475</v>
      </c>
      <c r="Q184" s="31">
        <f t="shared" si="18"/>
        <v>1</v>
      </c>
      <c r="T184" s="3">
        <v>475</v>
      </c>
      <c r="U184" s="4"/>
      <c r="V184" s="4">
        <f t="shared" si="21"/>
        <v>4750</v>
      </c>
    </row>
    <row r="185" spans="2:22" x14ac:dyDescent="0.25">
      <c r="B185" s="1">
        <v>124</v>
      </c>
      <c r="C185" s="7">
        <v>14618343</v>
      </c>
      <c r="D185" s="2" t="s">
        <v>174</v>
      </c>
      <c r="E185" s="2" t="s">
        <v>600</v>
      </c>
      <c r="F185" s="2">
        <v>6065426</v>
      </c>
      <c r="G185" s="2" t="s">
        <v>644</v>
      </c>
      <c r="H185" s="5"/>
      <c r="I185">
        <v>5000</v>
      </c>
      <c r="J185" s="27">
        <f t="shared" si="14"/>
        <v>5000</v>
      </c>
      <c r="K185" s="3">
        <v>500</v>
      </c>
      <c r="L185" s="29">
        <f t="shared" si="15"/>
        <v>4500</v>
      </c>
      <c r="M185" s="30">
        <v>0</v>
      </c>
      <c r="N185" s="31">
        <f t="shared" si="16"/>
        <v>0</v>
      </c>
      <c r="O185" s="32">
        <v>10</v>
      </c>
      <c r="P185" s="29">
        <f t="shared" si="17"/>
        <v>500</v>
      </c>
      <c r="Q185" s="31">
        <f t="shared" si="18"/>
        <v>1</v>
      </c>
      <c r="T185" s="3">
        <v>500</v>
      </c>
      <c r="U185" s="4">
        <v>500</v>
      </c>
      <c r="V185" s="4">
        <f t="shared" si="21"/>
        <v>4500</v>
      </c>
    </row>
    <row r="186" spans="2:22" x14ac:dyDescent="0.25">
      <c r="B186" s="1">
        <v>124</v>
      </c>
      <c r="C186" s="7">
        <v>16946878</v>
      </c>
      <c r="D186" s="2" t="s">
        <v>175</v>
      </c>
      <c r="E186" s="2" t="s">
        <v>594</v>
      </c>
      <c r="F186" s="2">
        <v>6065426</v>
      </c>
      <c r="G186" s="2" t="s">
        <v>644</v>
      </c>
      <c r="H186" s="5"/>
      <c r="I186">
        <v>5000</v>
      </c>
      <c r="J186" s="27">
        <f t="shared" si="14"/>
        <v>4750</v>
      </c>
      <c r="K186" s="3">
        <v>475</v>
      </c>
      <c r="L186" s="29">
        <f t="shared" si="15"/>
        <v>4275</v>
      </c>
      <c r="M186" s="30">
        <v>0.05</v>
      </c>
      <c r="N186" s="31">
        <f t="shared" si="16"/>
        <v>250</v>
      </c>
      <c r="O186" s="32">
        <v>10</v>
      </c>
      <c r="P186" s="29">
        <f t="shared" si="17"/>
        <v>475</v>
      </c>
      <c r="Q186" s="31">
        <f t="shared" si="18"/>
        <v>1</v>
      </c>
      <c r="T186" s="3">
        <v>475</v>
      </c>
      <c r="U186" s="4">
        <v>475</v>
      </c>
      <c r="V186" s="4">
        <f t="shared" si="21"/>
        <v>4275</v>
      </c>
    </row>
    <row r="187" spans="2:22" x14ac:dyDescent="0.25">
      <c r="B187" s="1">
        <v>125</v>
      </c>
      <c r="C187" s="7">
        <v>16353437</v>
      </c>
      <c r="D187" s="2" t="s">
        <v>176</v>
      </c>
      <c r="E187" s="2" t="s">
        <v>600</v>
      </c>
      <c r="F187" s="2">
        <v>681519035</v>
      </c>
      <c r="G187" s="2" t="s">
        <v>724</v>
      </c>
      <c r="H187" s="5">
        <v>300</v>
      </c>
      <c r="I187">
        <v>5000</v>
      </c>
      <c r="J187" s="27">
        <f t="shared" si="14"/>
        <v>4700</v>
      </c>
      <c r="K187" s="3">
        <v>500</v>
      </c>
      <c r="L187" s="29">
        <f t="shared" si="15"/>
        <v>4500</v>
      </c>
      <c r="M187" s="30">
        <v>0</v>
      </c>
      <c r="N187" s="31">
        <f t="shared" si="16"/>
        <v>0</v>
      </c>
      <c r="O187" s="32">
        <v>10</v>
      </c>
      <c r="P187" s="29">
        <f t="shared" si="17"/>
        <v>470</v>
      </c>
      <c r="Q187" s="31">
        <f t="shared" si="18"/>
        <v>1</v>
      </c>
      <c r="T187" s="3">
        <v>500</v>
      </c>
      <c r="U187" s="4"/>
      <c r="V187" s="4">
        <f t="shared" si="21"/>
        <v>4400</v>
      </c>
    </row>
    <row r="188" spans="2:22" x14ac:dyDescent="0.25">
      <c r="B188" s="1">
        <v>126</v>
      </c>
      <c r="C188" s="7">
        <v>15897584</v>
      </c>
      <c r="D188" s="2" t="s">
        <v>177</v>
      </c>
      <c r="E188" s="2" t="s">
        <v>596</v>
      </c>
      <c r="F188" s="2">
        <v>7066001</v>
      </c>
      <c r="G188" s="2" t="s">
        <v>694</v>
      </c>
      <c r="H188" s="5">
        <v>300</v>
      </c>
      <c r="I188">
        <v>5000</v>
      </c>
      <c r="J188" s="27">
        <f t="shared" si="14"/>
        <v>4700</v>
      </c>
      <c r="K188" s="3">
        <v>500</v>
      </c>
      <c r="L188" s="29">
        <f t="shared" si="15"/>
        <v>4500</v>
      </c>
      <c r="M188" s="30">
        <v>0</v>
      </c>
      <c r="N188" s="31">
        <f t="shared" si="16"/>
        <v>0</v>
      </c>
      <c r="O188" s="32">
        <v>10</v>
      </c>
      <c r="P188" s="29">
        <f t="shared" si="17"/>
        <v>470</v>
      </c>
      <c r="Q188" s="31">
        <f t="shared" si="18"/>
        <v>1</v>
      </c>
      <c r="T188" s="3">
        <v>500</v>
      </c>
      <c r="U188" s="4"/>
      <c r="V188" s="4">
        <f t="shared" si="21"/>
        <v>4400</v>
      </c>
    </row>
    <row r="189" spans="2:22" x14ac:dyDescent="0.25">
      <c r="B189" s="1">
        <v>127</v>
      </c>
      <c r="C189" s="7">
        <v>15927609</v>
      </c>
      <c r="D189" s="2" t="s">
        <v>178</v>
      </c>
      <c r="E189" s="2" t="s">
        <v>596</v>
      </c>
      <c r="F189" s="2">
        <v>9962247</v>
      </c>
      <c r="G189" s="2" t="s">
        <v>725</v>
      </c>
      <c r="H189" s="5">
        <v>300</v>
      </c>
      <c r="I189">
        <v>5000</v>
      </c>
      <c r="J189" s="27">
        <f t="shared" si="14"/>
        <v>4700</v>
      </c>
      <c r="K189" s="3">
        <v>500</v>
      </c>
      <c r="L189" s="29">
        <f t="shared" si="15"/>
        <v>4500</v>
      </c>
      <c r="M189" s="30">
        <v>0</v>
      </c>
      <c r="N189" s="31">
        <f t="shared" si="16"/>
        <v>0</v>
      </c>
      <c r="O189" s="32">
        <v>10</v>
      </c>
      <c r="P189" s="29">
        <f t="shared" si="17"/>
        <v>470</v>
      </c>
      <c r="Q189" s="31">
        <f t="shared" si="18"/>
        <v>1</v>
      </c>
      <c r="T189" s="3">
        <v>500</v>
      </c>
      <c r="U189" s="4"/>
      <c r="V189" s="4">
        <f t="shared" si="21"/>
        <v>4400</v>
      </c>
    </row>
    <row r="190" spans="2:22" x14ac:dyDescent="0.25">
      <c r="B190" s="1">
        <v>128</v>
      </c>
      <c r="C190" s="7">
        <v>18003911</v>
      </c>
      <c r="D190" s="2" t="s">
        <v>179</v>
      </c>
      <c r="E190" s="2" t="s">
        <v>595</v>
      </c>
      <c r="F190" s="2">
        <v>685582023</v>
      </c>
      <c r="G190" s="2" t="s">
        <v>726</v>
      </c>
      <c r="H190" s="5">
        <v>300</v>
      </c>
      <c r="I190">
        <v>5000</v>
      </c>
      <c r="J190" s="27">
        <f t="shared" si="14"/>
        <v>4700</v>
      </c>
      <c r="K190" s="3">
        <v>4750</v>
      </c>
      <c r="L190" s="29">
        <f t="shared" si="15"/>
        <v>250</v>
      </c>
      <c r="M190" s="30">
        <v>0</v>
      </c>
      <c r="N190" s="31">
        <f t="shared" si="16"/>
        <v>0</v>
      </c>
      <c r="O190" s="32">
        <v>10</v>
      </c>
      <c r="P190" s="29">
        <f t="shared" si="17"/>
        <v>470</v>
      </c>
      <c r="Q190" s="31">
        <f t="shared" si="18"/>
        <v>10</v>
      </c>
      <c r="T190" s="3">
        <v>4750</v>
      </c>
      <c r="U190" s="4">
        <v>4450</v>
      </c>
      <c r="V190" s="4">
        <f t="shared" si="21"/>
        <v>-50</v>
      </c>
    </row>
    <row r="191" spans="2:22" x14ac:dyDescent="0.25">
      <c r="B191" s="1">
        <v>129</v>
      </c>
      <c r="C191" s="7">
        <v>12673078</v>
      </c>
      <c r="D191" s="2" t="s">
        <v>180</v>
      </c>
      <c r="E191" s="2" t="s">
        <v>605</v>
      </c>
      <c r="F191" s="2">
        <v>4337857</v>
      </c>
      <c r="G191" s="2" t="s">
        <v>727</v>
      </c>
      <c r="H191" s="5"/>
      <c r="I191">
        <v>5000</v>
      </c>
      <c r="J191" s="27">
        <f t="shared" si="14"/>
        <v>5000</v>
      </c>
      <c r="K191" s="3">
        <v>500</v>
      </c>
      <c r="L191" s="29">
        <f t="shared" si="15"/>
        <v>4500</v>
      </c>
      <c r="M191" s="30">
        <v>0</v>
      </c>
      <c r="N191" s="31">
        <f t="shared" si="16"/>
        <v>0</v>
      </c>
      <c r="O191" s="32">
        <v>10</v>
      </c>
      <c r="P191" s="29">
        <f t="shared" si="17"/>
        <v>500</v>
      </c>
      <c r="Q191" s="31">
        <f t="shared" si="18"/>
        <v>1</v>
      </c>
      <c r="T191" s="3">
        <v>500</v>
      </c>
      <c r="U191" s="4">
        <v>500</v>
      </c>
      <c r="V191" s="4">
        <f t="shared" si="21"/>
        <v>4500</v>
      </c>
    </row>
    <row r="192" spans="2:22" x14ac:dyDescent="0.25">
      <c r="B192" s="1">
        <v>130</v>
      </c>
      <c r="C192" s="6"/>
      <c r="D192" s="2" t="s">
        <v>99</v>
      </c>
      <c r="E192" s="12"/>
      <c r="F192" s="12"/>
      <c r="G192" s="12"/>
      <c r="H192" s="5"/>
      <c r="I192">
        <v>5000</v>
      </c>
      <c r="J192" s="27">
        <f t="shared" si="14"/>
        <v>5000</v>
      </c>
      <c r="K192" s="3">
        <v>0</v>
      </c>
      <c r="L192" s="29">
        <f t="shared" si="15"/>
        <v>5000</v>
      </c>
      <c r="M192" s="30">
        <v>0</v>
      </c>
      <c r="N192" s="31">
        <f t="shared" si="16"/>
        <v>0</v>
      </c>
      <c r="O192" s="32">
        <v>10</v>
      </c>
      <c r="P192" s="29">
        <f t="shared" si="17"/>
        <v>500</v>
      </c>
      <c r="Q192" s="31">
        <f t="shared" si="18"/>
        <v>0</v>
      </c>
      <c r="T192" s="3">
        <v>0</v>
      </c>
      <c r="U192" s="4"/>
      <c r="V192" s="4">
        <v>0</v>
      </c>
    </row>
    <row r="193" spans="2:22" x14ac:dyDescent="0.25">
      <c r="B193" s="1">
        <v>131</v>
      </c>
      <c r="C193" s="7">
        <v>15214712</v>
      </c>
      <c r="D193" s="2" t="s">
        <v>181</v>
      </c>
      <c r="E193" s="2" t="s">
        <v>594</v>
      </c>
      <c r="F193" s="2">
        <v>6773671</v>
      </c>
      <c r="G193" s="2" t="s">
        <v>644</v>
      </c>
      <c r="H193" s="5"/>
      <c r="I193">
        <v>5000</v>
      </c>
      <c r="J193" s="27">
        <f t="shared" si="14"/>
        <v>5000</v>
      </c>
      <c r="K193" s="3">
        <v>2000</v>
      </c>
      <c r="L193" s="29">
        <f t="shared" si="15"/>
        <v>3000</v>
      </c>
      <c r="M193" s="30">
        <v>0</v>
      </c>
      <c r="N193" s="31">
        <f t="shared" si="16"/>
        <v>0</v>
      </c>
      <c r="O193" s="32">
        <v>10</v>
      </c>
      <c r="P193" s="29">
        <f t="shared" si="17"/>
        <v>500</v>
      </c>
      <c r="Q193" s="31">
        <f t="shared" si="18"/>
        <v>4</v>
      </c>
      <c r="T193" s="3">
        <v>2000</v>
      </c>
      <c r="U193" s="4"/>
      <c r="V193" s="4">
        <f t="shared" ref="V193:V212" si="22">J193-H193-U193</f>
        <v>5000</v>
      </c>
    </row>
    <row r="194" spans="2:22" x14ac:dyDescent="0.25">
      <c r="B194" s="1">
        <v>132</v>
      </c>
      <c r="C194" s="7">
        <v>13844739</v>
      </c>
      <c r="D194" s="2" t="s">
        <v>182</v>
      </c>
      <c r="E194" s="2" t="s">
        <v>600</v>
      </c>
      <c r="F194" s="2">
        <v>6786197</v>
      </c>
      <c r="G194" s="2" t="s">
        <v>685</v>
      </c>
      <c r="H194" s="5"/>
      <c r="I194">
        <v>5000</v>
      </c>
      <c r="J194" s="27">
        <f t="shared" si="14"/>
        <v>5000</v>
      </c>
      <c r="K194" s="3">
        <v>500</v>
      </c>
      <c r="L194" s="29">
        <f t="shared" si="15"/>
        <v>4500</v>
      </c>
      <c r="M194" s="30">
        <v>0</v>
      </c>
      <c r="N194" s="31">
        <f t="shared" si="16"/>
        <v>0</v>
      </c>
      <c r="O194" s="32">
        <v>10</v>
      </c>
      <c r="P194" s="29">
        <f t="shared" si="17"/>
        <v>500</v>
      </c>
      <c r="Q194" s="31">
        <f t="shared" si="18"/>
        <v>1</v>
      </c>
      <c r="T194" s="3">
        <v>500</v>
      </c>
      <c r="U194" s="4"/>
      <c r="V194" s="4">
        <f t="shared" si="22"/>
        <v>5000</v>
      </c>
    </row>
    <row r="195" spans="2:22" x14ac:dyDescent="0.25">
      <c r="B195" s="1">
        <v>133</v>
      </c>
      <c r="C195" s="7">
        <v>16781007</v>
      </c>
      <c r="D195" s="2" t="s">
        <v>183</v>
      </c>
      <c r="E195" s="2" t="s">
        <v>600</v>
      </c>
      <c r="F195" s="2">
        <v>9227998</v>
      </c>
      <c r="G195" s="2" t="s">
        <v>728</v>
      </c>
      <c r="H195" s="5"/>
      <c r="I195">
        <v>5000</v>
      </c>
      <c r="J195" s="27">
        <f t="shared" ref="J195:J258" si="23">I195-H195-N195</f>
        <v>5000</v>
      </c>
      <c r="K195" s="3">
        <v>1000</v>
      </c>
      <c r="L195" s="29">
        <f t="shared" ref="L195:L258" si="24">(I195-N195)-K195</f>
        <v>4000</v>
      </c>
      <c r="M195" s="30">
        <v>0</v>
      </c>
      <c r="N195" s="31">
        <f t="shared" ref="N195:N258" si="25">I195*M195</f>
        <v>0</v>
      </c>
      <c r="O195" s="32">
        <v>10</v>
      </c>
      <c r="P195" s="29">
        <f t="shared" ref="P195:P258" si="26">J195/O195</f>
        <v>500</v>
      </c>
      <c r="Q195" s="31">
        <f t="shared" ref="Q195:Q258" si="27">INT(K195/P195)</f>
        <v>2</v>
      </c>
      <c r="T195" s="3">
        <v>1000</v>
      </c>
      <c r="U195" s="4"/>
      <c r="V195" s="4">
        <f t="shared" si="22"/>
        <v>5000</v>
      </c>
    </row>
    <row r="196" spans="2:22" x14ac:dyDescent="0.25">
      <c r="B196" s="1">
        <v>134</v>
      </c>
      <c r="C196" s="7">
        <v>15505298</v>
      </c>
      <c r="D196" s="2" t="s">
        <v>184</v>
      </c>
      <c r="E196" s="2" t="s">
        <v>602</v>
      </c>
      <c r="F196" s="2">
        <v>6975566</v>
      </c>
      <c r="G196" s="2" t="s">
        <v>729</v>
      </c>
      <c r="H196" s="5">
        <v>300</v>
      </c>
      <c r="I196">
        <v>5000</v>
      </c>
      <c r="J196" s="27">
        <f t="shared" si="23"/>
        <v>4700</v>
      </c>
      <c r="K196" s="3">
        <v>500</v>
      </c>
      <c r="L196" s="29">
        <f t="shared" si="24"/>
        <v>4500</v>
      </c>
      <c r="M196" s="30">
        <v>0</v>
      </c>
      <c r="N196" s="31">
        <f t="shared" si="25"/>
        <v>0</v>
      </c>
      <c r="O196" s="32">
        <v>10</v>
      </c>
      <c r="P196" s="29">
        <f t="shared" si="26"/>
        <v>470</v>
      </c>
      <c r="Q196" s="31">
        <f t="shared" si="27"/>
        <v>1</v>
      </c>
      <c r="T196" s="3">
        <v>500</v>
      </c>
      <c r="U196" s="4"/>
      <c r="V196" s="4">
        <f t="shared" si="22"/>
        <v>4400</v>
      </c>
    </row>
    <row r="197" spans="2:22" x14ac:dyDescent="0.25">
      <c r="B197" s="1">
        <v>134</v>
      </c>
      <c r="C197" s="7">
        <v>15447633</v>
      </c>
      <c r="D197" s="2" t="s">
        <v>185</v>
      </c>
      <c r="E197" s="2" t="s">
        <v>596</v>
      </c>
      <c r="F197" s="2">
        <v>6975566</v>
      </c>
      <c r="G197" s="2" t="s">
        <v>729</v>
      </c>
      <c r="H197" s="5">
        <v>300</v>
      </c>
      <c r="I197">
        <v>5000</v>
      </c>
      <c r="J197" s="27">
        <f t="shared" si="23"/>
        <v>4450</v>
      </c>
      <c r="K197" s="3">
        <v>475</v>
      </c>
      <c r="L197" s="29">
        <f t="shared" si="24"/>
        <v>4275</v>
      </c>
      <c r="M197" s="30">
        <v>0.05</v>
      </c>
      <c r="N197" s="31">
        <f t="shared" si="25"/>
        <v>250</v>
      </c>
      <c r="O197" s="32">
        <v>10</v>
      </c>
      <c r="P197" s="29">
        <f t="shared" si="26"/>
        <v>445</v>
      </c>
      <c r="Q197" s="31">
        <f t="shared" si="27"/>
        <v>1</v>
      </c>
      <c r="T197" s="3">
        <v>475</v>
      </c>
      <c r="U197" s="4"/>
      <c r="V197" s="4">
        <f t="shared" si="22"/>
        <v>4150</v>
      </c>
    </row>
    <row r="198" spans="2:22" x14ac:dyDescent="0.25">
      <c r="B198" s="1">
        <v>135</v>
      </c>
      <c r="C198" s="7">
        <v>15500397</v>
      </c>
      <c r="D198" s="2" t="s">
        <v>186</v>
      </c>
      <c r="E198" s="2" t="s">
        <v>594</v>
      </c>
      <c r="F198" s="2">
        <v>7082019</v>
      </c>
      <c r="G198" s="2" t="s">
        <v>730</v>
      </c>
      <c r="H198" s="5"/>
      <c r="I198">
        <v>5000</v>
      </c>
      <c r="J198" s="27">
        <f t="shared" si="23"/>
        <v>5000</v>
      </c>
      <c r="K198" s="3">
        <v>4750</v>
      </c>
      <c r="L198" s="29">
        <f t="shared" si="24"/>
        <v>250</v>
      </c>
      <c r="M198" s="30">
        <v>0</v>
      </c>
      <c r="N198" s="31">
        <f t="shared" si="25"/>
        <v>0</v>
      </c>
      <c r="O198" s="32">
        <v>10</v>
      </c>
      <c r="P198" s="29">
        <f t="shared" si="26"/>
        <v>500</v>
      </c>
      <c r="Q198" s="31">
        <f t="shared" si="27"/>
        <v>9</v>
      </c>
      <c r="T198" s="3">
        <v>4750</v>
      </c>
      <c r="U198" s="4"/>
      <c r="V198" s="4">
        <f t="shared" si="22"/>
        <v>5000</v>
      </c>
    </row>
    <row r="199" spans="2:22" x14ac:dyDescent="0.25">
      <c r="B199" s="1">
        <v>135</v>
      </c>
      <c r="C199" s="7">
        <v>15500430</v>
      </c>
      <c r="D199" s="2" t="s">
        <v>187</v>
      </c>
      <c r="E199" s="2" t="s">
        <v>596</v>
      </c>
      <c r="F199" s="2">
        <v>7082019</v>
      </c>
      <c r="G199" s="2" t="s">
        <v>730</v>
      </c>
      <c r="H199" s="5"/>
      <c r="I199">
        <v>5000</v>
      </c>
      <c r="J199" s="27">
        <f t="shared" si="23"/>
        <v>5000</v>
      </c>
      <c r="K199" s="3">
        <v>4750</v>
      </c>
      <c r="L199" s="29">
        <f t="shared" si="24"/>
        <v>250</v>
      </c>
      <c r="M199" s="30">
        <v>0</v>
      </c>
      <c r="N199" s="31">
        <f t="shared" si="25"/>
        <v>0</v>
      </c>
      <c r="O199" s="32">
        <v>10</v>
      </c>
      <c r="P199" s="29">
        <f t="shared" si="26"/>
        <v>500</v>
      </c>
      <c r="Q199" s="31">
        <f t="shared" si="27"/>
        <v>9</v>
      </c>
      <c r="T199" s="3">
        <v>4750</v>
      </c>
      <c r="U199" s="4"/>
      <c r="V199" s="4">
        <f t="shared" si="22"/>
        <v>5000</v>
      </c>
    </row>
    <row r="200" spans="2:22" x14ac:dyDescent="0.25">
      <c r="B200" s="1">
        <v>136</v>
      </c>
      <c r="C200" s="7">
        <v>16672785</v>
      </c>
      <c r="D200" s="2" t="s">
        <v>188</v>
      </c>
      <c r="E200" s="2" t="s">
        <v>594</v>
      </c>
      <c r="F200" s="2">
        <v>12639786017</v>
      </c>
      <c r="G200" s="2" t="s">
        <v>721</v>
      </c>
      <c r="H200" s="5"/>
      <c r="I200">
        <v>5000</v>
      </c>
      <c r="J200" s="27">
        <f t="shared" si="23"/>
        <v>5000</v>
      </c>
      <c r="K200" s="3">
        <v>500</v>
      </c>
      <c r="L200" s="29">
        <f t="shared" si="24"/>
        <v>4500</v>
      </c>
      <c r="M200" s="30">
        <v>0</v>
      </c>
      <c r="N200" s="31">
        <f t="shared" si="25"/>
        <v>0</v>
      </c>
      <c r="O200" s="32">
        <v>10</v>
      </c>
      <c r="P200" s="29">
        <f t="shared" si="26"/>
        <v>500</v>
      </c>
      <c r="Q200" s="31">
        <f t="shared" si="27"/>
        <v>1</v>
      </c>
      <c r="T200" s="3">
        <v>500</v>
      </c>
      <c r="U200" s="4">
        <v>500</v>
      </c>
      <c r="V200" s="4">
        <f t="shared" si="22"/>
        <v>4500</v>
      </c>
    </row>
    <row r="201" spans="2:22" x14ac:dyDescent="0.25">
      <c r="B201" s="1">
        <v>137</v>
      </c>
      <c r="C201" s="7">
        <v>16734835</v>
      </c>
      <c r="D201" s="2" t="s">
        <v>189</v>
      </c>
      <c r="E201" s="2" t="s">
        <v>598</v>
      </c>
      <c r="F201" s="2">
        <v>11653378</v>
      </c>
      <c r="G201" s="2" t="s">
        <v>731</v>
      </c>
      <c r="H201" s="5">
        <v>300</v>
      </c>
      <c r="I201">
        <v>5000</v>
      </c>
      <c r="J201" s="27">
        <f t="shared" si="23"/>
        <v>4700</v>
      </c>
      <c r="K201" s="3">
        <v>500</v>
      </c>
      <c r="L201" s="29">
        <f t="shared" si="24"/>
        <v>4500</v>
      </c>
      <c r="M201" s="30">
        <v>0</v>
      </c>
      <c r="N201" s="31">
        <f t="shared" si="25"/>
        <v>0</v>
      </c>
      <c r="O201" s="32">
        <v>10</v>
      </c>
      <c r="P201" s="29">
        <f t="shared" si="26"/>
        <v>470</v>
      </c>
      <c r="Q201" s="31">
        <f t="shared" si="27"/>
        <v>1</v>
      </c>
      <c r="T201" s="3">
        <v>500</v>
      </c>
      <c r="U201" s="4"/>
      <c r="V201" s="4">
        <f t="shared" si="22"/>
        <v>4400</v>
      </c>
    </row>
    <row r="202" spans="2:22" x14ac:dyDescent="0.25">
      <c r="B202" s="1">
        <v>138</v>
      </c>
      <c r="C202" s="7">
        <v>15399763</v>
      </c>
      <c r="D202" s="2" t="s">
        <v>190</v>
      </c>
      <c r="E202" s="2" t="s">
        <v>596</v>
      </c>
      <c r="F202" s="2">
        <v>12576569</v>
      </c>
      <c r="G202" s="2" t="s">
        <v>644</v>
      </c>
      <c r="H202" s="5">
        <v>300</v>
      </c>
      <c r="I202">
        <v>5000</v>
      </c>
      <c r="J202" s="27">
        <f t="shared" si="23"/>
        <v>4700</v>
      </c>
      <c r="K202" s="3">
        <v>4750</v>
      </c>
      <c r="L202" s="29">
        <f t="shared" si="24"/>
        <v>250</v>
      </c>
      <c r="M202" s="30">
        <v>0</v>
      </c>
      <c r="N202" s="31">
        <f t="shared" si="25"/>
        <v>0</v>
      </c>
      <c r="O202" s="32">
        <v>10</v>
      </c>
      <c r="P202" s="29">
        <f t="shared" si="26"/>
        <v>470</v>
      </c>
      <c r="Q202" s="31">
        <f t="shared" si="27"/>
        <v>10</v>
      </c>
      <c r="T202" s="3">
        <v>4750</v>
      </c>
      <c r="U202" s="4"/>
      <c r="V202" s="4">
        <f t="shared" si="22"/>
        <v>4400</v>
      </c>
    </row>
    <row r="203" spans="2:22" x14ac:dyDescent="0.25">
      <c r="B203" s="1">
        <v>139</v>
      </c>
      <c r="C203" s="7">
        <v>16405840</v>
      </c>
      <c r="D203" s="2" t="s">
        <v>191</v>
      </c>
      <c r="E203" s="2" t="s">
        <v>592</v>
      </c>
      <c r="F203" s="2">
        <v>9958998</v>
      </c>
      <c r="G203" s="2" t="s">
        <v>732</v>
      </c>
      <c r="H203" s="5"/>
      <c r="I203">
        <v>5000</v>
      </c>
      <c r="J203" s="27">
        <f t="shared" si="23"/>
        <v>4750</v>
      </c>
      <c r="K203" s="3">
        <v>475</v>
      </c>
      <c r="L203" s="29">
        <f t="shared" si="24"/>
        <v>4275</v>
      </c>
      <c r="M203" s="30">
        <v>0.05</v>
      </c>
      <c r="N203" s="31">
        <f t="shared" si="25"/>
        <v>250</v>
      </c>
      <c r="O203" s="32">
        <v>10</v>
      </c>
      <c r="P203" s="29">
        <f t="shared" si="26"/>
        <v>475</v>
      </c>
      <c r="Q203" s="31">
        <f t="shared" si="27"/>
        <v>1</v>
      </c>
      <c r="T203" s="3">
        <v>475</v>
      </c>
      <c r="U203" s="4">
        <v>475</v>
      </c>
      <c r="V203" s="4">
        <f t="shared" si="22"/>
        <v>4275</v>
      </c>
    </row>
    <row r="204" spans="2:22" x14ac:dyDescent="0.25">
      <c r="B204" s="1">
        <v>139</v>
      </c>
      <c r="C204" s="7">
        <v>16183402</v>
      </c>
      <c r="D204" s="2" t="s">
        <v>192</v>
      </c>
      <c r="E204" s="2" t="s">
        <v>605</v>
      </c>
      <c r="F204" s="2">
        <v>9958998</v>
      </c>
      <c r="G204" s="2" t="s">
        <v>732</v>
      </c>
      <c r="H204" s="5"/>
      <c r="I204">
        <v>5000</v>
      </c>
      <c r="J204" s="27">
        <f t="shared" si="23"/>
        <v>5000</v>
      </c>
      <c r="K204" s="3">
        <v>500</v>
      </c>
      <c r="L204" s="29">
        <f t="shared" si="24"/>
        <v>4500</v>
      </c>
      <c r="M204" s="30">
        <v>0</v>
      </c>
      <c r="N204" s="31">
        <f t="shared" si="25"/>
        <v>0</v>
      </c>
      <c r="O204" s="32">
        <v>10</v>
      </c>
      <c r="P204" s="29">
        <f t="shared" si="26"/>
        <v>500</v>
      </c>
      <c r="Q204" s="31">
        <f t="shared" si="27"/>
        <v>1</v>
      </c>
      <c r="T204" s="3">
        <v>500</v>
      </c>
      <c r="U204" s="4">
        <v>500</v>
      </c>
      <c r="V204" s="4">
        <f t="shared" si="22"/>
        <v>4500</v>
      </c>
    </row>
    <row r="205" spans="2:22" x14ac:dyDescent="0.25">
      <c r="B205" s="1">
        <v>140</v>
      </c>
      <c r="C205" s="7">
        <v>15850415</v>
      </c>
      <c r="D205" s="2" t="s">
        <v>193</v>
      </c>
      <c r="E205" s="2" t="s">
        <v>600</v>
      </c>
      <c r="F205" s="2">
        <v>136621020</v>
      </c>
      <c r="G205" s="2" t="s">
        <v>733</v>
      </c>
      <c r="H205" s="5"/>
      <c r="I205">
        <v>5000</v>
      </c>
      <c r="J205" s="27">
        <f t="shared" si="23"/>
        <v>5000</v>
      </c>
      <c r="K205" s="3">
        <v>500</v>
      </c>
      <c r="L205" s="29">
        <f t="shared" si="24"/>
        <v>4500</v>
      </c>
      <c r="M205" s="30">
        <v>0</v>
      </c>
      <c r="N205" s="31">
        <f t="shared" si="25"/>
        <v>0</v>
      </c>
      <c r="O205" s="32">
        <v>10</v>
      </c>
      <c r="P205" s="29">
        <f t="shared" si="26"/>
        <v>500</v>
      </c>
      <c r="Q205" s="31">
        <f t="shared" si="27"/>
        <v>1</v>
      </c>
      <c r="T205" s="3">
        <v>500</v>
      </c>
      <c r="U205" s="4"/>
      <c r="V205" s="4">
        <f t="shared" si="22"/>
        <v>5000</v>
      </c>
    </row>
    <row r="206" spans="2:22" x14ac:dyDescent="0.25">
      <c r="B206" s="1">
        <v>140</v>
      </c>
      <c r="C206" s="7">
        <v>15850390</v>
      </c>
      <c r="D206" s="2" t="s">
        <v>194</v>
      </c>
      <c r="E206" s="2" t="s">
        <v>599</v>
      </c>
      <c r="F206" s="2">
        <v>136621020</v>
      </c>
      <c r="G206" s="2" t="s">
        <v>733</v>
      </c>
      <c r="H206" s="5"/>
      <c r="I206">
        <v>5000</v>
      </c>
      <c r="J206" s="27">
        <f t="shared" si="23"/>
        <v>4750</v>
      </c>
      <c r="K206" s="3">
        <v>475</v>
      </c>
      <c r="L206" s="29">
        <f t="shared" si="24"/>
        <v>4275</v>
      </c>
      <c r="M206" s="30">
        <v>0.05</v>
      </c>
      <c r="N206" s="31">
        <f t="shared" si="25"/>
        <v>250</v>
      </c>
      <c r="O206" s="32">
        <v>10</v>
      </c>
      <c r="P206" s="29">
        <f t="shared" si="26"/>
        <v>475</v>
      </c>
      <c r="Q206" s="31">
        <f t="shared" si="27"/>
        <v>1</v>
      </c>
      <c r="T206" s="3">
        <v>475</v>
      </c>
      <c r="U206" s="4"/>
      <c r="V206" s="4">
        <f t="shared" si="22"/>
        <v>4750</v>
      </c>
    </row>
    <row r="207" spans="2:22" x14ac:dyDescent="0.25">
      <c r="B207" s="1">
        <v>141</v>
      </c>
      <c r="C207" s="7">
        <v>15683161</v>
      </c>
      <c r="D207" s="2" t="s">
        <v>195</v>
      </c>
      <c r="E207" s="2" t="s">
        <v>599</v>
      </c>
      <c r="F207" s="2">
        <v>8385761</v>
      </c>
      <c r="G207" s="2" t="s">
        <v>644</v>
      </c>
      <c r="H207" s="5">
        <v>300</v>
      </c>
      <c r="I207">
        <v>5000</v>
      </c>
      <c r="J207" s="27">
        <f t="shared" si="23"/>
        <v>4700</v>
      </c>
      <c r="K207" s="3">
        <v>500</v>
      </c>
      <c r="L207" s="29">
        <f t="shared" si="24"/>
        <v>4500</v>
      </c>
      <c r="M207" s="30">
        <v>0</v>
      </c>
      <c r="N207" s="31">
        <f t="shared" si="25"/>
        <v>0</v>
      </c>
      <c r="O207" s="32">
        <v>10</v>
      </c>
      <c r="P207" s="29">
        <f t="shared" si="26"/>
        <v>470</v>
      </c>
      <c r="Q207" s="31">
        <f t="shared" si="27"/>
        <v>1</v>
      </c>
      <c r="T207" s="3">
        <v>500</v>
      </c>
      <c r="U207" s="4"/>
      <c r="V207" s="4">
        <f t="shared" si="22"/>
        <v>4400</v>
      </c>
    </row>
    <row r="208" spans="2:22" x14ac:dyDescent="0.25">
      <c r="B208" s="1">
        <v>141</v>
      </c>
      <c r="C208" s="7">
        <v>17584879</v>
      </c>
      <c r="D208" s="2" t="s">
        <v>196</v>
      </c>
      <c r="E208" s="2" t="s">
        <v>598</v>
      </c>
      <c r="F208" s="2">
        <v>8385761</v>
      </c>
      <c r="G208" s="2" t="s">
        <v>644</v>
      </c>
      <c r="H208" s="5">
        <v>300</v>
      </c>
      <c r="I208">
        <v>5000</v>
      </c>
      <c r="J208" s="27">
        <f t="shared" si="23"/>
        <v>4450</v>
      </c>
      <c r="K208" s="3">
        <v>475</v>
      </c>
      <c r="L208" s="29">
        <f t="shared" si="24"/>
        <v>4275</v>
      </c>
      <c r="M208" s="30">
        <v>0.05</v>
      </c>
      <c r="N208" s="31">
        <f t="shared" si="25"/>
        <v>250</v>
      </c>
      <c r="O208" s="32">
        <v>10</v>
      </c>
      <c r="P208" s="29">
        <f t="shared" si="26"/>
        <v>445</v>
      </c>
      <c r="Q208" s="31">
        <f t="shared" si="27"/>
        <v>1</v>
      </c>
      <c r="T208" s="3">
        <v>475</v>
      </c>
      <c r="U208" s="4"/>
      <c r="V208" s="4">
        <f t="shared" si="22"/>
        <v>4150</v>
      </c>
    </row>
    <row r="209" spans="2:22" x14ac:dyDescent="0.25">
      <c r="B209" s="1">
        <v>142</v>
      </c>
      <c r="C209" s="7">
        <v>15492672</v>
      </c>
      <c r="D209" s="2" t="s">
        <v>197</v>
      </c>
      <c r="E209" s="2" t="s">
        <v>596</v>
      </c>
      <c r="F209" s="2">
        <v>12988989</v>
      </c>
      <c r="G209" s="2" t="s">
        <v>641</v>
      </c>
      <c r="H209" s="5"/>
      <c r="I209">
        <v>5000</v>
      </c>
      <c r="J209" s="27">
        <f t="shared" si="23"/>
        <v>5000</v>
      </c>
      <c r="K209" s="3">
        <v>500</v>
      </c>
      <c r="L209" s="29">
        <f t="shared" si="24"/>
        <v>4500</v>
      </c>
      <c r="M209" s="30">
        <v>0</v>
      </c>
      <c r="N209" s="31">
        <f t="shared" si="25"/>
        <v>0</v>
      </c>
      <c r="O209" s="32">
        <v>10</v>
      </c>
      <c r="P209" s="29">
        <f t="shared" si="26"/>
        <v>500</v>
      </c>
      <c r="Q209" s="31">
        <f t="shared" si="27"/>
        <v>1</v>
      </c>
      <c r="T209" s="3">
        <v>500</v>
      </c>
      <c r="U209" s="4">
        <v>500</v>
      </c>
      <c r="V209" s="4">
        <f t="shared" si="22"/>
        <v>4500</v>
      </c>
    </row>
    <row r="210" spans="2:22" x14ac:dyDescent="0.25">
      <c r="B210" s="1">
        <v>143</v>
      </c>
      <c r="C210" s="7">
        <v>13792303</v>
      </c>
      <c r="D210" s="2" t="s">
        <v>198</v>
      </c>
      <c r="E210" s="2" t="s">
        <v>593</v>
      </c>
      <c r="F210" s="2">
        <v>6914990</v>
      </c>
      <c r="G210" s="2" t="s">
        <v>721</v>
      </c>
      <c r="H210" s="5"/>
      <c r="I210">
        <v>5000</v>
      </c>
      <c r="J210" s="27">
        <f t="shared" si="23"/>
        <v>5000</v>
      </c>
      <c r="K210" s="3">
        <v>500</v>
      </c>
      <c r="L210" s="29">
        <f t="shared" si="24"/>
        <v>4500</v>
      </c>
      <c r="M210" s="30">
        <v>0</v>
      </c>
      <c r="N210" s="31">
        <f t="shared" si="25"/>
        <v>0</v>
      </c>
      <c r="O210" s="32">
        <v>10</v>
      </c>
      <c r="P210" s="29">
        <f t="shared" si="26"/>
        <v>500</v>
      </c>
      <c r="Q210" s="31">
        <f t="shared" si="27"/>
        <v>1</v>
      </c>
      <c r="T210" s="3">
        <v>500</v>
      </c>
      <c r="U210" s="4">
        <v>500</v>
      </c>
      <c r="V210" s="4">
        <f t="shared" si="22"/>
        <v>4500</v>
      </c>
    </row>
    <row r="211" spans="2:22" x14ac:dyDescent="0.25">
      <c r="B211" s="1">
        <v>144</v>
      </c>
      <c r="C211" s="7">
        <v>17132607</v>
      </c>
      <c r="D211" s="2" t="s">
        <v>199</v>
      </c>
      <c r="E211" s="2" t="s">
        <v>595</v>
      </c>
      <c r="F211" s="2">
        <v>6775949</v>
      </c>
      <c r="G211" s="2" t="s">
        <v>734</v>
      </c>
      <c r="H211" s="5"/>
      <c r="I211">
        <v>5000</v>
      </c>
      <c r="J211" s="27">
        <f t="shared" si="23"/>
        <v>5000</v>
      </c>
      <c r="K211" s="3">
        <v>500</v>
      </c>
      <c r="L211" s="29">
        <f t="shared" si="24"/>
        <v>4500</v>
      </c>
      <c r="M211" s="30">
        <v>0</v>
      </c>
      <c r="N211" s="31">
        <f t="shared" si="25"/>
        <v>0</v>
      </c>
      <c r="O211" s="32">
        <v>10</v>
      </c>
      <c r="P211" s="29">
        <f t="shared" si="26"/>
        <v>500</v>
      </c>
      <c r="Q211" s="31">
        <f t="shared" si="27"/>
        <v>1</v>
      </c>
      <c r="T211" s="3">
        <v>500</v>
      </c>
      <c r="U211" s="4">
        <v>250</v>
      </c>
      <c r="V211" s="4">
        <f t="shared" si="22"/>
        <v>4750</v>
      </c>
    </row>
    <row r="212" spans="2:22" ht="15.75" thickBot="1" x14ac:dyDescent="0.3">
      <c r="B212" s="1">
        <v>145</v>
      </c>
      <c r="C212" s="33">
        <v>14798478</v>
      </c>
      <c r="D212" s="2" t="s">
        <v>200</v>
      </c>
      <c r="E212" s="21" t="s">
        <v>605</v>
      </c>
      <c r="F212" s="21">
        <v>6037162</v>
      </c>
      <c r="G212" s="21" t="s">
        <v>656</v>
      </c>
      <c r="H212" s="5"/>
      <c r="I212">
        <v>5000</v>
      </c>
      <c r="J212" s="27">
        <f t="shared" si="23"/>
        <v>5000</v>
      </c>
      <c r="K212" s="3">
        <v>500</v>
      </c>
      <c r="L212" s="29">
        <f t="shared" si="24"/>
        <v>4500</v>
      </c>
      <c r="M212" s="30">
        <v>0</v>
      </c>
      <c r="N212" s="31">
        <f t="shared" si="25"/>
        <v>0</v>
      </c>
      <c r="O212" s="32">
        <v>10</v>
      </c>
      <c r="P212" s="29">
        <f t="shared" si="26"/>
        <v>500</v>
      </c>
      <c r="Q212" s="31">
        <f t="shared" si="27"/>
        <v>1</v>
      </c>
      <c r="T212" s="3">
        <v>500</v>
      </c>
      <c r="U212" s="4">
        <v>500</v>
      </c>
      <c r="V212" s="4">
        <f t="shared" si="22"/>
        <v>4500</v>
      </c>
    </row>
    <row r="213" spans="2:22" x14ac:dyDescent="0.25">
      <c r="B213" s="9"/>
      <c r="C213" s="9"/>
      <c r="D213" s="10" t="s">
        <v>201</v>
      </c>
      <c r="E213" s="10" t="s">
        <v>611</v>
      </c>
      <c r="F213" s="10"/>
      <c r="G213" s="10"/>
      <c r="H213" s="5"/>
      <c r="I213">
        <v>5000</v>
      </c>
      <c r="J213" s="27">
        <v>4050</v>
      </c>
      <c r="K213" s="3">
        <v>1350</v>
      </c>
      <c r="L213" s="29">
        <f t="shared" si="24"/>
        <v>3650</v>
      </c>
      <c r="M213" s="30">
        <v>0</v>
      </c>
      <c r="N213" s="31">
        <f t="shared" si="25"/>
        <v>0</v>
      </c>
      <c r="O213" s="32">
        <v>10</v>
      </c>
      <c r="P213" s="29">
        <f t="shared" si="26"/>
        <v>405</v>
      </c>
      <c r="Q213" s="31">
        <f t="shared" si="27"/>
        <v>3</v>
      </c>
      <c r="T213" s="3"/>
      <c r="U213" s="4">
        <v>1350</v>
      </c>
      <c r="V213" s="4">
        <f>K213-H213-U213</f>
        <v>0</v>
      </c>
    </row>
    <row r="214" spans="2:22" x14ac:dyDescent="0.25">
      <c r="B214" s="9"/>
      <c r="C214" s="9"/>
      <c r="D214" s="10" t="s">
        <v>202</v>
      </c>
      <c r="E214" s="10" t="s">
        <v>610</v>
      </c>
      <c r="F214" s="10"/>
      <c r="G214" s="10"/>
      <c r="H214" s="5"/>
      <c r="I214">
        <v>5000</v>
      </c>
      <c r="J214" s="27">
        <v>4050</v>
      </c>
      <c r="K214" s="3">
        <v>1350</v>
      </c>
      <c r="L214" s="29">
        <f t="shared" si="24"/>
        <v>3650</v>
      </c>
      <c r="M214" s="30">
        <v>0</v>
      </c>
      <c r="N214" s="31">
        <f t="shared" si="25"/>
        <v>0</v>
      </c>
      <c r="O214" s="32">
        <v>10</v>
      </c>
      <c r="P214" s="29">
        <f t="shared" si="26"/>
        <v>405</v>
      </c>
      <c r="Q214" s="31">
        <f t="shared" si="27"/>
        <v>3</v>
      </c>
      <c r="T214" s="3"/>
      <c r="U214" s="4">
        <v>1350</v>
      </c>
      <c r="V214" s="4">
        <f>K214-H214-U214</f>
        <v>0</v>
      </c>
    </row>
    <row r="215" spans="2:22" x14ac:dyDescent="0.25">
      <c r="B215" s="9"/>
      <c r="C215" s="9"/>
      <c r="D215" s="10" t="s">
        <v>203</v>
      </c>
      <c r="E215" s="10" t="s">
        <v>616</v>
      </c>
      <c r="F215" s="10"/>
      <c r="G215" s="10"/>
      <c r="H215" s="5"/>
      <c r="I215">
        <v>5000</v>
      </c>
      <c r="J215" s="27">
        <v>4650</v>
      </c>
      <c r="K215" s="3">
        <v>4650</v>
      </c>
      <c r="L215" s="29">
        <f t="shared" si="24"/>
        <v>350</v>
      </c>
      <c r="M215" s="30">
        <v>0</v>
      </c>
      <c r="N215" s="31">
        <f t="shared" si="25"/>
        <v>0</v>
      </c>
      <c r="O215" s="32">
        <v>10</v>
      </c>
      <c r="P215" s="29">
        <f t="shared" si="26"/>
        <v>465</v>
      </c>
      <c r="Q215" s="31">
        <f t="shared" si="27"/>
        <v>10</v>
      </c>
      <c r="T215" s="3"/>
      <c r="U215" s="4"/>
      <c r="V215" s="4">
        <f>K215-H215-U215</f>
        <v>4650</v>
      </c>
    </row>
    <row r="216" spans="2:22" x14ac:dyDescent="0.25">
      <c r="B216" s="9"/>
      <c r="C216" s="9"/>
      <c r="D216" s="10" t="s">
        <v>204</v>
      </c>
      <c r="E216" s="10" t="s">
        <v>606</v>
      </c>
      <c r="F216" s="10"/>
      <c r="G216" s="10"/>
      <c r="H216" s="5"/>
      <c r="I216">
        <v>5000</v>
      </c>
      <c r="J216" s="27">
        <v>4650</v>
      </c>
      <c r="K216" s="3">
        <v>4650</v>
      </c>
      <c r="L216" s="29">
        <f t="shared" si="24"/>
        <v>350</v>
      </c>
      <c r="M216" s="30">
        <v>0</v>
      </c>
      <c r="N216" s="31">
        <f t="shared" si="25"/>
        <v>0</v>
      </c>
      <c r="O216" s="32">
        <v>10</v>
      </c>
      <c r="P216" s="29">
        <f t="shared" si="26"/>
        <v>465</v>
      </c>
      <c r="Q216" s="31">
        <f t="shared" si="27"/>
        <v>10</v>
      </c>
      <c r="T216" s="3"/>
      <c r="U216" s="4"/>
      <c r="V216" s="4">
        <f>K216-H216-U216</f>
        <v>4650</v>
      </c>
    </row>
    <row r="217" spans="2:22" ht="15.75" thickBot="1" x14ac:dyDescent="0.3">
      <c r="B217" s="9"/>
      <c r="C217" s="9"/>
      <c r="D217" s="10" t="s">
        <v>205</v>
      </c>
      <c r="E217" s="10" t="s">
        <v>614</v>
      </c>
      <c r="F217" s="10"/>
      <c r="G217" s="10"/>
      <c r="H217" s="5"/>
      <c r="I217">
        <v>5000</v>
      </c>
      <c r="J217" s="27">
        <v>4500</v>
      </c>
      <c r="K217" s="3">
        <v>4500</v>
      </c>
      <c r="L217" s="29">
        <f t="shared" si="24"/>
        <v>500</v>
      </c>
      <c r="M217" s="30">
        <v>0</v>
      </c>
      <c r="N217" s="31">
        <f t="shared" si="25"/>
        <v>0</v>
      </c>
      <c r="O217" s="32">
        <v>10</v>
      </c>
      <c r="P217" s="29">
        <f t="shared" si="26"/>
        <v>450</v>
      </c>
      <c r="Q217" s="31">
        <f t="shared" si="27"/>
        <v>10</v>
      </c>
      <c r="T217" s="3"/>
      <c r="U217" s="4"/>
      <c r="V217" s="4">
        <f>K217-H217-U217</f>
        <v>4500</v>
      </c>
    </row>
    <row r="218" spans="2:22" x14ac:dyDescent="0.25">
      <c r="B218" s="1">
        <v>146</v>
      </c>
      <c r="C218" s="34">
        <v>15226394</v>
      </c>
      <c r="D218" s="2" t="s">
        <v>206</v>
      </c>
      <c r="E218" s="22" t="s">
        <v>599</v>
      </c>
      <c r="F218" s="22">
        <v>6724381</v>
      </c>
      <c r="G218" s="22" t="s">
        <v>735</v>
      </c>
      <c r="H218" s="5">
        <v>300</v>
      </c>
      <c r="I218">
        <v>5000</v>
      </c>
      <c r="J218" s="27">
        <f t="shared" si="23"/>
        <v>4700</v>
      </c>
      <c r="K218" s="3">
        <v>1500</v>
      </c>
      <c r="L218" s="29">
        <f t="shared" si="24"/>
        <v>3500</v>
      </c>
      <c r="M218" s="30">
        <v>0</v>
      </c>
      <c r="N218" s="31">
        <f t="shared" si="25"/>
        <v>0</v>
      </c>
      <c r="O218" s="32">
        <v>10</v>
      </c>
      <c r="P218" s="29">
        <f t="shared" si="26"/>
        <v>470</v>
      </c>
      <c r="Q218" s="31">
        <f t="shared" si="27"/>
        <v>3</v>
      </c>
      <c r="T218" s="3">
        <v>1500</v>
      </c>
      <c r="U218" s="4"/>
      <c r="V218" s="4">
        <f t="shared" ref="V218:V249" si="28">J218-H218-U218</f>
        <v>4400</v>
      </c>
    </row>
    <row r="219" spans="2:22" x14ac:dyDescent="0.25">
      <c r="B219" s="1">
        <v>147</v>
      </c>
      <c r="C219" s="7">
        <v>16467209</v>
      </c>
      <c r="D219" s="2" t="s">
        <v>207</v>
      </c>
      <c r="E219" s="2" t="s">
        <v>597</v>
      </c>
      <c r="F219" s="2">
        <v>6872319</v>
      </c>
      <c r="G219" s="2" t="s">
        <v>736</v>
      </c>
      <c r="H219" s="5">
        <v>300</v>
      </c>
      <c r="I219">
        <v>5000</v>
      </c>
      <c r="J219" s="27">
        <f t="shared" si="23"/>
        <v>4700</v>
      </c>
      <c r="K219" s="3">
        <v>500</v>
      </c>
      <c r="L219" s="29">
        <f t="shared" si="24"/>
        <v>4500</v>
      </c>
      <c r="M219" s="30">
        <v>0</v>
      </c>
      <c r="N219" s="31">
        <f t="shared" si="25"/>
        <v>0</v>
      </c>
      <c r="O219" s="32">
        <v>10</v>
      </c>
      <c r="P219" s="29">
        <f t="shared" si="26"/>
        <v>470</v>
      </c>
      <c r="Q219" s="31">
        <f t="shared" si="27"/>
        <v>1</v>
      </c>
      <c r="T219" s="3">
        <v>500</v>
      </c>
      <c r="U219" s="4">
        <v>200</v>
      </c>
      <c r="V219" s="4">
        <f t="shared" si="28"/>
        <v>4200</v>
      </c>
    </row>
    <row r="220" spans="2:22" x14ac:dyDescent="0.25">
      <c r="B220" s="1">
        <v>148</v>
      </c>
      <c r="C220" s="7">
        <v>14908335</v>
      </c>
      <c r="D220" s="2" t="s">
        <v>208</v>
      </c>
      <c r="E220" s="2" t="s">
        <v>605</v>
      </c>
      <c r="F220" s="2">
        <v>4997018</v>
      </c>
      <c r="G220" s="2" t="s">
        <v>701</v>
      </c>
      <c r="H220" s="5">
        <v>300</v>
      </c>
      <c r="I220">
        <v>5000</v>
      </c>
      <c r="J220" s="27">
        <f t="shared" si="23"/>
        <v>4450</v>
      </c>
      <c r="K220" s="3">
        <v>475</v>
      </c>
      <c r="L220" s="29">
        <f t="shared" si="24"/>
        <v>4275</v>
      </c>
      <c r="M220" s="30">
        <v>0.05</v>
      </c>
      <c r="N220" s="31">
        <f t="shared" si="25"/>
        <v>250</v>
      </c>
      <c r="O220" s="32">
        <v>10</v>
      </c>
      <c r="P220" s="29">
        <f t="shared" si="26"/>
        <v>445</v>
      </c>
      <c r="Q220" s="31">
        <f t="shared" si="27"/>
        <v>1</v>
      </c>
      <c r="T220" s="3">
        <v>475</v>
      </c>
      <c r="U220" s="4"/>
      <c r="V220" s="4">
        <f t="shared" si="28"/>
        <v>4150</v>
      </c>
    </row>
    <row r="221" spans="2:22" x14ac:dyDescent="0.25">
      <c r="B221" s="1">
        <v>148</v>
      </c>
      <c r="C221" s="35">
        <v>16746128</v>
      </c>
      <c r="D221" s="2" t="s">
        <v>209</v>
      </c>
      <c r="E221" s="2" t="s">
        <v>597</v>
      </c>
      <c r="F221" s="2">
        <v>4997018</v>
      </c>
      <c r="G221" s="2" t="s">
        <v>701</v>
      </c>
      <c r="H221" s="5">
        <v>300</v>
      </c>
      <c r="I221">
        <v>5000</v>
      </c>
      <c r="J221" s="27">
        <f t="shared" si="23"/>
        <v>4200</v>
      </c>
      <c r="K221" s="3">
        <v>450</v>
      </c>
      <c r="L221" s="29">
        <f t="shared" si="24"/>
        <v>4050</v>
      </c>
      <c r="M221" s="30">
        <v>0.1</v>
      </c>
      <c r="N221" s="31">
        <f t="shared" si="25"/>
        <v>500</v>
      </c>
      <c r="O221" s="32">
        <v>10</v>
      </c>
      <c r="P221" s="29">
        <f t="shared" si="26"/>
        <v>420</v>
      </c>
      <c r="Q221" s="31">
        <f t="shared" si="27"/>
        <v>1</v>
      </c>
      <c r="T221" s="3">
        <v>450</v>
      </c>
      <c r="U221" s="4"/>
      <c r="V221" s="4">
        <f t="shared" si="28"/>
        <v>3900</v>
      </c>
    </row>
    <row r="222" spans="2:22" x14ac:dyDescent="0.25">
      <c r="B222" s="1">
        <v>148</v>
      </c>
      <c r="C222" s="7">
        <v>14908334</v>
      </c>
      <c r="D222" s="2" t="s">
        <v>210</v>
      </c>
      <c r="E222" s="2" t="s">
        <v>601</v>
      </c>
      <c r="F222" s="2">
        <v>4997018</v>
      </c>
      <c r="G222" s="2" t="s">
        <v>701</v>
      </c>
      <c r="H222" s="5">
        <v>300</v>
      </c>
      <c r="I222">
        <v>5000</v>
      </c>
      <c r="J222" s="27">
        <f t="shared" si="23"/>
        <v>4700</v>
      </c>
      <c r="K222" s="3">
        <v>500</v>
      </c>
      <c r="L222" s="29">
        <f t="shared" si="24"/>
        <v>4500</v>
      </c>
      <c r="M222" s="30">
        <v>0</v>
      </c>
      <c r="N222" s="31">
        <f t="shared" si="25"/>
        <v>0</v>
      </c>
      <c r="O222" s="32">
        <v>10</v>
      </c>
      <c r="P222" s="29">
        <f t="shared" si="26"/>
        <v>470</v>
      </c>
      <c r="Q222" s="31">
        <f t="shared" si="27"/>
        <v>1</v>
      </c>
      <c r="T222" s="3">
        <v>500</v>
      </c>
      <c r="U222" s="4"/>
      <c r="V222" s="4">
        <f t="shared" si="28"/>
        <v>4400</v>
      </c>
    </row>
    <row r="223" spans="2:22" x14ac:dyDescent="0.25">
      <c r="B223" s="1">
        <v>149</v>
      </c>
      <c r="C223" s="7">
        <v>15907871</v>
      </c>
      <c r="D223" s="2" t="s">
        <v>211</v>
      </c>
      <c r="E223" s="2" t="s">
        <v>596</v>
      </c>
      <c r="F223" s="2">
        <v>4825551015</v>
      </c>
      <c r="G223" s="2" t="s">
        <v>737</v>
      </c>
      <c r="H223" s="5">
        <v>300</v>
      </c>
      <c r="I223">
        <v>5000</v>
      </c>
      <c r="J223" s="27">
        <f t="shared" si="23"/>
        <v>4450</v>
      </c>
      <c r="K223" s="3">
        <v>475</v>
      </c>
      <c r="L223" s="29">
        <f t="shared" si="24"/>
        <v>4275</v>
      </c>
      <c r="M223" s="30">
        <v>0.05</v>
      </c>
      <c r="N223" s="31">
        <f t="shared" si="25"/>
        <v>250</v>
      </c>
      <c r="O223" s="32">
        <v>10</v>
      </c>
      <c r="P223" s="29">
        <f t="shared" si="26"/>
        <v>445</v>
      </c>
      <c r="Q223" s="31">
        <f t="shared" si="27"/>
        <v>1</v>
      </c>
      <c r="T223" s="3">
        <v>475</v>
      </c>
      <c r="U223" s="4"/>
      <c r="V223" s="4">
        <f t="shared" si="28"/>
        <v>4150</v>
      </c>
    </row>
    <row r="224" spans="2:22" x14ac:dyDescent="0.25">
      <c r="B224" s="1">
        <v>149</v>
      </c>
      <c r="C224" s="7">
        <v>16235205</v>
      </c>
      <c r="D224" s="2" t="s">
        <v>212</v>
      </c>
      <c r="E224" s="2" t="s">
        <v>599</v>
      </c>
      <c r="F224" s="2">
        <v>4825551015</v>
      </c>
      <c r="G224" s="2" t="s">
        <v>737</v>
      </c>
      <c r="H224" s="5">
        <v>300</v>
      </c>
      <c r="I224">
        <v>5000</v>
      </c>
      <c r="J224" s="27">
        <f t="shared" si="23"/>
        <v>4700</v>
      </c>
      <c r="K224" s="3">
        <v>500</v>
      </c>
      <c r="L224" s="29">
        <f t="shared" si="24"/>
        <v>4500</v>
      </c>
      <c r="M224" s="30">
        <v>0</v>
      </c>
      <c r="N224" s="31">
        <f t="shared" si="25"/>
        <v>0</v>
      </c>
      <c r="O224" s="32">
        <v>10</v>
      </c>
      <c r="P224" s="29">
        <f t="shared" si="26"/>
        <v>470</v>
      </c>
      <c r="Q224" s="31">
        <f t="shared" si="27"/>
        <v>1</v>
      </c>
      <c r="T224" s="3">
        <v>500</v>
      </c>
      <c r="U224" s="4"/>
      <c r="V224" s="4">
        <f t="shared" si="28"/>
        <v>4400</v>
      </c>
    </row>
    <row r="225" spans="2:22" x14ac:dyDescent="0.25">
      <c r="B225" s="1">
        <v>150</v>
      </c>
      <c r="C225" s="7">
        <v>13313223</v>
      </c>
      <c r="D225" s="2" t="s">
        <v>213</v>
      </c>
      <c r="E225" s="2" t="s">
        <v>601</v>
      </c>
      <c r="F225" s="2">
        <v>4780077</v>
      </c>
      <c r="G225" s="2" t="s">
        <v>738</v>
      </c>
      <c r="H225" s="5">
        <v>300</v>
      </c>
      <c r="I225">
        <v>5000</v>
      </c>
      <c r="J225" s="27">
        <f t="shared" si="23"/>
        <v>4700</v>
      </c>
      <c r="K225" s="3">
        <v>500</v>
      </c>
      <c r="L225" s="29">
        <f t="shared" si="24"/>
        <v>4500</v>
      </c>
      <c r="M225" s="30">
        <v>0</v>
      </c>
      <c r="N225" s="31">
        <f t="shared" si="25"/>
        <v>0</v>
      </c>
      <c r="O225" s="32">
        <v>10</v>
      </c>
      <c r="P225" s="29">
        <f t="shared" si="26"/>
        <v>470</v>
      </c>
      <c r="Q225" s="31">
        <f t="shared" si="27"/>
        <v>1</v>
      </c>
      <c r="T225" s="3">
        <v>500</v>
      </c>
      <c r="U225" s="4"/>
      <c r="V225" s="4">
        <f t="shared" si="28"/>
        <v>4400</v>
      </c>
    </row>
    <row r="226" spans="2:22" x14ac:dyDescent="0.25">
      <c r="B226" s="1">
        <v>151</v>
      </c>
      <c r="C226" s="7">
        <v>14650385</v>
      </c>
      <c r="D226" s="2" t="s">
        <v>214</v>
      </c>
      <c r="E226" s="2" t="s">
        <v>594</v>
      </c>
      <c r="F226" s="2">
        <v>5979654</v>
      </c>
      <c r="G226" s="2" t="s">
        <v>739</v>
      </c>
      <c r="H226" s="5">
        <v>300</v>
      </c>
      <c r="I226">
        <v>5000</v>
      </c>
      <c r="J226" s="27">
        <f t="shared" si="23"/>
        <v>4700</v>
      </c>
      <c r="K226" s="3">
        <v>4750</v>
      </c>
      <c r="L226" s="29">
        <f t="shared" si="24"/>
        <v>250</v>
      </c>
      <c r="M226" s="30">
        <v>0</v>
      </c>
      <c r="N226" s="31">
        <f t="shared" si="25"/>
        <v>0</v>
      </c>
      <c r="O226" s="32">
        <v>10</v>
      </c>
      <c r="P226" s="29">
        <f t="shared" si="26"/>
        <v>470</v>
      </c>
      <c r="Q226" s="31">
        <f t="shared" si="27"/>
        <v>10</v>
      </c>
      <c r="T226" s="3">
        <v>4750</v>
      </c>
      <c r="U226" s="4"/>
      <c r="V226" s="4">
        <f t="shared" si="28"/>
        <v>4400</v>
      </c>
    </row>
    <row r="227" spans="2:22" x14ac:dyDescent="0.25">
      <c r="B227" s="1">
        <v>151</v>
      </c>
      <c r="C227" s="7">
        <v>16693995</v>
      </c>
      <c r="D227" s="2" t="s">
        <v>215</v>
      </c>
      <c r="E227" s="2" t="s">
        <v>598</v>
      </c>
      <c r="F227" s="2">
        <v>5979654</v>
      </c>
      <c r="G227" s="2" t="s">
        <v>739</v>
      </c>
      <c r="H227" s="5">
        <v>300</v>
      </c>
      <c r="I227">
        <v>5000</v>
      </c>
      <c r="J227" s="27">
        <f t="shared" si="23"/>
        <v>4450</v>
      </c>
      <c r="K227" s="3">
        <v>475</v>
      </c>
      <c r="L227" s="29">
        <f t="shared" si="24"/>
        <v>4275</v>
      </c>
      <c r="M227" s="30">
        <v>0.05</v>
      </c>
      <c r="N227" s="31">
        <f t="shared" si="25"/>
        <v>250</v>
      </c>
      <c r="O227" s="32">
        <v>10</v>
      </c>
      <c r="P227" s="29">
        <f t="shared" si="26"/>
        <v>445</v>
      </c>
      <c r="Q227" s="31">
        <f t="shared" si="27"/>
        <v>1</v>
      </c>
      <c r="T227" s="3">
        <v>475</v>
      </c>
      <c r="U227" s="4"/>
      <c r="V227" s="4">
        <f t="shared" si="28"/>
        <v>4150</v>
      </c>
    </row>
    <row r="228" spans="2:22" x14ac:dyDescent="0.25">
      <c r="B228" s="1">
        <v>152</v>
      </c>
      <c r="C228" s="7">
        <v>16693995</v>
      </c>
      <c r="D228" s="2" t="s">
        <v>215</v>
      </c>
      <c r="E228" s="2" t="s">
        <v>598</v>
      </c>
      <c r="F228" s="2">
        <v>5979654</v>
      </c>
      <c r="G228" s="2" t="s">
        <v>739</v>
      </c>
      <c r="H228" s="5"/>
      <c r="I228">
        <v>5000</v>
      </c>
      <c r="J228" s="27">
        <f t="shared" si="23"/>
        <v>5000</v>
      </c>
      <c r="K228" s="3">
        <v>950</v>
      </c>
      <c r="L228" s="29">
        <f t="shared" si="24"/>
        <v>4050</v>
      </c>
      <c r="M228" s="30">
        <v>0</v>
      </c>
      <c r="N228" s="31">
        <f t="shared" si="25"/>
        <v>0</v>
      </c>
      <c r="O228" s="32">
        <v>10</v>
      </c>
      <c r="P228" s="29">
        <f t="shared" si="26"/>
        <v>500</v>
      </c>
      <c r="Q228" s="31">
        <f t="shared" si="27"/>
        <v>1</v>
      </c>
      <c r="T228" s="3">
        <v>950</v>
      </c>
      <c r="U228" s="4"/>
      <c r="V228" s="4">
        <f t="shared" si="28"/>
        <v>5000</v>
      </c>
    </row>
    <row r="229" spans="2:22" x14ac:dyDescent="0.25">
      <c r="B229" s="1">
        <v>153</v>
      </c>
      <c r="C229" s="7">
        <v>15581573</v>
      </c>
      <c r="D229" s="2" t="s">
        <v>216</v>
      </c>
      <c r="E229" s="2" t="s">
        <v>596</v>
      </c>
      <c r="F229" s="2">
        <v>6057832</v>
      </c>
      <c r="G229" s="2" t="s">
        <v>740</v>
      </c>
      <c r="H229" s="5"/>
      <c r="I229">
        <v>5000</v>
      </c>
      <c r="J229" s="27">
        <f t="shared" si="23"/>
        <v>5000</v>
      </c>
      <c r="K229" s="3">
        <v>500</v>
      </c>
      <c r="L229" s="29">
        <f t="shared" si="24"/>
        <v>4500</v>
      </c>
      <c r="M229" s="30">
        <v>0</v>
      </c>
      <c r="N229" s="31">
        <f t="shared" si="25"/>
        <v>0</v>
      </c>
      <c r="O229" s="32">
        <v>10</v>
      </c>
      <c r="P229" s="29">
        <f t="shared" si="26"/>
        <v>500</v>
      </c>
      <c r="Q229" s="31">
        <f t="shared" si="27"/>
        <v>1</v>
      </c>
      <c r="T229" s="3">
        <v>500</v>
      </c>
      <c r="U229" s="4"/>
      <c r="V229" s="4">
        <f t="shared" si="28"/>
        <v>5000</v>
      </c>
    </row>
    <row r="230" spans="2:22" x14ac:dyDescent="0.25">
      <c r="B230" s="1">
        <v>154</v>
      </c>
      <c r="C230" s="7">
        <v>14650140</v>
      </c>
      <c r="D230" s="2" t="s">
        <v>217</v>
      </c>
      <c r="E230" s="2" t="s">
        <v>605</v>
      </c>
      <c r="F230" s="2">
        <v>10026621</v>
      </c>
      <c r="G230" s="2" t="s">
        <v>667</v>
      </c>
      <c r="H230" s="5"/>
      <c r="I230">
        <v>5000</v>
      </c>
      <c r="J230" s="27">
        <f t="shared" si="23"/>
        <v>5000</v>
      </c>
      <c r="K230" s="3">
        <v>500</v>
      </c>
      <c r="L230" s="29">
        <f t="shared" si="24"/>
        <v>4500</v>
      </c>
      <c r="M230" s="30">
        <v>0</v>
      </c>
      <c r="N230" s="31">
        <f t="shared" si="25"/>
        <v>0</v>
      </c>
      <c r="O230" s="32">
        <v>10</v>
      </c>
      <c r="P230" s="29">
        <f t="shared" si="26"/>
        <v>500</v>
      </c>
      <c r="Q230" s="31">
        <f t="shared" si="27"/>
        <v>1</v>
      </c>
      <c r="T230" s="3">
        <v>500</v>
      </c>
      <c r="U230" s="4"/>
      <c r="V230" s="4">
        <f t="shared" si="28"/>
        <v>5000</v>
      </c>
    </row>
    <row r="231" spans="2:22" x14ac:dyDescent="0.25">
      <c r="B231" s="1">
        <v>155</v>
      </c>
      <c r="C231" s="7">
        <v>13679938</v>
      </c>
      <c r="D231" s="2" t="s">
        <v>218</v>
      </c>
      <c r="E231" s="2" t="s">
        <v>605</v>
      </c>
      <c r="F231" s="2">
        <v>6061781010</v>
      </c>
      <c r="G231" s="2" t="s">
        <v>663</v>
      </c>
      <c r="H231" s="5"/>
      <c r="I231">
        <v>5000</v>
      </c>
      <c r="J231" s="27">
        <f t="shared" si="23"/>
        <v>5000</v>
      </c>
      <c r="K231" s="3">
        <v>500</v>
      </c>
      <c r="L231" s="29">
        <f t="shared" si="24"/>
        <v>4500</v>
      </c>
      <c r="M231" s="30">
        <v>0</v>
      </c>
      <c r="N231" s="31">
        <f t="shared" si="25"/>
        <v>0</v>
      </c>
      <c r="O231" s="32">
        <v>10</v>
      </c>
      <c r="P231" s="29">
        <f t="shared" si="26"/>
        <v>500</v>
      </c>
      <c r="Q231" s="31">
        <f t="shared" si="27"/>
        <v>1</v>
      </c>
      <c r="T231" s="3">
        <v>500</v>
      </c>
      <c r="U231" s="4"/>
      <c r="V231" s="4">
        <f t="shared" si="28"/>
        <v>5000</v>
      </c>
    </row>
    <row r="232" spans="2:22" x14ac:dyDescent="0.25">
      <c r="B232" s="1">
        <v>155</v>
      </c>
      <c r="C232" s="7">
        <v>16296937</v>
      </c>
      <c r="D232" s="2" t="s">
        <v>219</v>
      </c>
      <c r="E232" s="2" t="s">
        <v>597</v>
      </c>
      <c r="F232" s="2">
        <v>6061781010</v>
      </c>
      <c r="G232" s="2" t="s">
        <v>663</v>
      </c>
      <c r="H232" s="5"/>
      <c r="I232">
        <v>5000</v>
      </c>
      <c r="J232" s="27">
        <f t="shared" si="23"/>
        <v>4750</v>
      </c>
      <c r="K232" s="3">
        <v>475</v>
      </c>
      <c r="L232" s="29">
        <f t="shared" si="24"/>
        <v>4275</v>
      </c>
      <c r="M232" s="30">
        <v>0.05</v>
      </c>
      <c r="N232" s="31">
        <f t="shared" si="25"/>
        <v>250</v>
      </c>
      <c r="O232" s="32">
        <v>10</v>
      </c>
      <c r="P232" s="29">
        <f t="shared" si="26"/>
        <v>475</v>
      </c>
      <c r="Q232" s="31">
        <f t="shared" si="27"/>
        <v>1</v>
      </c>
      <c r="T232" s="3">
        <v>475</v>
      </c>
      <c r="U232" s="4"/>
      <c r="V232" s="4">
        <f t="shared" si="28"/>
        <v>4750</v>
      </c>
    </row>
    <row r="233" spans="2:22" x14ac:dyDescent="0.25">
      <c r="B233" s="1">
        <v>156</v>
      </c>
      <c r="C233" s="7">
        <v>12702023</v>
      </c>
      <c r="D233" s="2" t="s">
        <v>220</v>
      </c>
      <c r="E233" s="2" t="s">
        <v>605</v>
      </c>
      <c r="F233" s="2">
        <v>4333512012</v>
      </c>
      <c r="G233" s="2" t="s">
        <v>741</v>
      </c>
      <c r="H233" s="5"/>
      <c r="I233">
        <v>5000</v>
      </c>
      <c r="J233" s="27">
        <f t="shared" si="23"/>
        <v>5000</v>
      </c>
      <c r="K233" s="3">
        <v>4750</v>
      </c>
      <c r="L233" s="29">
        <f t="shared" si="24"/>
        <v>250</v>
      </c>
      <c r="M233" s="30">
        <v>0</v>
      </c>
      <c r="N233" s="31">
        <f t="shared" si="25"/>
        <v>0</v>
      </c>
      <c r="O233" s="32">
        <v>10</v>
      </c>
      <c r="P233" s="29">
        <f t="shared" si="26"/>
        <v>500</v>
      </c>
      <c r="Q233" s="31">
        <f t="shared" si="27"/>
        <v>9</v>
      </c>
      <c r="T233" s="3">
        <v>4750</v>
      </c>
      <c r="U233" s="4">
        <v>4750</v>
      </c>
      <c r="V233" s="4">
        <f t="shared" si="28"/>
        <v>250</v>
      </c>
    </row>
    <row r="234" spans="2:22" x14ac:dyDescent="0.25">
      <c r="B234" s="1">
        <v>157</v>
      </c>
      <c r="C234" s="7">
        <v>15186548</v>
      </c>
      <c r="D234" s="2" t="s">
        <v>221</v>
      </c>
      <c r="E234" s="2" t="s">
        <v>599</v>
      </c>
      <c r="F234" s="2">
        <v>6836765</v>
      </c>
      <c r="G234" s="2" t="s">
        <v>742</v>
      </c>
      <c r="H234" s="5"/>
      <c r="I234">
        <v>5000</v>
      </c>
      <c r="J234" s="27">
        <f t="shared" si="23"/>
        <v>5000</v>
      </c>
      <c r="K234" s="3">
        <v>4750</v>
      </c>
      <c r="L234" s="29">
        <f t="shared" si="24"/>
        <v>250</v>
      </c>
      <c r="M234" s="30">
        <v>0</v>
      </c>
      <c r="N234" s="31">
        <f t="shared" si="25"/>
        <v>0</v>
      </c>
      <c r="O234" s="32">
        <v>10</v>
      </c>
      <c r="P234" s="29">
        <f t="shared" si="26"/>
        <v>500</v>
      </c>
      <c r="Q234" s="31">
        <f t="shared" si="27"/>
        <v>9</v>
      </c>
      <c r="T234" s="3">
        <v>4750</v>
      </c>
      <c r="U234" s="4">
        <v>4750</v>
      </c>
      <c r="V234" s="4">
        <f t="shared" si="28"/>
        <v>250</v>
      </c>
    </row>
    <row r="235" spans="2:22" x14ac:dyDescent="0.25">
      <c r="B235" s="1">
        <v>158</v>
      </c>
      <c r="C235" s="7">
        <v>13458646</v>
      </c>
      <c r="D235" s="2" t="s">
        <v>222</v>
      </c>
      <c r="E235" s="2" t="s">
        <v>600</v>
      </c>
      <c r="F235" s="2">
        <v>8170131</v>
      </c>
      <c r="G235" s="2" t="s">
        <v>743</v>
      </c>
      <c r="H235" s="8"/>
      <c r="I235">
        <v>5000</v>
      </c>
      <c r="J235" s="27">
        <f t="shared" si="23"/>
        <v>5000</v>
      </c>
      <c r="K235" s="3">
        <v>500</v>
      </c>
      <c r="L235" s="29">
        <f t="shared" si="24"/>
        <v>4500</v>
      </c>
      <c r="M235" s="30">
        <v>0</v>
      </c>
      <c r="N235" s="31">
        <f t="shared" si="25"/>
        <v>0</v>
      </c>
      <c r="O235" s="32">
        <v>10</v>
      </c>
      <c r="P235" s="29">
        <f t="shared" si="26"/>
        <v>500</v>
      </c>
      <c r="Q235" s="31">
        <f t="shared" si="27"/>
        <v>1</v>
      </c>
      <c r="T235" s="3">
        <v>500</v>
      </c>
      <c r="U235" s="4"/>
      <c r="V235" s="4">
        <f t="shared" si="28"/>
        <v>5000</v>
      </c>
    </row>
    <row r="236" spans="2:22" x14ac:dyDescent="0.25">
      <c r="B236" s="1">
        <v>159</v>
      </c>
      <c r="C236" s="7">
        <v>16014147</v>
      </c>
      <c r="D236" s="2" t="s">
        <v>223</v>
      </c>
      <c r="E236" s="2" t="s">
        <v>596</v>
      </c>
      <c r="F236" s="2">
        <v>6079750</v>
      </c>
      <c r="G236" s="2" t="s">
        <v>705</v>
      </c>
      <c r="H236" s="5">
        <v>300</v>
      </c>
      <c r="I236">
        <v>5000</v>
      </c>
      <c r="J236" s="27">
        <f t="shared" si="23"/>
        <v>4700</v>
      </c>
      <c r="K236" s="3">
        <v>4750</v>
      </c>
      <c r="L236" s="29">
        <f t="shared" si="24"/>
        <v>250</v>
      </c>
      <c r="M236" s="30">
        <v>0</v>
      </c>
      <c r="N236" s="31">
        <f t="shared" si="25"/>
        <v>0</v>
      </c>
      <c r="O236" s="32">
        <v>10</v>
      </c>
      <c r="P236" s="29">
        <f t="shared" si="26"/>
        <v>470</v>
      </c>
      <c r="Q236" s="31">
        <f t="shared" si="27"/>
        <v>10</v>
      </c>
      <c r="T236" s="3">
        <v>4750</v>
      </c>
      <c r="U236" s="4">
        <v>4450</v>
      </c>
      <c r="V236" s="4">
        <f t="shared" si="28"/>
        <v>-50</v>
      </c>
    </row>
    <row r="237" spans="2:22" x14ac:dyDescent="0.25">
      <c r="B237" s="1">
        <v>160</v>
      </c>
      <c r="C237" s="7">
        <v>16218787</v>
      </c>
      <c r="D237" s="2" t="s">
        <v>224</v>
      </c>
      <c r="E237" s="2" t="s">
        <v>599</v>
      </c>
      <c r="F237" s="2">
        <v>10937723010</v>
      </c>
      <c r="G237" s="2" t="s">
        <v>744</v>
      </c>
      <c r="H237" s="5">
        <v>300</v>
      </c>
      <c r="I237">
        <v>5000</v>
      </c>
      <c r="J237" s="27">
        <f t="shared" si="23"/>
        <v>4700</v>
      </c>
      <c r="K237" s="3">
        <v>500</v>
      </c>
      <c r="L237" s="29">
        <f t="shared" si="24"/>
        <v>4500</v>
      </c>
      <c r="M237" s="30">
        <v>0</v>
      </c>
      <c r="N237" s="31">
        <f t="shared" si="25"/>
        <v>0</v>
      </c>
      <c r="O237" s="32">
        <v>10</v>
      </c>
      <c r="P237" s="29">
        <f t="shared" si="26"/>
        <v>470</v>
      </c>
      <c r="Q237" s="31">
        <f t="shared" si="27"/>
        <v>1</v>
      </c>
      <c r="T237" s="3">
        <v>500</v>
      </c>
      <c r="U237" s="4"/>
      <c r="V237" s="4">
        <f t="shared" si="28"/>
        <v>4400</v>
      </c>
    </row>
    <row r="238" spans="2:22" x14ac:dyDescent="0.25">
      <c r="B238" s="1">
        <v>161</v>
      </c>
      <c r="C238" s="7">
        <v>13408901</v>
      </c>
      <c r="D238" s="2" t="s">
        <v>225</v>
      </c>
      <c r="E238" s="2" t="s">
        <v>592</v>
      </c>
      <c r="F238" s="2">
        <v>4794767</v>
      </c>
      <c r="G238" s="2" t="s">
        <v>721</v>
      </c>
      <c r="H238" s="5">
        <v>300</v>
      </c>
      <c r="I238">
        <v>5000</v>
      </c>
      <c r="J238" s="27">
        <f t="shared" si="23"/>
        <v>4700</v>
      </c>
      <c r="K238" s="3">
        <v>4750</v>
      </c>
      <c r="L238" s="29">
        <f t="shared" si="24"/>
        <v>250</v>
      </c>
      <c r="M238" s="30">
        <v>0</v>
      </c>
      <c r="N238" s="31">
        <f t="shared" si="25"/>
        <v>0</v>
      </c>
      <c r="O238" s="32">
        <v>10</v>
      </c>
      <c r="P238" s="29">
        <f t="shared" si="26"/>
        <v>470</v>
      </c>
      <c r="Q238" s="31">
        <f t="shared" si="27"/>
        <v>10</v>
      </c>
      <c r="T238" s="3">
        <v>4750</v>
      </c>
      <c r="U238" s="4">
        <v>4000</v>
      </c>
      <c r="V238" s="4">
        <f t="shared" si="28"/>
        <v>400</v>
      </c>
    </row>
    <row r="239" spans="2:22" x14ac:dyDescent="0.25">
      <c r="B239" s="1">
        <v>162</v>
      </c>
      <c r="C239" s="7">
        <v>15491795</v>
      </c>
      <c r="D239" s="2" t="s">
        <v>226</v>
      </c>
      <c r="E239" s="2" t="s">
        <v>599</v>
      </c>
      <c r="F239" s="2">
        <v>4794767</v>
      </c>
      <c r="G239" s="2" t="s">
        <v>721</v>
      </c>
      <c r="H239" s="5">
        <v>300</v>
      </c>
      <c r="I239">
        <v>5000</v>
      </c>
      <c r="J239" s="27">
        <f t="shared" si="23"/>
        <v>4450</v>
      </c>
      <c r="K239" s="3">
        <v>475</v>
      </c>
      <c r="L239" s="29">
        <f t="shared" si="24"/>
        <v>4275</v>
      </c>
      <c r="M239" s="30">
        <v>0.05</v>
      </c>
      <c r="N239" s="31">
        <f t="shared" si="25"/>
        <v>250</v>
      </c>
      <c r="O239" s="32">
        <v>10</v>
      </c>
      <c r="P239" s="29">
        <f t="shared" si="26"/>
        <v>445</v>
      </c>
      <c r="Q239" s="31">
        <f t="shared" si="27"/>
        <v>1</v>
      </c>
      <c r="T239" s="3">
        <v>475</v>
      </c>
      <c r="U239" s="4"/>
      <c r="V239" s="4">
        <f t="shared" si="28"/>
        <v>4150</v>
      </c>
    </row>
    <row r="240" spans="2:22" x14ac:dyDescent="0.25">
      <c r="B240" s="1">
        <v>163</v>
      </c>
      <c r="C240" s="7">
        <v>15591988</v>
      </c>
      <c r="D240" s="2" t="s">
        <v>227</v>
      </c>
      <c r="E240" s="2" t="s">
        <v>602</v>
      </c>
      <c r="F240" s="2">
        <v>4259659</v>
      </c>
      <c r="G240" s="2" t="s">
        <v>745</v>
      </c>
      <c r="H240" s="5"/>
      <c r="I240">
        <v>5000</v>
      </c>
      <c r="J240" s="27">
        <f t="shared" si="23"/>
        <v>5000</v>
      </c>
      <c r="K240" s="3">
        <v>500</v>
      </c>
      <c r="L240" s="29">
        <f t="shared" si="24"/>
        <v>4500</v>
      </c>
      <c r="M240" s="30">
        <v>0</v>
      </c>
      <c r="N240" s="31">
        <f t="shared" si="25"/>
        <v>0</v>
      </c>
      <c r="O240" s="32">
        <v>10</v>
      </c>
      <c r="P240" s="29">
        <f t="shared" si="26"/>
        <v>500</v>
      </c>
      <c r="Q240" s="31">
        <f t="shared" si="27"/>
        <v>1</v>
      </c>
      <c r="T240" s="3">
        <v>500</v>
      </c>
      <c r="U240" s="4"/>
      <c r="V240" s="4">
        <f t="shared" si="28"/>
        <v>5000</v>
      </c>
    </row>
    <row r="241" spans="2:22" x14ac:dyDescent="0.25">
      <c r="B241" s="1">
        <v>164</v>
      </c>
      <c r="C241" s="7">
        <v>15196355</v>
      </c>
      <c r="D241" s="2" t="s">
        <v>228</v>
      </c>
      <c r="E241" s="2" t="s">
        <v>599</v>
      </c>
      <c r="F241" s="2">
        <v>9899282</v>
      </c>
      <c r="G241" s="2" t="s">
        <v>737</v>
      </c>
      <c r="H241" s="5">
        <v>300</v>
      </c>
      <c r="I241">
        <v>5000</v>
      </c>
      <c r="J241" s="27">
        <f t="shared" si="23"/>
        <v>4700</v>
      </c>
      <c r="K241" s="3">
        <v>500</v>
      </c>
      <c r="L241" s="29">
        <f t="shared" si="24"/>
        <v>4500</v>
      </c>
      <c r="M241" s="30">
        <v>0</v>
      </c>
      <c r="N241" s="31">
        <f t="shared" si="25"/>
        <v>0</v>
      </c>
      <c r="O241" s="32">
        <v>10</v>
      </c>
      <c r="P241" s="29">
        <f t="shared" si="26"/>
        <v>470</v>
      </c>
      <c r="Q241" s="31">
        <f t="shared" si="27"/>
        <v>1</v>
      </c>
      <c r="T241" s="3">
        <v>500</v>
      </c>
      <c r="U241" s="4"/>
      <c r="V241" s="4">
        <f t="shared" si="28"/>
        <v>4400</v>
      </c>
    </row>
    <row r="242" spans="2:22" x14ac:dyDescent="0.25">
      <c r="B242" s="1">
        <v>165</v>
      </c>
      <c r="C242" s="7">
        <v>15149269</v>
      </c>
      <c r="D242" s="2" t="s">
        <v>229</v>
      </c>
      <c r="E242" s="2" t="s">
        <v>592</v>
      </c>
      <c r="F242" s="2">
        <v>6123622</v>
      </c>
      <c r="G242" s="2" t="s">
        <v>701</v>
      </c>
      <c r="H242" s="5"/>
      <c r="I242">
        <v>5000</v>
      </c>
      <c r="J242" s="27">
        <f t="shared" si="23"/>
        <v>5000</v>
      </c>
      <c r="K242" s="3">
        <v>500</v>
      </c>
      <c r="L242" s="29">
        <f t="shared" si="24"/>
        <v>4500</v>
      </c>
      <c r="M242" s="30">
        <v>0</v>
      </c>
      <c r="N242" s="31">
        <f t="shared" si="25"/>
        <v>0</v>
      </c>
      <c r="O242" s="32">
        <v>10</v>
      </c>
      <c r="P242" s="29">
        <f t="shared" si="26"/>
        <v>500</v>
      </c>
      <c r="Q242" s="31">
        <f t="shared" si="27"/>
        <v>1</v>
      </c>
      <c r="T242" s="3">
        <v>500</v>
      </c>
      <c r="U242" s="4">
        <v>500</v>
      </c>
      <c r="V242" s="4">
        <f t="shared" si="28"/>
        <v>4500</v>
      </c>
    </row>
    <row r="243" spans="2:22" x14ac:dyDescent="0.25">
      <c r="B243" s="1">
        <v>166</v>
      </c>
      <c r="C243" s="7">
        <v>15536353</v>
      </c>
      <c r="D243" s="2" t="s">
        <v>230</v>
      </c>
      <c r="E243" s="2" t="s">
        <v>602</v>
      </c>
      <c r="F243" s="2">
        <v>4905669</v>
      </c>
      <c r="G243" s="2" t="s">
        <v>705</v>
      </c>
      <c r="H243" s="5">
        <v>300</v>
      </c>
      <c r="I243">
        <v>5000</v>
      </c>
      <c r="J243" s="27">
        <f t="shared" si="23"/>
        <v>4700</v>
      </c>
      <c r="K243" s="3">
        <v>1000</v>
      </c>
      <c r="L243" s="29">
        <f t="shared" si="24"/>
        <v>4000</v>
      </c>
      <c r="M243" s="30">
        <v>0</v>
      </c>
      <c r="N243" s="31">
        <f t="shared" si="25"/>
        <v>0</v>
      </c>
      <c r="O243" s="32">
        <v>10</v>
      </c>
      <c r="P243" s="29">
        <f t="shared" si="26"/>
        <v>470</v>
      </c>
      <c r="Q243" s="31">
        <f t="shared" si="27"/>
        <v>2</v>
      </c>
      <c r="T243" s="3">
        <v>1000</v>
      </c>
      <c r="U243" s="4"/>
      <c r="V243" s="4">
        <f t="shared" si="28"/>
        <v>4400</v>
      </c>
    </row>
    <row r="244" spans="2:22" x14ac:dyDescent="0.25">
      <c r="B244" s="1">
        <v>167</v>
      </c>
      <c r="C244" s="7">
        <v>16339265</v>
      </c>
      <c r="D244" s="2" t="s">
        <v>231</v>
      </c>
      <c r="E244" s="2" t="s">
        <v>593</v>
      </c>
      <c r="F244" s="2">
        <v>6889207</v>
      </c>
      <c r="G244" s="2" t="s">
        <v>746</v>
      </c>
      <c r="H244" s="5"/>
      <c r="I244">
        <v>5000</v>
      </c>
      <c r="J244" s="27">
        <f t="shared" si="23"/>
        <v>5000</v>
      </c>
      <c r="K244" s="3">
        <v>500</v>
      </c>
      <c r="L244" s="29">
        <f t="shared" si="24"/>
        <v>4500</v>
      </c>
      <c r="M244" s="30">
        <v>0</v>
      </c>
      <c r="N244" s="31">
        <f t="shared" si="25"/>
        <v>0</v>
      </c>
      <c r="O244" s="32">
        <v>10</v>
      </c>
      <c r="P244" s="29">
        <f t="shared" si="26"/>
        <v>500</v>
      </c>
      <c r="Q244" s="31">
        <f t="shared" si="27"/>
        <v>1</v>
      </c>
      <c r="T244" s="3">
        <v>500</v>
      </c>
      <c r="U244" s="4"/>
      <c r="V244" s="4">
        <f t="shared" si="28"/>
        <v>5000</v>
      </c>
    </row>
    <row r="245" spans="2:22" x14ac:dyDescent="0.25">
      <c r="B245" s="1">
        <v>167</v>
      </c>
      <c r="C245" s="7">
        <v>16339303</v>
      </c>
      <c r="D245" s="2" t="s">
        <v>232</v>
      </c>
      <c r="E245" s="2" t="s">
        <v>605</v>
      </c>
      <c r="F245" s="2">
        <v>6889207</v>
      </c>
      <c r="G245" s="2" t="s">
        <v>746</v>
      </c>
      <c r="H245" s="5"/>
      <c r="I245">
        <v>5000</v>
      </c>
      <c r="J245" s="27">
        <f t="shared" si="23"/>
        <v>4750</v>
      </c>
      <c r="K245" s="3">
        <v>475</v>
      </c>
      <c r="L245" s="29">
        <f t="shared" si="24"/>
        <v>4275</v>
      </c>
      <c r="M245" s="30">
        <v>0.05</v>
      </c>
      <c r="N245" s="31">
        <f t="shared" si="25"/>
        <v>250</v>
      </c>
      <c r="O245" s="32">
        <v>10</v>
      </c>
      <c r="P245" s="29">
        <f t="shared" si="26"/>
        <v>475</v>
      </c>
      <c r="Q245" s="31">
        <f t="shared" si="27"/>
        <v>1</v>
      </c>
      <c r="T245" s="3">
        <v>475</v>
      </c>
      <c r="U245" s="4">
        <v>475</v>
      </c>
      <c r="V245" s="4">
        <f t="shared" si="28"/>
        <v>4275</v>
      </c>
    </row>
    <row r="246" spans="2:22" x14ac:dyDescent="0.25">
      <c r="B246" s="1">
        <v>168</v>
      </c>
      <c r="C246" s="7">
        <v>13374035</v>
      </c>
      <c r="D246" s="2" t="s">
        <v>233</v>
      </c>
      <c r="E246" s="2" t="s">
        <v>605</v>
      </c>
      <c r="F246" s="2">
        <v>9863356</v>
      </c>
      <c r="G246" s="2" t="s">
        <v>663</v>
      </c>
      <c r="H246" s="5">
        <v>300</v>
      </c>
      <c r="I246">
        <v>5000</v>
      </c>
      <c r="J246" s="27">
        <f t="shared" si="23"/>
        <v>4700</v>
      </c>
      <c r="K246" s="3">
        <v>4750</v>
      </c>
      <c r="L246" s="29">
        <f t="shared" si="24"/>
        <v>250</v>
      </c>
      <c r="M246" s="30">
        <v>0</v>
      </c>
      <c r="N246" s="31">
        <f t="shared" si="25"/>
        <v>0</v>
      </c>
      <c r="O246" s="32">
        <v>10</v>
      </c>
      <c r="P246" s="29">
        <f t="shared" si="26"/>
        <v>470</v>
      </c>
      <c r="Q246" s="31">
        <f t="shared" si="27"/>
        <v>10</v>
      </c>
      <c r="T246" s="3">
        <v>4750</v>
      </c>
      <c r="U246" s="4">
        <v>4450</v>
      </c>
      <c r="V246" s="4">
        <f t="shared" si="28"/>
        <v>-50</v>
      </c>
    </row>
    <row r="247" spans="2:22" x14ac:dyDescent="0.25">
      <c r="B247" s="1">
        <v>169</v>
      </c>
      <c r="C247" s="7">
        <v>14416228</v>
      </c>
      <c r="D247" s="2" t="s">
        <v>234</v>
      </c>
      <c r="E247" s="2" t="s">
        <v>605</v>
      </c>
      <c r="F247" s="2">
        <v>7021928012</v>
      </c>
      <c r="G247" s="2" t="s">
        <v>710</v>
      </c>
      <c r="H247" s="5">
        <v>300</v>
      </c>
      <c r="I247">
        <v>5000</v>
      </c>
      <c r="J247" s="27">
        <f t="shared" si="23"/>
        <v>4700</v>
      </c>
      <c r="K247" s="3">
        <v>4750</v>
      </c>
      <c r="L247" s="29">
        <f t="shared" si="24"/>
        <v>250</v>
      </c>
      <c r="M247" s="30">
        <v>0</v>
      </c>
      <c r="N247" s="31">
        <f t="shared" si="25"/>
        <v>0</v>
      </c>
      <c r="O247" s="32">
        <v>10</v>
      </c>
      <c r="P247" s="29">
        <f t="shared" si="26"/>
        <v>470</v>
      </c>
      <c r="Q247" s="31">
        <f t="shared" si="27"/>
        <v>10</v>
      </c>
      <c r="T247" s="3">
        <v>4750</v>
      </c>
      <c r="U247" s="4">
        <v>4450</v>
      </c>
      <c r="V247" s="4">
        <f t="shared" si="28"/>
        <v>-50</v>
      </c>
    </row>
    <row r="248" spans="2:22" x14ac:dyDescent="0.25">
      <c r="B248" s="1">
        <v>169</v>
      </c>
      <c r="C248" s="7">
        <v>15620106</v>
      </c>
      <c r="D248" s="2" t="s">
        <v>235</v>
      </c>
      <c r="E248" s="2" t="s">
        <v>599</v>
      </c>
      <c r="F248" s="2">
        <v>7021928012</v>
      </c>
      <c r="G248" s="2" t="s">
        <v>710</v>
      </c>
      <c r="H248" s="5">
        <v>300</v>
      </c>
      <c r="I248">
        <v>5000</v>
      </c>
      <c r="J248" s="27">
        <f t="shared" si="23"/>
        <v>4700</v>
      </c>
      <c r="K248" s="3">
        <v>4750</v>
      </c>
      <c r="L248" s="29">
        <f t="shared" si="24"/>
        <v>250</v>
      </c>
      <c r="M248" s="30">
        <v>0</v>
      </c>
      <c r="N248" s="31">
        <f t="shared" si="25"/>
        <v>0</v>
      </c>
      <c r="O248" s="32">
        <v>10</v>
      </c>
      <c r="P248" s="29">
        <f t="shared" si="26"/>
        <v>470</v>
      </c>
      <c r="Q248" s="31">
        <f t="shared" si="27"/>
        <v>10</v>
      </c>
      <c r="T248" s="3">
        <v>4750</v>
      </c>
      <c r="U248" s="4">
        <v>4450</v>
      </c>
      <c r="V248" s="4">
        <f t="shared" si="28"/>
        <v>-50</v>
      </c>
    </row>
    <row r="249" spans="2:22" x14ac:dyDescent="0.25">
      <c r="B249" s="1">
        <v>170</v>
      </c>
      <c r="C249" s="7">
        <v>16985961</v>
      </c>
      <c r="D249" s="2" t="s">
        <v>236</v>
      </c>
      <c r="E249" s="2" t="s">
        <v>595</v>
      </c>
      <c r="F249" s="2">
        <v>7068809</v>
      </c>
      <c r="G249" s="2" t="s">
        <v>747</v>
      </c>
      <c r="H249" s="5">
        <v>300</v>
      </c>
      <c r="I249">
        <v>5000</v>
      </c>
      <c r="J249" s="27">
        <f t="shared" si="23"/>
        <v>4700</v>
      </c>
      <c r="K249" s="3">
        <v>500</v>
      </c>
      <c r="L249" s="29">
        <f t="shared" si="24"/>
        <v>4500</v>
      </c>
      <c r="M249" s="30">
        <v>0</v>
      </c>
      <c r="N249" s="31">
        <f t="shared" si="25"/>
        <v>0</v>
      </c>
      <c r="O249" s="32">
        <v>10</v>
      </c>
      <c r="P249" s="29">
        <f t="shared" si="26"/>
        <v>470</v>
      </c>
      <c r="Q249" s="31">
        <f t="shared" si="27"/>
        <v>1</v>
      </c>
      <c r="T249" s="3">
        <v>500</v>
      </c>
      <c r="U249" s="4"/>
      <c r="V249" s="4">
        <f t="shared" si="28"/>
        <v>4400</v>
      </c>
    </row>
    <row r="250" spans="2:22" x14ac:dyDescent="0.25">
      <c r="B250" s="1">
        <v>171</v>
      </c>
      <c r="C250" s="7">
        <v>16985961</v>
      </c>
      <c r="D250" s="2" t="s">
        <v>236</v>
      </c>
      <c r="E250" s="2" t="s">
        <v>595</v>
      </c>
      <c r="F250" s="2">
        <v>7068809</v>
      </c>
      <c r="G250" s="2" t="s">
        <v>747</v>
      </c>
      <c r="H250" s="5"/>
      <c r="I250">
        <v>5000</v>
      </c>
      <c r="J250" s="27">
        <f t="shared" si="23"/>
        <v>5000</v>
      </c>
      <c r="K250" s="3">
        <v>500</v>
      </c>
      <c r="L250" s="29">
        <f t="shared" si="24"/>
        <v>4500</v>
      </c>
      <c r="M250" s="30">
        <v>0</v>
      </c>
      <c r="N250" s="31">
        <f t="shared" si="25"/>
        <v>0</v>
      </c>
      <c r="O250" s="32">
        <v>10</v>
      </c>
      <c r="P250" s="29">
        <f t="shared" si="26"/>
        <v>500</v>
      </c>
      <c r="Q250" s="31">
        <f t="shared" si="27"/>
        <v>1</v>
      </c>
      <c r="T250" s="3">
        <v>500</v>
      </c>
      <c r="U250" s="4"/>
      <c r="V250" s="4">
        <f t="shared" ref="V250:V281" si="29">J250-H250-U250</f>
        <v>5000</v>
      </c>
    </row>
    <row r="251" spans="2:22" x14ac:dyDescent="0.25">
      <c r="B251" s="1">
        <v>172</v>
      </c>
      <c r="C251" s="7">
        <v>12851685</v>
      </c>
      <c r="D251" s="2" t="s">
        <v>237</v>
      </c>
      <c r="E251" s="2" t="s">
        <v>601</v>
      </c>
      <c r="F251" s="2">
        <v>5801431</v>
      </c>
      <c r="G251" s="2" t="s">
        <v>748</v>
      </c>
      <c r="H251" s="5">
        <v>300</v>
      </c>
      <c r="I251">
        <v>5000</v>
      </c>
      <c r="J251" s="27">
        <f t="shared" si="23"/>
        <v>4700</v>
      </c>
      <c r="K251" s="3">
        <v>500</v>
      </c>
      <c r="L251" s="29">
        <f t="shared" si="24"/>
        <v>4500</v>
      </c>
      <c r="M251" s="30">
        <v>0</v>
      </c>
      <c r="N251" s="31">
        <f t="shared" si="25"/>
        <v>0</v>
      </c>
      <c r="O251" s="32">
        <v>10</v>
      </c>
      <c r="P251" s="29">
        <f t="shared" si="26"/>
        <v>470</v>
      </c>
      <c r="Q251" s="31">
        <f t="shared" si="27"/>
        <v>1</v>
      </c>
      <c r="T251" s="3">
        <v>500</v>
      </c>
      <c r="U251" s="4"/>
      <c r="V251" s="4">
        <f t="shared" si="29"/>
        <v>4400</v>
      </c>
    </row>
    <row r="252" spans="2:22" x14ac:dyDescent="0.25">
      <c r="B252" s="1">
        <v>172</v>
      </c>
      <c r="C252" s="7">
        <v>15098129</v>
      </c>
      <c r="D252" s="2" t="s">
        <v>558</v>
      </c>
      <c r="E252" s="2" t="s">
        <v>599</v>
      </c>
      <c r="F252" s="2">
        <v>5801431</v>
      </c>
      <c r="G252" s="2" t="s">
        <v>748</v>
      </c>
      <c r="H252" s="5">
        <v>300</v>
      </c>
      <c r="I252">
        <v>5000</v>
      </c>
      <c r="J252" s="27">
        <f t="shared" si="23"/>
        <v>4450</v>
      </c>
      <c r="K252" s="3">
        <v>475</v>
      </c>
      <c r="L252" s="29">
        <f t="shared" si="24"/>
        <v>4275</v>
      </c>
      <c r="M252" s="30">
        <v>0.05</v>
      </c>
      <c r="N252" s="31">
        <f t="shared" si="25"/>
        <v>250</v>
      </c>
      <c r="O252" s="32">
        <v>10</v>
      </c>
      <c r="P252" s="29">
        <f t="shared" si="26"/>
        <v>445</v>
      </c>
      <c r="Q252" s="31">
        <f t="shared" si="27"/>
        <v>1</v>
      </c>
      <c r="T252" s="3">
        <v>475</v>
      </c>
      <c r="U252" s="4"/>
      <c r="V252" s="4">
        <f t="shared" si="29"/>
        <v>4150</v>
      </c>
    </row>
    <row r="253" spans="2:22" x14ac:dyDescent="0.25">
      <c r="B253" s="1">
        <v>173</v>
      </c>
      <c r="C253" s="7">
        <v>15452899</v>
      </c>
      <c r="D253" s="2" t="s">
        <v>238</v>
      </c>
      <c r="E253" s="2" t="s">
        <v>599</v>
      </c>
      <c r="F253" s="2">
        <v>2638360</v>
      </c>
      <c r="G253" s="2" t="s">
        <v>644</v>
      </c>
      <c r="H253" s="5">
        <v>300</v>
      </c>
      <c r="I253">
        <v>5000</v>
      </c>
      <c r="J253" s="27">
        <f t="shared" si="23"/>
        <v>4700</v>
      </c>
      <c r="K253" s="3">
        <v>500</v>
      </c>
      <c r="L253" s="29">
        <f t="shared" si="24"/>
        <v>4500</v>
      </c>
      <c r="M253" s="30">
        <v>0</v>
      </c>
      <c r="N253" s="31">
        <f t="shared" si="25"/>
        <v>0</v>
      </c>
      <c r="O253" s="32">
        <v>10</v>
      </c>
      <c r="P253" s="29">
        <f t="shared" si="26"/>
        <v>470</v>
      </c>
      <c r="Q253" s="31">
        <f t="shared" si="27"/>
        <v>1</v>
      </c>
      <c r="T253" s="3">
        <v>500</v>
      </c>
      <c r="U253" s="4"/>
      <c r="V253" s="4">
        <f t="shared" si="29"/>
        <v>4400</v>
      </c>
    </row>
    <row r="254" spans="2:22" x14ac:dyDescent="0.25">
      <c r="B254" s="1">
        <v>174</v>
      </c>
      <c r="C254" s="7">
        <v>14359991</v>
      </c>
      <c r="D254" s="2" t="s">
        <v>239</v>
      </c>
      <c r="E254" s="2" t="s">
        <v>605</v>
      </c>
      <c r="F254" s="2">
        <v>3497743012</v>
      </c>
      <c r="G254" s="2" t="s">
        <v>749</v>
      </c>
      <c r="H254" s="5">
        <v>300</v>
      </c>
      <c r="I254">
        <v>5000</v>
      </c>
      <c r="J254" s="27">
        <f t="shared" si="23"/>
        <v>4700</v>
      </c>
      <c r="K254" s="3">
        <v>500</v>
      </c>
      <c r="L254" s="29">
        <f t="shared" si="24"/>
        <v>4500</v>
      </c>
      <c r="M254" s="30">
        <v>0</v>
      </c>
      <c r="N254" s="31">
        <f t="shared" si="25"/>
        <v>0</v>
      </c>
      <c r="O254" s="32">
        <v>10</v>
      </c>
      <c r="P254" s="29">
        <f t="shared" si="26"/>
        <v>470</v>
      </c>
      <c r="Q254" s="31">
        <f t="shared" si="27"/>
        <v>1</v>
      </c>
      <c r="T254" s="3">
        <v>500</v>
      </c>
      <c r="U254" s="4">
        <v>200</v>
      </c>
      <c r="V254" s="4">
        <f t="shared" si="29"/>
        <v>4200</v>
      </c>
    </row>
    <row r="255" spans="2:22" x14ac:dyDescent="0.25">
      <c r="B255" s="1">
        <v>175</v>
      </c>
      <c r="C255" s="7">
        <v>15196522</v>
      </c>
      <c r="D255" s="2" t="s">
        <v>240</v>
      </c>
      <c r="E255" s="2" t="s">
        <v>599</v>
      </c>
      <c r="F255" s="2">
        <v>7027136014</v>
      </c>
      <c r="G255" s="2" t="s">
        <v>750</v>
      </c>
      <c r="H255" s="5">
        <v>300</v>
      </c>
      <c r="I255">
        <v>5000</v>
      </c>
      <c r="J255" s="27">
        <f t="shared" si="23"/>
        <v>4450</v>
      </c>
      <c r="K255" s="3">
        <v>475</v>
      </c>
      <c r="L255" s="29">
        <f t="shared" si="24"/>
        <v>4275</v>
      </c>
      <c r="M255" s="30">
        <v>0.05</v>
      </c>
      <c r="N255" s="31">
        <f t="shared" si="25"/>
        <v>250</v>
      </c>
      <c r="O255" s="32">
        <v>10</v>
      </c>
      <c r="P255" s="29">
        <f t="shared" si="26"/>
        <v>445</v>
      </c>
      <c r="Q255" s="31">
        <f t="shared" si="27"/>
        <v>1</v>
      </c>
      <c r="T255" s="3">
        <v>475</v>
      </c>
      <c r="U255" s="4"/>
      <c r="V255" s="4">
        <f t="shared" si="29"/>
        <v>4150</v>
      </c>
    </row>
    <row r="256" spans="2:22" x14ac:dyDescent="0.25">
      <c r="B256" s="1">
        <v>175</v>
      </c>
      <c r="C256" s="7">
        <v>15544453</v>
      </c>
      <c r="D256" s="2" t="s">
        <v>241</v>
      </c>
      <c r="E256" s="2" t="s">
        <v>602</v>
      </c>
      <c r="F256" s="2">
        <v>7027136014</v>
      </c>
      <c r="G256" s="2" t="s">
        <v>750</v>
      </c>
      <c r="H256" s="5">
        <v>300</v>
      </c>
      <c r="I256">
        <v>5000</v>
      </c>
      <c r="J256" s="27">
        <f t="shared" si="23"/>
        <v>4700</v>
      </c>
      <c r="K256" s="3">
        <v>4750</v>
      </c>
      <c r="L256" s="29">
        <f t="shared" si="24"/>
        <v>250</v>
      </c>
      <c r="M256" s="30">
        <v>0</v>
      </c>
      <c r="N256" s="31">
        <f t="shared" si="25"/>
        <v>0</v>
      </c>
      <c r="O256" s="32">
        <v>10</v>
      </c>
      <c r="P256" s="29">
        <f t="shared" si="26"/>
        <v>470</v>
      </c>
      <c r="Q256" s="31">
        <f t="shared" si="27"/>
        <v>10</v>
      </c>
      <c r="T256" s="3">
        <v>4750</v>
      </c>
      <c r="U256" s="4"/>
      <c r="V256" s="4">
        <f t="shared" si="29"/>
        <v>4400</v>
      </c>
    </row>
    <row r="257" spans="2:22" x14ac:dyDescent="0.25">
      <c r="B257" s="1">
        <v>176</v>
      </c>
      <c r="C257" s="7">
        <v>15492681</v>
      </c>
      <c r="D257" s="2" t="s">
        <v>242</v>
      </c>
      <c r="E257" s="2" t="s">
        <v>599</v>
      </c>
      <c r="F257" s="2">
        <v>4258782</v>
      </c>
      <c r="G257" s="2" t="s">
        <v>751</v>
      </c>
      <c r="H257" s="5"/>
      <c r="I257">
        <v>5000</v>
      </c>
      <c r="J257" s="27">
        <f t="shared" si="23"/>
        <v>5000</v>
      </c>
      <c r="K257" s="3">
        <v>500</v>
      </c>
      <c r="L257" s="29">
        <f t="shared" si="24"/>
        <v>4500</v>
      </c>
      <c r="M257" s="30">
        <v>0</v>
      </c>
      <c r="N257" s="31">
        <f t="shared" si="25"/>
        <v>0</v>
      </c>
      <c r="O257" s="32">
        <v>10</v>
      </c>
      <c r="P257" s="29">
        <f t="shared" si="26"/>
        <v>500</v>
      </c>
      <c r="Q257" s="31">
        <f t="shared" si="27"/>
        <v>1</v>
      </c>
      <c r="T257" s="3">
        <v>500</v>
      </c>
      <c r="U257" s="4"/>
      <c r="V257" s="4">
        <f t="shared" si="29"/>
        <v>5000</v>
      </c>
    </row>
    <row r="258" spans="2:22" x14ac:dyDescent="0.25">
      <c r="B258" s="1">
        <v>177</v>
      </c>
      <c r="C258" s="7">
        <v>15134380</v>
      </c>
      <c r="D258" s="2" t="s">
        <v>243</v>
      </c>
      <c r="E258" s="2" t="s">
        <v>605</v>
      </c>
      <c r="F258" s="2">
        <v>6874188</v>
      </c>
      <c r="G258" s="2" t="s">
        <v>752</v>
      </c>
      <c r="H258" s="5">
        <v>300</v>
      </c>
      <c r="I258">
        <v>5000</v>
      </c>
      <c r="J258" s="27">
        <f t="shared" si="23"/>
        <v>4700</v>
      </c>
      <c r="K258" s="3">
        <v>500</v>
      </c>
      <c r="L258" s="29">
        <f t="shared" si="24"/>
        <v>4500</v>
      </c>
      <c r="M258" s="30">
        <v>0</v>
      </c>
      <c r="N258" s="31">
        <f t="shared" si="25"/>
        <v>0</v>
      </c>
      <c r="O258" s="32">
        <v>10</v>
      </c>
      <c r="P258" s="29">
        <f t="shared" si="26"/>
        <v>470</v>
      </c>
      <c r="Q258" s="31">
        <f t="shared" si="27"/>
        <v>1</v>
      </c>
      <c r="T258" s="3">
        <v>500</v>
      </c>
      <c r="U258" s="4"/>
      <c r="V258" s="4">
        <f t="shared" si="29"/>
        <v>4400</v>
      </c>
    </row>
    <row r="259" spans="2:22" x14ac:dyDescent="0.25">
      <c r="B259" s="1">
        <v>177</v>
      </c>
      <c r="C259" s="7">
        <v>16316528</v>
      </c>
      <c r="D259" s="2" t="s">
        <v>244</v>
      </c>
      <c r="E259" s="2" t="s">
        <v>604</v>
      </c>
      <c r="F259" s="2">
        <v>6874188</v>
      </c>
      <c r="G259" s="2" t="s">
        <v>752</v>
      </c>
      <c r="H259" s="5">
        <v>300</v>
      </c>
      <c r="I259">
        <v>5000</v>
      </c>
      <c r="J259" s="27">
        <f t="shared" ref="J259:J322" si="30">I259-H259-N259</f>
        <v>4450</v>
      </c>
      <c r="K259" s="3">
        <v>475</v>
      </c>
      <c r="L259" s="29">
        <f t="shared" ref="L259:L322" si="31">(I259-N259)-K259</f>
        <v>4275</v>
      </c>
      <c r="M259" s="30">
        <v>0.05</v>
      </c>
      <c r="N259" s="31">
        <f t="shared" ref="N259:N322" si="32">I259*M259</f>
        <v>250</v>
      </c>
      <c r="O259" s="32">
        <v>10</v>
      </c>
      <c r="P259" s="29">
        <f t="shared" ref="P259:P322" si="33">J259/O259</f>
        <v>445</v>
      </c>
      <c r="Q259" s="31">
        <f t="shared" ref="Q259:Q322" si="34">INT(K259/P259)</f>
        <v>1</v>
      </c>
      <c r="T259" s="3">
        <v>475</v>
      </c>
      <c r="U259" s="4"/>
      <c r="V259" s="4">
        <f t="shared" si="29"/>
        <v>4150</v>
      </c>
    </row>
    <row r="260" spans="2:22" x14ac:dyDescent="0.25">
      <c r="B260" s="1">
        <v>178</v>
      </c>
      <c r="C260" s="7">
        <v>14822125</v>
      </c>
      <c r="D260" s="2" t="s">
        <v>245</v>
      </c>
      <c r="E260" s="2" t="s">
        <v>603</v>
      </c>
      <c r="F260" s="2">
        <v>6047998</v>
      </c>
      <c r="G260" s="2" t="s">
        <v>753</v>
      </c>
      <c r="H260" s="5">
        <v>300</v>
      </c>
      <c r="I260">
        <v>5000</v>
      </c>
      <c r="J260" s="27">
        <f t="shared" si="30"/>
        <v>4700</v>
      </c>
      <c r="K260" s="3">
        <v>500</v>
      </c>
      <c r="L260" s="29">
        <f t="shared" si="31"/>
        <v>4500</v>
      </c>
      <c r="M260" s="30">
        <v>0</v>
      </c>
      <c r="N260" s="31">
        <f t="shared" si="32"/>
        <v>0</v>
      </c>
      <c r="O260" s="32">
        <v>10</v>
      </c>
      <c r="P260" s="29">
        <f t="shared" si="33"/>
        <v>470</v>
      </c>
      <c r="Q260" s="31">
        <f t="shared" si="34"/>
        <v>1</v>
      </c>
      <c r="T260" s="3">
        <v>500</v>
      </c>
      <c r="U260" s="4"/>
      <c r="V260" s="4">
        <f t="shared" si="29"/>
        <v>4400</v>
      </c>
    </row>
    <row r="261" spans="2:22" x14ac:dyDescent="0.25">
      <c r="B261" s="1">
        <v>178</v>
      </c>
      <c r="C261" s="7">
        <v>14783433</v>
      </c>
      <c r="D261" s="2" t="s">
        <v>246</v>
      </c>
      <c r="E261" s="2" t="s">
        <v>605</v>
      </c>
      <c r="F261" s="2">
        <v>6047998</v>
      </c>
      <c r="G261" s="2" t="s">
        <v>753</v>
      </c>
      <c r="H261" s="5">
        <v>300</v>
      </c>
      <c r="I261">
        <v>5000</v>
      </c>
      <c r="J261" s="27">
        <f t="shared" si="30"/>
        <v>4450</v>
      </c>
      <c r="K261" s="3">
        <v>475</v>
      </c>
      <c r="L261" s="29">
        <f t="shared" si="31"/>
        <v>4275</v>
      </c>
      <c r="M261" s="30">
        <v>0.05</v>
      </c>
      <c r="N261" s="31">
        <f t="shared" si="32"/>
        <v>250</v>
      </c>
      <c r="O261" s="32">
        <v>10</v>
      </c>
      <c r="P261" s="29">
        <f t="shared" si="33"/>
        <v>445</v>
      </c>
      <c r="Q261" s="31">
        <f t="shared" si="34"/>
        <v>1</v>
      </c>
      <c r="T261" s="3">
        <v>475</v>
      </c>
      <c r="U261" s="4"/>
      <c r="V261" s="4">
        <f t="shared" si="29"/>
        <v>4150</v>
      </c>
    </row>
    <row r="262" spans="2:22" x14ac:dyDescent="0.25">
      <c r="B262" s="1">
        <v>179</v>
      </c>
      <c r="C262" s="7">
        <v>13695692</v>
      </c>
      <c r="D262" s="2" t="s">
        <v>247</v>
      </c>
      <c r="E262" s="2" t="s">
        <v>603</v>
      </c>
      <c r="F262" s="2">
        <v>7000849</v>
      </c>
      <c r="G262" s="2" t="s">
        <v>754</v>
      </c>
      <c r="H262" s="5"/>
      <c r="I262">
        <v>5000</v>
      </c>
      <c r="J262" s="27">
        <f t="shared" si="30"/>
        <v>5000</v>
      </c>
      <c r="K262" s="3">
        <v>500</v>
      </c>
      <c r="L262" s="29">
        <f t="shared" si="31"/>
        <v>4500</v>
      </c>
      <c r="M262" s="30">
        <v>0</v>
      </c>
      <c r="N262" s="31">
        <f t="shared" si="32"/>
        <v>0</v>
      </c>
      <c r="O262" s="32">
        <v>10</v>
      </c>
      <c r="P262" s="29">
        <f t="shared" si="33"/>
        <v>500</v>
      </c>
      <c r="Q262" s="31">
        <f t="shared" si="34"/>
        <v>1</v>
      </c>
      <c r="T262" s="3">
        <v>500</v>
      </c>
      <c r="U262" s="4"/>
      <c r="V262" s="4">
        <f t="shared" si="29"/>
        <v>5000</v>
      </c>
    </row>
    <row r="263" spans="2:22" x14ac:dyDescent="0.25">
      <c r="B263" s="1">
        <v>179</v>
      </c>
      <c r="C263" s="7">
        <v>15104122</v>
      </c>
      <c r="D263" s="2" t="s">
        <v>248</v>
      </c>
      <c r="E263" s="2" t="s">
        <v>592</v>
      </c>
      <c r="F263" s="2">
        <v>7000849</v>
      </c>
      <c r="G263" s="2" t="s">
        <v>754</v>
      </c>
      <c r="H263" s="5"/>
      <c r="I263">
        <v>5000</v>
      </c>
      <c r="J263" s="27">
        <f t="shared" si="30"/>
        <v>4750</v>
      </c>
      <c r="K263" s="3">
        <v>475</v>
      </c>
      <c r="L263" s="29">
        <f t="shared" si="31"/>
        <v>4275</v>
      </c>
      <c r="M263" s="30">
        <v>0.05</v>
      </c>
      <c r="N263" s="31">
        <f t="shared" si="32"/>
        <v>250</v>
      </c>
      <c r="O263" s="32">
        <v>10</v>
      </c>
      <c r="P263" s="29">
        <f t="shared" si="33"/>
        <v>475</v>
      </c>
      <c r="Q263" s="31">
        <f t="shared" si="34"/>
        <v>1</v>
      </c>
      <c r="T263" s="3">
        <v>475</v>
      </c>
      <c r="U263" s="4"/>
      <c r="V263" s="4">
        <f t="shared" si="29"/>
        <v>4750</v>
      </c>
    </row>
    <row r="264" spans="2:22" x14ac:dyDescent="0.25">
      <c r="B264" s="1">
        <v>180</v>
      </c>
      <c r="C264" s="7">
        <v>14705202</v>
      </c>
      <c r="D264" s="2" t="s">
        <v>249</v>
      </c>
      <c r="E264" s="2" t="s">
        <v>605</v>
      </c>
      <c r="F264" s="2">
        <v>5991093</v>
      </c>
      <c r="G264" s="2" t="s">
        <v>755</v>
      </c>
      <c r="H264" s="5"/>
      <c r="I264">
        <v>5000</v>
      </c>
      <c r="J264" s="27">
        <f t="shared" si="30"/>
        <v>5000</v>
      </c>
      <c r="K264" s="3">
        <v>500</v>
      </c>
      <c r="L264" s="29">
        <f t="shared" si="31"/>
        <v>4500</v>
      </c>
      <c r="M264" s="30">
        <v>0</v>
      </c>
      <c r="N264" s="31">
        <f t="shared" si="32"/>
        <v>0</v>
      </c>
      <c r="O264" s="32">
        <v>10</v>
      </c>
      <c r="P264" s="29">
        <f t="shared" si="33"/>
        <v>500</v>
      </c>
      <c r="Q264" s="31">
        <f t="shared" si="34"/>
        <v>1</v>
      </c>
      <c r="T264" s="3">
        <v>500</v>
      </c>
      <c r="U264" s="4"/>
      <c r="V264" s="4">
        <f t="shared" si="29"/>
        <v>5000</v>
      </c>
    </row>
    <row r="265" spans="2:22" x14ac:dyDescent="0.25">
      <c r="B265" s="1">
        <v>181</v>
      </c>
      <c r="C265" s="7">
        <v>13791038</v>
      </c>
      <c r="D265" s="2" t="s">
        <v>250</v>
      </c>
      <c r="E265" s="2" t="s">
        <v>603</v>
      </c>
      <c r="F265" s="2">
        <v>4885323</v>
      </c>
      <c r="G265" s="2" t="s">
        <v>756</v>
      </c>
      <c r="H265" s="5">
        <v>300</v>
      </c>
      <c r="I265">
        <v>5000</v>
      </c>
      <c r="J265" s="27">
        <f t="shared" si="30"/>
        <v>4700</v>
      </c>
      <c r="K265" s="3">
        <v>500</v>
      </c>
      <c r="L265" s="29">
        <f t="shared" si="31"/>
        <v>4500</v>
      </c>
      <c r="M265" s="30">
        <v>0</v>
      </c>
      <c r="N265" s="31">
        <f t="shared" si="32"/>
        <v>0</v>
      </c>
      <c r="O265" s="32">
        <v>10</v>
      </c>
      <c r="P265" s="29">
        <f t="shared" si="33"/>
        <v>470</v>
      </c>
      <c r="Q265" s="31">
        <f t="shared" si="34"/>
        <v>1</v>
      </c>
      <c r="T265" s="3">
        <v>500</v>
      </c>
      <c r="U265" s="4"/>
      <c r="V265" s="4">
        <f t="shared" si="29"/>
        <v>4400</v>
      </c>
    </row>
    <row r="266" spans="2:22" x14ac:dyDescent="0.25">
      <c r="B266" s="1">
        <v>181</v>
      </c>
      <c r="C266" s="7">
        <v>14907312</v>
      </c>
      <c r="D266" s="2" t="s">
        <v>251</v>
      </c>
      <c r="E266" s="2" t="s">
        <v>605</v>
      </c>
      <c r="F266" s="2">
        <v>4885324</v>
      </c>
      <c r="G266" s="2" t="s">
        <v>756</v>
      </c>
      <c r="H266" s="5">
        <v>300</v>
      </c>
      <c r="I266">
        <v>5000</v>
      </c>
      <c r="J266" s="27">
        <f t="shared" si="30"/>
        <v>4450</v>
      </c>
      <c r="K266" s="3">
        <v>475</v>
      </c>
      <c r="L266" s="29">
        <f t="shared" si="31"/>
        <v>4275</v>
      </c>
      <c r="M266" s="30">
        <v>0.05</v>
      </c>
      <c r="N266" s="31">
        <f t="shared" si="32"/>
        <v>250</v>
      </c>
      <c r="O266" s="32">
        <v>10</v>
      </c>
      <c r="P266" s="29">
        <f t="shared" si="33"/>
        <v>445</v>
      </c>
      <c r="Q266" s="31">
        <f t="shared" si="34"/>
        <v>1</v>
      </c>
      <c r="T266" s="3">
        <v>475</v>
      </c>
      <c r="U266" s="4"/>
      <c r="V266" s="4">
        <f t="shared" si="29"/>
        <v>4150</v>
      </c>
    </row>
    <row r="267" spans="2:22" x14ac:dyDescent="0.25">
      <c r="B267" s="1">
        <v>182</v>
      </c>
      <c r="C267" s="7">
        <v>10031184</v>
      </c>
      <c r="D267" s="2" t="s">
        <v>252</v>
      </c>
      <c r="E267" s="2" t="s">
        <v>593</v>
      </c>
      <c r="F267" s="2">
        <v>4947967014</v>
      </c>
      <c r="G267" s="2" t="s">
        <v>757</v>
      </c>
      <c r="H267" s="5">
        <v>300</v>
      </c>
      <c r="I267">
        <v>5000</v>
      </c>
      <c r="J267" s="27">
        <f t="shared" si="30"/>
        <v>4700</v>
      </c>
      <c r="K267" s="3">
        <v>500</v>
      </c>
      <c r="L267" s="29">
        <f t="shared" si="31"/>
        <v>4500</v>
      </c>
      <c r="M267" s="30">
        <v>0</v>
      </c>
      <c r="N267" s="31">
        <f t="shared" si="32"/>
        <v>0</v>
      </c>
      <c r="O267" s="32">
        <v>10</v>
      </c>
      <c r="P267" s="29">
        <f t="shared" si="33"/>
        <v>470</v>
      </c>
      <c r="Q267" s="31">
        <f t="shared" si="34"/>
        <v>1</v>
      </c>
      <c r="T267" s="3">
        <v>500</v>
      </c>
      <c r="U267" s="4"/>
      <c r="V267" s="4">
        <f t="shared" si="29"/>
        <v>4400</v>
      </c>
    </row>
    <row r="268" spans="2:22" x14ac:dyDescent="0.25">
      <c r="B268" s="1">
        <v>182</v>
      </c>
      <c r="C268" s="7">
        <v>14782165</v>
      </c>
      <c r="D268" s="2" t="s">
        <v>253</v>
      </c>
      <c r="E268" s="2" t="s">
        <v>604</v>
      </c>
      <c r="F268" s="2">
        <v>4947967015</v>
      </c>
      <c r="G268" s="2" t="s">
        <v>757</v>
      </c>
      <c r="H268" s="5">
        <v>300</v>
      </c>
      <c r="I268">
        <v>5000</v>
      </c>
      <c r="J268" s="27">
        <f t="shared" si="30"/>
        <v>4450</v>
      </c>
      <c r="K268" s="3">
        <v>475</v>
      </c>
      <c r="L268" s="29">
        <f t="shared" si="31"/>
        <v>4275</v>
      </c>
      <c r="M268" s="30">
        <v>0.05</v>
      </c>
      <c r="N268" s="31">
        <f t="shared" si="32"/>
        <v>250</v>
      </c>
      <c r="O268" s="32">
        <v>10</v>
      </c>
      <c r="P268" s="29">
        <f t="shared" si="33"/>
        <v>445</v>
      </c>
      <c r="Q268" s="31">
        <f t="shared" si="34"/>
        <v>1</v>
      </c>
      <c r="T268" s="3">
        <v>475</v>
      </c>
      <c r="U268" s="4"/>
      <c r="V268" s="4">
        <f t="shared" si="29"/>
        <v>4150</v>
      </c>
    </row>
    <row r="269" spans="2:22" x14ac:dyDescent="0.25">
      <c r="B269" s="1">
        <v>183</v>
      </c>
      <c r="C269" s="7">
        <v>13788269</v>
      </c>
      <c r="D269" s="2" t="s">
        <v>254</v>
      </c>
      <c r="E269" s="2" t="s">
        <v>605</v>
      </c>
      <c r="F269" s="2">
        <v>9241918</v>
      </c>
      <c r="G269" s="2" t="s">
        <v>683</v>
      </c>
      <c r="H269" s="5">
        <v>300</v>
      </c>
      <c r="I269">
        <v>5000</v>
      </c>
      <c r="J269" s="27">
        <f t="shared" si="30"/>
        <v>4700</v>
      </c>
      <c r="K269" s="3">
        <v>500</v>
      </c>
      <c r="L269" s="29">
        <f t="shared" si="31"/>
        <v>4500</v>
      </c>
      <c r="M269" s="30">
        <v>0</v>
      </c>
      <c r="N269" s="31">
        <f t="shared" si="32"/>
        <v>0</v>
      </c>
      <c r="O269" s="32">
        <v>10</v>
      </c>
      <c r="P269" s="29">
        <f t="shared" si="33"/>
        <v>470</v>
      </c>
      <c r="Q269" s="31">
        <f t="shared" si="34"/>
        <v>1</v>
      </c>
      <c r="T269" s="3">
        <v>500</v>
      </c>
      <c r="U269" s="4"/>
      <c r="V269" s="4">
        <f t="shared" si="29"/>
        <v>4400</v>
      </c>
    </row>
    <row r="270" spans="2:22" x14ac:dyDescent="0.25">
      <c r="B270" s="1">
        <v>183</v>
      </c>
      <c r="C270" s="7">
        <v>16134747</v>
      </c>
      <c r="D270" s="2" t="s">
        <v>255</v>
      </c>
      <c r="E270" s="2" t="s">
        <v>594</v>
      </c>
      <c r="F270" s="2">
        <v>9241918</v>
      </c>
      <c r="G270" s="2" t="s">
        <v>683</v>
      </c>
      <c r="H270" s="5">
        <v>300</v>
      </c>
      <c r="I270">
        <v>5000</v>
      </c>
      <c r="J270" s="27">
        <f t="shared" si="30"/>
        <v>4450</v>
      </c>
      <c r="K270" s="3">
        <v>475</v>
      </c>
      <c r="L270" s="29">
        <f t="shared" si="31"/>
        <v>4275</v>
      </c>
      <c r="M270" s="30">
        <v>0.05</v>
      </c>
      <c r="N270" s="31">
        <f t="shared" si="32"/>
        <v>250</v>
      </c>
      <c r="O270" s="32">
        <v>10</v>
      </c>
      <c r="P270" s="29">
        <f t="shared" si="33"/>
        <v>445</v>
      </c>
      <c r="Q270" s="31">
        <f t="shared" si="34"/>
        <v>1</v>
      </c>
      <c r="T270" s="3">
        <v>475</v>
      </c>
      <c r="U270" s="4"/>
      <c r="V270" s="4">
        <f t="shared" si="29"/>
        <v>4150</v>
      </c>
    </row>
    <row r="271" spans="2:22" x14ac:dyDescent="0.25">
      <c r="B271" s="1">
        <v>184</v>
      </c>
      <c r="C271" s="7">
        <v>13788269</v>
      </c>
      <c r="D271" s="2" t="s">
        <v>254</v>
      </c>
      <c r="E271" s="2" t="s">
        <v>605</v>
      </c>
      <c r="F271" s="2">
        <v>9241918</v>
      </c>
      <c r="G271" s="2" t="s">
        <v>683</v>
      </c>
      <c r="H271" s="5"/>
      <c r="I271">
        <v>5000</v>
      </c>
      <c r="J271" s="27">
        <f t="shared" si="30"/>
        <v>5000</v>
      </c>
      <c r="K271" s="3">
        <v>500</v>
      </c>
      <c r="L271" s="29">
        <f t="shared" si="31"/>
        <v>4500</v>
      </c>
      <c r="M271" s="30">
        <v>0</v>
      </c>
      <c r="N271" s="31">
        <f t="shared" si="32"/>
        <v>0</v>
      </c>
      <c r="O271" s="32">
        <v>10</v>
      </c>
      <c r="P271" s="29">
        <f t="shared" si="33"/>
        <v>500</v>
      </c>
      <c r="Q271" s="31">
        <f t="shared" si="34"/>
        <v>1</v>
      </c>
      <c r="T271" s="3">
        <v>500</v>
      </c>
      <c r="U271" s="4"/>
      <c r="V271" s="4">
        <f t="shared" si="29"/>
        <v>5000</v>
      </c>
    </row>
    <row r="272" spans="2:22" x14ac:dyDescent="0.25">
      <c r="B272" s="1">
        <v>184</v>
      </c>
      <c r="C272" s="7">
        <v>16134747</v>
      </c>
      <c r="D272" s="2" t="s">
        <v>255</v>
      </c>
      <c r="E272" s="2" t="s">
        <v>594</v>
      </c>
      <c r="F272" s="2">
        <v>9241918</v>
      </c>
      <c r="G272" s="2" t="s">
        <v>683</v>
      </c>
      <c r="H272" s="5"/>
      <c r="I272">
        <v>5000</v>
      </c>
      <c r="J272" s="27">
        <f t="shared" si="30"/>
        <v>4750</v>
      </c>
      <c r="K272" s="3">
        <v>475</v>
      </c>
      <c r="L272" s="29">
        <f t="shared" si="31"/>
        <v>4275</v>
      </c>
      <c r="M272" s="30">
        <v>0.05</v>
      </c>
      <c r="N272" s="31">
        <f t="shared" si="32"/>
        <v>250</v>
      </c>
      <c r="O272" s="32">
        <v>10</v>
      </c>
      <c r="P272" s="29">
        <f t="shared" si="33"/>
        <v>475</v>
      </c>
      <c r="Q272" s="31">
        <f t="shared" si="34"/>
        <v>1</v>
      </c>
      <c r="T272" s="3">
        <v>475</v>
      </c>
      <c r="U272" s="4"/>
      <c r="V272" s="4">
        <f t="shared" si="29"/>
        <v>4750</v>
      </c>
    </row>
    <row r="273" spans="2:22" x14ac:dyDescent="0.25">
      <c r="B273" s="1">
        <v>185</v>
      </c>
      <c r="C273" s="7">
        <v>14152937</v>
      </c>
      <c r="D273" s="2" t="s">
        <v>256</v>
      </c>
      <c r="E273" s="2" t="s">
        <v>605</v>
      </c>
      <c r="F273" s="2">
        <v>9216980</v>
      </c>
      <c r="G273" s="2" t="s">
        <v>758</v>
      </c>
      <c r="H273" s="5"/>
      <c r="I273">
        <v>5000</v>
      </c>
      <c r="J273" s="27">
        <f t="shared" si="30"/>
        <v>5000</v>
      </c>
      <c r="K273" s="3">
        <v>4750</v>
      </c>
      <c r="L273" s="29">
        <f t="shared" si="31"/>
        <v>250</v>
      </c>
      <c r="M273" s="30">
        <v>0</v>
      </c>
      <c r="N273" s="31">
        <f t="shared" si="32"/>
        <v>0</v>
      </c>
      <c r="O273" s="32">
        <v>10</v>
      </c>
      <c r="P273" s="29">
        <f t="shared" si="33"/>
        <v>500</v>
      </c>
      <c r="Q273" s="31">
        <f t="shared" si="34"/>
        <v>9</v>
      </c>
      <c r="T273" s="3">
        <v>4750</v>
      </c>
      <c r="U273" s="4">
        <v>2750</v>
      </c>
      <c r="V273" s="4">
        <f t="shared" si="29"/>
        <v>2250</v>
      </c>
    </row>
    <row r="274" spans="2:22" x14ac:dyDescent="0.25">
      <c r="B274" s="1">
        <v>186</v>
      </c>
      <c r="C274" s="7">
        <v>16270120</v>
      </c>
      <c r="D274" s="2" t="s">
        <v>257</v>
      </c>
      <c r="E274" s="2" t="s">
        <v>600</v>
      </c>
      <c r="F274" s="2">
        <v>6004686</v>
      </c>
      <c r="G274" s="2" t="s">
        <v>657</v>
      </c>
      <c r="H274" s="5">
        <v>300</v>
      </c>
      <c r="I274">
        <v>5000</v>
      </c>
      <c r="J274" s="27">
        <f t="shared" si="30"/>
        <v>4700</v>
      </c>
      <c r="K274" s="3">
        <v>500</v>
      </c>
      <c r="L274" s="29">
        <f t="shared" si="31"/>
        <v>4500</v>
      </c>
      <c r="M274" s="30">
        <v>0</v>
      </c>
      <c r="N274" s="31">
        <f t="shared" si="32"/>
        <v>0</v>
      </c>
      <c r="O274" s="32">
        <v>10</v>
      </c>
      <c r="P274" s="29">
        <f t="shared" si="33"/>
        <v>470</v>
      </c>
      <c r="Q274" s="31">
        <f t="shared" si="34"/>
        <v>1</v>
      </c>
      <c r="T274" s="3">
        <v>500</v>
      </c>
      <c r="U274" s="4"/>
      <c r="V274" s="4">
        <f t="shared" si="29"/>
        <v>4400</v>
      </c>
    </row>
    <row r="275" spans="2:22" x14ac:dyDescent="0.25">
      <c r="B275" s="1">
        <v>187</v>
      </c>
      <c r="C275" s="7">
        <v>13313222</v>
      </c>
      <c r="D275" s="2" t="s">
        <v>258</v>
      </c>
      <c r="E275" s="2" t="s">
        <v>605</v>
      </c>
      <c r="F275" s="2">
        <v>4872725</v>
      </c>
      <c r="G275" s="2" t="s">
        <v>641</v>
      </c>
      <c r="H275" s="5">
        <v>300</v>
      </c>
      <c r="I275">
        <v>5000</v>
      </c>
      <c r="J275" s="27">
        <f t="shared" si="30"/>
        <v>4700</v>
      </c>
      <c r="K275" s="3">
        <v>4750</v>
      </c>
      <c r="L275" s="29">
        <f t="shared" si="31"/>
        <v>250</v>
      </c>
      <c r="M275" s="30">
        <v>0</v>
      </c>
      <c r="N275" s="31">
        <f t="shared" si="32"/>
        <v>0</v>
      </c>
      <c r="O275" s="32">
        <v>10</v>
      </c>
      <c r="P275" s="29">
        <f t="shared" si="33"/>
        <v>470</v>
      </c>
      <c r="Q275" s="31">
        <f t="shared" si="34"/>
        <v>10</v>
      </c>
      <c r="T275" s="3">
        <v>4750</v>
      </c>
      <c r="U275" s="4">
        <v>4450</v>
      </c>
      <c r="V275" s="4">
        <f t="shared" si="29"/>
        <v>-50</v>
      </c>
    </row>
    <row r="276" spans="2:22" x14ac:dyDescent="0.25">
      <c r="B276" s="1">
        <v>187</v>
      </c>
      <c r="C276" s="7">
        <v>16599331</v>
      </c>
      <c r="D276" s="2" t="s">
        <v>259</v>
      </c>
      <c r="E276" s="2" t="s">
        <v>599</v>
      </c>
      <c r="F276" s="2">
        <v>4872725</v>
      </c>
      <c r="G276" s="2" t="s">
        <v>641</v>
      </c>
      <c r="H276" s="5">
        <v>300</v>
      </c>
      <c r="I276">
        <v>5000</v>
      </c>
      <c r="J276" s="27">
        <f t="shared" si="30"/>
        <v>4700</v>
      </c>
      <c r="K276" s="3">
        <v>4750</v>
      </c>
      <c r="L276" s="29">
        <f t="shared" si="31"/>
        <v>250</v>
      </c>
      <c r="M276" s="30">
        <v>0</v>
      </c>
      <c r="N276" s="31">
        <f t="shared" si="32"/>
        <v>0</v>
      </c>
      <c r="O276" s="32">
        <v>10</v>
      </c>
      <c r="P276" s="29">
        <f t="shared" si="33"/>
        <v>470</v>
      </c>
      <c r="Q276" s="31">
        <f t="shared" si="34"/>
        <v>10</v>
      </c>
      <c r="T276" s="3">
        <v>4750</v>
      </c>
      <c r="U276" s="4">
        <v>4450</v>
      </c>
      <c r="V276" s="4">
        <f t="shared" si="29"/>
        <v>-50</v>
      </c>
    </row>
    <row r="277" spans="2:22" x14ac:dyDescent="0.25">
      <c r="B277" s="1">
        <v>188</v>
      </c>
      <c r="C277" s="7">
        <v>16719370</v>
      </c>
      <c r="D277" s="2" t="s">
        <v>260</v>
      </c>
      <c r="E277" s="2" t="s">
        <v>599</v>
      </c>
      <c r="F277" s="2">
        <v>3492347</v>
      </c>
      <c r="G277" s="2" t="s">
        <v>735</v>
      </c>
      <c r="H277" s="5"/>
      <c r="I277">
        <v>5000</v>
      </c>
      <c r="J277" s="27">
        <f t="shared" si="30"/>
        <v>5000</v>
      </c>
      <c r="K277" s="3">
        <v>500</v>
      </c>
      <c r="L277" s="29">
        <f t="shared" si="31"/>
        <v>4500</v>
      </c>
      <c r="M277" s="30">
        <v>0</v>
      </c>
      <c r="N277" s="31">
        <f t="shared" si="32"/>
        <v>0</v>
      </c>
      <c r="O277" s="32">
        <v>10</v>
      </c>
      <c r="P277" s="29">
        <f t="shared" si="33"/>
        <v>500</v>
      </c>
      <c r="Q277" s="31">
        <f t="shared" si="34"/>
        <v>1</v>
      </c>
      <c r="T277" s="3">
        <v>500</v>
      </c>
      <c r="U277" s="4">
        <v>500</v>
      </c>
      <c r="V277" s="4">
        <f t="shared" si="29"/>
        <v>4500</v>
      </c>
    </row>
    <row r="278" spans="2:22" x14ac:dyDescent="0.25">
      <c r="B278" s="1">
        <v>189</v>
      </c>
      <c r="C278" s="7">
        <v>14040710</v>
      </c>
      <c r="D278" s="2" t="s">
        <v>261</v>
      </c>
      <c r="E278" s="2" t="s">
        <v>605</v>
      </c>
      <c r="F278" s="2">
        <v>6109570</v>
      </c>
      <c r="G278" s="2" t="s">
        <v>759</v>
      </c>
      <c r="H278" s="5">
        <v>300</v>
      </c>
      <c r="I278">
        <v>5000</v>
      </c>
      <c r="J278" s="27">
        <f t="shared" si="30"/>
        <v>4700</v>
      </c>
      <c r="K278" s="3">
        <v>4750</v>
      </c>
      <c r="L278" s="29">
        <f t="shared" si="31"/>
        <v>250</v>
      </c>
      <c r="M278" s="30">
        <v>0</v>
      </c>
      <c r="N278" s="31">
        <f t="shared" si="32"/>
        <v>0</v>
      </c>
      <c r="O278" s="32">
        <v>10</v>
      </c>
      <c r="P278" s="29">
        <f t="shared" si="33"/>
        <v>470</v>
      </c>
      <c r="Q278" s="31">
        <f t="shared" si="34"/>
        <v>10</v>
      </c>
      <c r="T278" s="3">
        <v>4750</v>
      </c>
      <c r="U278" s="4"/>
      <c r="V278" s="4">
        <f t="shared" si="29"/>
        <v>4400</v>
      </c>
    </row>
    <row r="279" spans="2:22" x14ac:dyDescent="0.25">
      <c r="B279" s="1">
        <v>189</v>
      </c>
      <c r="C279" s="7">
        <v>14040527</v>
      </c>
      <c r="D279" s="2" t="s">
        <v>262</v>
      </c>
      <c r="E279" s="2" t="s">
        <v>601</v>
      </c>
      <c r="F279" s="2">
        <v>6109570</v>
      </c>
      <c r="G279" s="2" t="s">
        <v>759</v>
      </c>
      <c r="H279" s="5">
        <v>300</v>
      </c>
      <c r="I279">
        <v>5000</v>
      </c>
      <c r="J279" s="27">
        <f t="shared" si="30"/>
        <v>4700</v>
      </c>
      <c r="K279" s="3">
        <v>4750</v>
      </c>
      <c r="L279" s="29">
        <f t="shared" si="31"/>
        <v>250</v>
      </c>
      <c r="M279" s="30">
        <v>0</v>
      </c>
      <c r="N279" s="31">
        <f t="shared" si="32"/>
        <v>0</v>
      </c>
      <c r="O279" s="32">
        <v>10</v>
      </c>
      <c r="P279" s="29">
        <f t="shared" si="33"/>
        <v>470</v>
      </c>
      <c r="Q279" s="31">
        <f t="shared" si="34"/>
        <v>10</v>
      </c>
      <c r="T279" s="3">
        <v>4750</v>
      </c>
      <c r="U279" s="4"/>
      <c r="V279" s="4">
        <f t="shared" si="29"/>
        <v>4400</v>
      </c>
    </row>
    <row r="280" spans="2:22" x14ac:dyDescent="0.25">
      <c r="B280" s="1">
        <v>190</v>
      </c>
      <c r="C280" s="7">
        <v>14184213</v>
      </c>
      <c r="D280" s="2" t="s">
        <v>263</v>
      </c>
      <c r="E280" s="2" t="s">
        <v>603</v>
      </c>
      <c r="F280" s="2">
        <v>5966870017</v>
      </c>
      <c r="G280" s="2" t="s">
        <v>760</v>
      </c>
      <c r="H280" s="5"/>
      <c r="I280">
        <v>5000</v>
      </c>
      <c r="J280" s="27">
        <f t="shared" si="30"/>
        <v>5000</v>
      </c>
      <c r="K280" s="3">
        <v>500</v>
      </c>
      <c r="L280" s="29">
        <f t="shared" si="31"/>
        <v>4500</v>
      </c>
      <c r="M280" s="30">
        <v>0</v>
      </c>
      <c r="N280" s="31">
        <f t="shared" si="32"/>
        <v>0</v>
      </c>
      <c r="O280" s="32">
        <v>10</v>
      </c>
      <c r="P280" s="29">
        <f t="shared" si="33"/>
        <v>500</v>
      </c>
      <c r="Q280" s="31">
        <f t="shared" si="34"/>
        <v>1</v>
      </c>
      <c r="T280" s="3">
        <v>500</v>
      </c>
      <c r="U280" s="4">
        <v>500</v>
      </c>
      <c r="V280" s="4">
        <f t="shared" si="29"/>
        <v>4500</v>
      </c>
    </row>
    <row r="281" spans="2:22" x14ac:dyDescent="0.25">
      <c r="B281" s="1">
        <v>191</v>
      </c>
      <c r="C281" s="7">
        <v>15013009</v>
      </c>
      <c r="D281" s="2" t="s">
        <v>264</v>
      </c>
      <c r="E281" s="2" t="s">
        <v>599</v>
      </c>
      <c r="F281" s="2">
        <v>3492347</v>
      </c>
      <c r="G281" s="2" t="s">
        <v>735</v>
      </c>
      <c r="H281" s="5"/>
      <c r="I281">
        <v>5000</v>
      </c>
      <c r="J281" s="27">
        <f t="shared" si="30"/>
        <v>5000</v>
      </c>
      <c r="K281" s="3">
        <v>500</v>
      </c>
      <c r="L281" s="29">
        <f t="shared" si="31"/>
        <v>4500</v>
      </c>
      <c r="M281" s="30">
        <v>0</v>
      </c>
      <c r="N281" s="31">
        <f t="shared" si="32"/>
        <v>0</v>
      </c>
      <c r="O281" s="32">
        <v>10</v>
      </c>
      <c r="P281" s="29">
        <f t="shared" si="33"/>
        <v>500</v>
      </c>
      <c r="Q281" s="31">
        <f t="shared" si="34"/>
        <v>1</v>
      </c>
      <c r="T281" s="3">
        <v>500</v>
      </c>
      <c r="U281" s="4">
        <v>500</v>
      </c>
      <c r="V281" s="4">
        <f t="shared" si="29"/>
        <v>4500</v>
      </c>
    </row>
    <row r="282" spans="2:22" x14ac:dyDescent="0.25">
      <c r="B282" s="1">
        <v>192</v>
      </c>
      <c r="C282" s="7">
        <v>17057484</v>
      </c>
      <c r="D282" s="2" t="s">
        <v>265</v>
      </c>
      <c r="E282" s="2" t="s">
        <v>594</v>
      </c>
      <c r="F282" s="2">
        <v>2623118011</v>
      </c>
      <c r="G282" s="2" t="s">
        <v>761</v>
      </c>
      <c r="H282" s="5"/>
      <c r="I282">
        <v>5000</v>
      </c>
      <c r="J282" s="27">
        <f t="shared" si="30"/>
        <v>5000</v>
      </c>
      <c r="K282" s="3">
        <v>500</v>
      </c>
      <c r="L282" s="29">
        <f t="shared" si="31"/>
        <v>4500</v>
      </c>
      <c r="M282" s="30">
        <v>0</v>
      </c>
      <c r="N282" s="31">
        <f t="shared" si="32"/>
        <v>0</v>
      </c>
      <c r="O282" s="32">
        <v>10</v>
      </c>
      <c r="P282" s="29">
        <f t="shared" si="33"/>
        <v>500</v>
      </c>
      <c r="Q282" s="31">
        <f t="shared" si="34"/>
        <v>1</v>
      </c>
      <c r="T282" s="3">
        <v>500</v>
      </c>
      <c r="U282" s="4">
        <v>500</v>
      </c>
      <c r="V282" s="4">
        <f t="shared" ref="V282:V287" si="35">J282-H282-U282</f>
        <v>4500</v>
      </c>
    </row>
    <row r="283" spans="2:22" x14ac:dyDescent="0.25">
      <c r="B283" s="1">
        <v>193</v>
      </c>
      <c r="C283" s="7">
        <v>13376872</v>
      </c>
      <c r="D283" s="2" t="s">
        <v>266</v>
      </c>
      <c r="E283" s="2" t="s">
        <v>592</v>
      </c>
      <c r="F283" s="2">
        <v>13376873</v>
      </c>
      <c r="G283" s="2" t="s">
        <v>762</v>
      </c>
      <c r="H283" s="5"/>
      <c r="I283">
        <v>5000</v>
      </c>
      <c r="J283" s="27">
        <f t="shared" si="30"/>
        <v>5000</v>
      </c>
      <c r="K283" s="3">
        <v>500</v>
      </c>
      <c r="L283" s="29">
        <f t="shared" si="31"/>
        <v>4500</v>
      </c>
      <c r="M283" s="30">
        <v>0</v>
      </c>
      <c r="N283" s="31">
        <f t="shared" si="32"/>
        <v>0</v>
      </c>
      <c r="O283" s="32">
        <v>10</v>
      </c>
      <c r="P283" s="29">
        <f t="shared" si="33"/>
        <v>500</v>
      </c>
      <c r="Q283" s="31">
        <f t="shared" si="34"/>
        <v>1</v>
      </c>
      <c r="T283" s="3">
        <v>500</v>
      </c>
      <c r="U283" s="4"/>
      <c r="V283" s="4">
        <f t="shared" si="35"/>
        <v>5000</v>
      </c>
    </row>
    <row r="284" spans="2:22" x14ac:dyDescent="0.25">
      <c r="B284" s="1">
        <v>194</v>
      </c>
      <c r="C284" s="7">
        <v>13692475</v>
      </c>
      <c r="D284" s="2" t="s">
        <v>267</v>
      </c>
      <c r="E284" s="2" t="s">
        <v>601</v>
      </c>
      <c r="F284" s="2">
        <v>6031738</v>
      </c>
      <c r="G284" s="2" t="s">
        <v>763</v>
      </c>
      <c r="H284" s="5"/>
      <c r="I284">
        <v>5000</v>
      </c>
      <c r="J284" s="27">
        <f t="shared" si="30"/>
        <v>5000</v>
      </c>
      <c r="K284" s="3">
        <v>500</v>
      </c>
      <c r="L284" s="29">
        <f t="shared" si="31"/>
        <v>4500</v>
      </c>
      <c r="M284" s="30">
        <v>0</v>
      </c>
      <c r="N284" s="31">
        <f t="shared" si="32"/>
        <v>0</v>
      </c>
      <c r="O284" s="32">
        <v>10</v>
      </c>
      <c r="P284" s="29">
        <f t="shared" si="33"/>
        <v>500</v>
      </c>
      <c r="Q284" s="31">
        <f t="shared" si="34"/>
        <v>1</v>
      </c>
      <c r="T284" s="3">
        <v>500</v>
      </c>
      <c r="U284" s="4"/>
      <c r="V284" s="4">
        <f t="shared" si="35"/>
        <v>5000</v>
      </c>
    </row>
    <row r="285" spans="2:22" x14ac:dyDescent="0.25">
      <c r="B285" s="1">
        <v>194</v>
      </c>
      <c r="C285" s="7">
        <v>15934968</v>
      </c>
      <c r="D285" s="2" t="s">
        <v>268</v>
      </c>
      <c r="E285" s="2" t="s">
        <v>592</v>
      </c>
      <c r="F285" s="2">
        <v>6031738</v>
      </c>
      <c r="G285" s="2" t="s">
        <v>763</v>
      </c>
      <c r="H285" s="5"/>
      <c r="I285">
        <v>5000</v>
      </c>
      <c r="J285" s="27">
        <f t="shared" si="30"/>
        <v>4750</v>
      </c>
      <c r="K285" s="3">
        <v>475</v>
      </c>
      <c r="L285" s="29">
        <f t="shared" si="31"/>
        <v>4275</v>
      </c>
      <c r="M285" s="30">
        <v>0.05</v>
      </c>
      <c r="N285" s="31">
        <f t="shared" si="32"/>
        <v>250</v>
      </c>
      <c r="O285" s="32">
        <v>10</v>
      </c>
      <c r="P285" s="29">
        <f t="shared" si="33"/>
        <v>475</v>
      </c>
      <c r="Q285" s="31">
        <f t="shared" si="34"/>
        <v>1</v>
      </c>
      <c r="T285" s="3">
        <v>475</v>
      </c>
      <c r="U285" s="4"/>
      <c r="V285" s="4">
        <f t="shared" si="35"/>
        <v>4750</v>
      </c>
    </row>
    <row r="286" spans="2:22" x14ac:dyDescent="0.25">
      <c r="B286" s="1">
        <v>195</v>
      </c>
      <c r="C286" s="7">
        <v>15616894</v>
      </c>
      <c r="D286" s="2" t="s">
        <v>269</v>
      </c>
      <c r="E286" s="2" t="s">
        <v>599</v>
      </c>
      <c r="F286" s="2">
        <v>6032711</v>
      </c>
      <c r="G286" s="2" t="s">
        <v>764</v>
      </c>
      <c r="H286" s="5"/>
      <c r="I286">
        <v>5000</v>
      </c>
      <c r="J286" s="27">
        <f t="shared" si="30"/>
        <v>5000</v>
      </c>
      <c r="K286" s="3">
        <v>500</v>
      </c>
      <c r="L286" s="29">
        <f t="shared" si="31"/>
        <v>4500</v>
      </c>
      <c r="M286" s="30">
        <v>0</v>
      </c>
      <c r="N286" s="31">
        <f t="shared" si="32"/>
        <v>0</v>
      </c>
      <c r="O286" s="32">
        <v>10</v>
      </c>
      <c r="P286" s="29">
        <f t="shared" si="33"/>
        <v>500</v>
      </c>
      <c r="Q286" s="31">
        <f t="shared" si="34"/>
        <v>1</v>
      </c>
      <c r="T286" s="3">
        <v>500</v>
      </c>
      <c r="U286" s="4">
        <v>500</v>
      </c>
      <c r="V286" s="4">
        <f t="shared" si="35"/>
        <v>4500</v>
      </c>
    </row>
    <row r="287" spans="2:22" ht="15.75" thickBot="1" x14ac:dyDescent="0.3">
      <c r="B287" s="1">
        <v>195</v>
      </c>
      <c r="C287" s="33">
        <v>16739387</v>
      </c>
      <c r="D287" s="2" t="s">
        <v>270</v>
      </c>
      <c r="E287" s="21" t="s">
        <v>598</v>
      </c>
      <c r="F287" s="21">
        <v>6032712</v>
      </c>
      <c r="G287" s="21" t="s">
        <v>764</v>
      </c>
      <c r="H287" s="5"/>
      <c r="I287">
        <v>5000</v>
      </c>
      <c r="J287" s="27">
        <f t="shared" si="30"/>
        <v>4750</v>
      </c>
      <c r="K287" s="3">
        <v>475</v>
      </c>
      <c r="L287" s="29">
        <f t="shared" si="31"/>
        <v>4275</v>
      </c>
      <c r="M287" s="30">
        <v>0.05</v>
      </c>
      <c r="N287" s="31">
        <f t="shared" si="32"/>
        <v>250</v>
      </c>
      <c r="O287" s="32">
        <v>10</v>
      </c>
      <c r="P287" s="29">
        <f t="shared" si="33"/>
        <v>475</v>
      </c>
      <c r="Q287" s="31">
        <f t="shared" si="34"/>
        <v>1</v>
      </c>
      <c r="T287" s="3">
        <v>475</v>
      </c>
      <c r="U287" s="4">
        <v>475</v>
      </c>
      <c r="V287" s="4">
        <f t="shared" si="35"/>
        <v>4275</v>
      </c>
    </row>
    <row r="288" spans="2:22" x14ac:dyDescent="0.25">
      <c r="B288" s="1"/>
      <c r="C288" s="6"/>
      <c r="D288" s="2" t="s">
        <v>271</v>
      </c>
      <c r="E288" s="12" t="s">
        <v>892</v>
      </c>
      <c r="F288" s="12"/>
      <c r="G288" s="12"/>
      <c r="H288" s="5">
        <v>300</v>
      </c>
      <c r="I288">
        <v>5000</v>
      </c>
      <c r="J288" s="27">
        <v>4650</v>
      </c>
      <c r="K288" s="3"/>
      <c r="L288" s="29">
        <f t="shared" si="31"/>
        <v>5000</v>
      </c>
      <c r="M288" s="30">
        <v>0</v>
      </c>
      <c r="N288" s="31">
        <f t="shared" si="32"/>
        <v>0</v>
      </c>
      <c r="O288" s="32">
        <v>10</v>
      </c>
      <c r="P288" s="29">
        <f t="shared" si="33"/>
        <v>465</v>
      </c>
      <c r="Q288" s="31">
        <f t="shared" si="34"/>
        <v>0</v>
      </c>
      <c r="T288" s="3"/>
      <c r="U288" s="4"/>
      <c r="V288" s="4">
        <f t="shared" ref="V288:V296" si="36">K288-H288-U288</f>
        <v>-300</v>
      </c>
    </row>
    <row r="289" spans="2:22" x14ac:dyDescent="0.25">
      <c r="B289" s="1"/>
      <c r="C289" s="6"/>
      <c r="D289" s="2" t="s">
        <v>272</v>
      </c>
      <c r="E289" s="12" t="s">
        <v>609</v>
      </c>
      <c r="F289" s="12"/>
      <c r="G289" s="12"/>
      <c r="H289" s="5">
        <v>300</v>
      </c>
      <c r="I289">
        <v>5000</v>
      </c>
      <c r="J289" s="27">
        <v>4650</v>
      </c>
      <c r="K289" s="3">
        <v>4650</v>
      </c>
      <c r="L289" s="29">
        <f t="shared" si="31"/>
        <v>350</v>
      </c>
      <c r="M289" s="30">
        <v>0</v>
      </c>
      <c r="N289" s="31">
        <f t="shared" si="32"/>
        <v>0</v>
      </c>
      <c r="O289" s="32">
        <v>10</v>
      </c>
      <c r="P289" s="29">
        <f t="shared" si="33"/>
        <v>465</v>
      </c>
      <c r="Q289" s="31">
        <f t="shared" si="34"/>
        <v>10</v>
      </c>
      <c r="T289" s="3"/>
      <c r="U289" s="4">
        <v>4450</v>
      </c>
      <c r="V289" s="4">
        <f t="shared" si="36"/>
        <v>-100</v>
      </c>
    </row>
    <row r="290" spans="2:22" x14ac:dyDescent="0.25">
      <c r="B290" s="1"/>
      <c r="C290" s="6"/>
      <c r="D290" s="2" t="s">
        <v>273</v>
      </c>
      <c r="E290" s="12" t="s">
        <v>611</v>
      </c>
      <c r="F290" s="12"/>
      <c r="G290" s="12"/>
      <c r="H290" s="5">
        <v>300</v>
      </c>
      <c r="I290">
        <v>5000</v>
      </c>
      <c r="J290" s="27">
        <v>4275</v>
      </c>
      <c r="K290" s="3">
        <v>475</v>
      </c>
      <c r="L290" s="29">
        <f t="shared" si="31"/>
        <v>4525</v>
      </c>
      <c r="M290" s="30">
        <v>0</v>
      </c>
      <c r="N290" s="31">
        <f t="shared" si="32"/>
        <v>0</v>
      </c>
      <c r="O290" s="32">
        <v>10</v>
      </c>
      <c r="P290" s="29">
        <f t="shared" si="33"/>
        <v>427.5</v>
      </c>
      <c r="Q290" s="31">
        <f t="shared" si="34"/>
        <v>1</v>
      </c>
      <c r="T290" s="3"/>
      <c r="U290" s="4">
        <v>177.5</v>
      </c>
      <c r="V290" s="4">
        <f t="shared" si="36"/>
        <v>-2.5</v>
      </c>
    </row>
    <row r="291" spans="2:22" x14ac:dyDescent="0.25">
      <c r="B291" s="1"/>
      <c r="C291" s="6"/>
      <c r="D291" s="2" t="s">
        <v>274</v>
      </c>
      <c r="E291" s="12" t="s">
        <v>606</v>
      </c>
      <c r="F291" s="12"/>
      <c r="G291" s="12"/>
      <c r="H291" s="5">
        <v>300</v>
      </c>
      <c r="I291">
        <v>5000</v>
      </c>
      <c r="J291" s="27">
        <v>4297.5</v>
      </c>
      <c r="K291" s="3">
        <v>455</v>
      </c>
      <c r="L291" s="29">
        <f t="shared" si="31"/>
        <v>4545</v>
      </c>
      <c r="M291" s="30">
        <v>0</v>
      </c>
      <c r="N291" s="31">
        <f t="shared" si="32"/>
        <v>0</v>
      </c>
      <c r="O291" s="32">
        <v>10</v>
      </c>
      <c r="P291" s="29">
        <f t="shared" si="33"/>
        <v>429.75</v>
      </c>
      <c r="Q291" s="31">
        <f t="shared" si="34"/>
        <v>1</v>
      </c>
      <c r="T291" s="3"/>
      <c r="U291" s="4">
        <v>155</v>
      </c>
      <c r="V291" s="4">
        <f t="shared" si="36"/>
        <v>0</v>
      </c>
    </row>
    <row r="292" spans="2:22" x14ac:dyDescent="0.25">
      <c r="B292" s="1"/>
      <c r="C292" s="6"/>
      <c r="D292" s="2" t="s">
        <v>275</v>
      </c>
      <c r="E292" s="12" t="s">
        <v>616</v>
      </c>
      <c r="F292" s="12"/>
      <c r="G292" s="12"/>
      <c r="H292" s="5">
        <v>300</v>
      </c>
      <c r="I292">
        <v>5000</v>
      </c>
      <c r="J292" s="27">
        <v>4095</v>
      </c>
      <c r="K292" s="3">
        <v>410</v>
      </c>
      <c r="L292" s="29">
        <f t="shared" si="31"/>
        <v>4590</v>
      </c>
      <c r="M292" s="30">
        <v>0</v>
      </c>
      <c r="N292" s="31">
        <f t="shared" si="32"/>
        <v>0</v>
      </c>
      <c r="O292" s="32">
        <v>10</v>
      </c>
      <c r="P292" s="29">
        <f t="shared" si="33"/>
        <v>409.5</v>
      </c>
      <c r="Q292" s="31">
        <f t="shared" si="34"/>
        <v>1</v>
      </c>
      <c r="T292" s="3"/>
      <c r="U292" s="4">
        <v>110</v>
      </c>
      <c r="V292" s="4">
        <f t="shared" si="36"/>
        <v>0</v>
      </c>
    </row>
    <row r="293" spans="2:22" x14ac:dyDescent="0.25">
      <c r="B293" s="1"/>
      <c r="C293" s="6"/>
      <c r="D293" s="2" t="s">
        <v>276</v>
      </c>
      <c r="E293" s="12" t="s">
        <v>895</v>
      </c>
      <c r="F293" s="12"/>
      <c r="G293" s="12"/>
      <c r="H293" s="5"/>
      <c r="I293">
        <v>5000</v>
      </c>
      <c r="J293" s="27">
        <v>4050</v>
      </c>
      <c r="K293" s="3">
        <v>450</v>
      </c>
      <c r="L293" s="29">
        <f t="shared" si="31"/>
        <v>4550</v>
      </c>
      <c r="M293" s="30">
        <v>0</v>
      </c>
      <c r="N293" s="31">
        <f t="shared" si="32"/>
        <v>0</v>
      </c>
      <c r="O293" s="32">
        <v>10</v>
      </c>
      <c r="P293" s="29">
        <f t="shared" si="33"/>
        <v>405</v>
      </c>
      <c r="Q293" s="31">
        <f t="shared" si="34"/>
        <v>1</v>
      </c>
      <c r="T293" s="3"/>
      <c r="U293" s="4"/>
      <c r="V293" s="4">
        <f t="shared" si="36"/>
        <v>450</v>
      </c>
    </row>
    <row r="294" spans="2:22" x14ac:dyDescent="0.25">
      <c r="B294" s="1"/>
      <c r="C294" s="6"/>
      <c r="D294" s="2" t="s">
        <v>277</v>
      </c>
      <c r="E294" s="12" t="s">
        <v>615</v>
      </c>
      <c r="F294" s="12"/>
      <c r="G294" s="12"/>
      <c r="H294" s="5"/>
      <c r="I294">
        <v>5000</v>
      </c>
      <c r="J294" s="27">
        <v>4050</v>
      </c>
      <c r="K294" s="3">
        <v>450</v>
      </c>
      <c r="L294" s="29">
        <f t="shared" si="31"/>
        <v>4550</v>
      </c>
      <c r="M294" s="30">
        <v>0</v>
      </c>
      <c r="N294" s="31">
        <f t="shared" si="32"/>
        <v>0</v>
      </c>
      <c r="O294" s="32">
        <v>10</v>
      </c>
      <c r="P294" s="29">
        <f t="shared" si="33"/>
        <v>405</v>
      </c>
      <c r="Q294" s="31">
        <f t="shared" si="34"/>
        <v>1</v>
      </c>
      <c r="T294" s="3"/>
      <c r="U294" s="4"/>
      <c r="V294" s="4">
        <f t="shared" si="36"/>
        <v>450</v>
      </c>
    </row>
    <row r="295" spans="2:22" x14ac:dyDescent="0.25">
      <c r="B295" s="1"/>
      <c r="C295" s="6"/>
      <c r="D295" s="2" t="s">
        <v>278</v>
      </c>
      <c r="E295" s="12" t="s">
        <v>622</v>
      </c>
      <c r="F295" s="12"/>
      <c r="G295" s="12"/>
      <c r="H295" s="5"/>
      <c r="I295">
        <v>5000</v>
      </c>
      <c r="J295" s="27">
        <v>4050</v>
      </c>
      <c r="K295" s="3">
        <v>450</v>
      </c>
      <c r="L295" s="29">
        <f t="shared" si="31"/>
        <v>4550</v>
      </c>
      <c r="M295" s="30">
        <v>0</v>
      </c>
      <c r="N295" s="31">
        <f t="shared" si="32"/>
        <v>0</v>
      </c>
      <c r="O295" s="32">
        <v>10</v>
      </c>
      <c r="P295" s="29">
        <f t="shared" si="33"/>
        <v>405</v>
      </c>
      <c r="Q295" s="31">
        <f t="shared" si="34"/>
        <v>1</v>
      </c>
      <c r="T295" s="3"/>
      <c r="U295" s="4"/>
      <c r="V295" s="4">
        <f t="shared" si="36"/>
        <v>450</v>
      </c>
    </row>
    <row r="296" spans="2:22" x14ac:dyDescent="0.25">
      <c r="B296" s="1"/>
      <c r="C296" s="6"/>
      <c r="D296" s="2" t="s">
        <v>279</v>
      </c>
      <c r="E296" s="12" t="s">
        <v>607</v>
      </c>
      <c r="F296" s="12"/>
      <c r="G296" s="12"/>
      <c r="H296" s="5"/>
      <c r="I296">
        <v>5000</v>
      </c>
      <c r="J296" s="27">
        <v>4050</v>
      </c>
      <c r="K296" s="3">
        <v>450</v>
      </c>
      <c r="L296" s="29">
        <f t="shared" si="31"/>
        <v>4550</v>
      </c>
      <c r="M296" s="30">
        <v>0</v>
      </c>
      <c r="N296" s="31">
        <f t="shared" si="32"/>
        <v>0</v>
      </c>
      <c r="O296" s="32">
        <v>10</v>
      </c>
      <c r="P296" s="29">
        <f t="shared" si="33"/>
        <v>405</v>
      </c>
      <c r="Q296" s="31">
        <f t="shared" si="34"/>
        <v>1</v>
      </c>
      <c r="T296" s="3"/>
      <c r="U296" s="4"/>
      <c r="V296" s="4">
        <f t="shared" si="36"/>
        <v>450</v>
      </c>
    </row>
    <row r="297" spans="2:22" x14ac:dyDescent="0.25">
      <c r="B297" s="1">
        <v>196</v>
      </c>
      <c r="C297" s="36">
        <v>13961399</v>
      </c>
      <c r="D297" s="2" t="s">
        <v>280</v>
      </c>
      <c r="E297" s="23" t="s">
        <v>593</v>
      </c>
      <c r="F297" s="23">
        <v>6089764</v>
      </c>
      <c r="G297" s="23" t="s">
        <v>765</v>
      </c>
      <c r="H297" s="5"/>
      <c r="I297">
        <v>5000</v>
      </c>
      <c r="J297" s="27">
        <f t="shared" si="30"/>
        <v>5000</v>
      </c>
      <c r="K297" s="3">
        <v>2500</v>
      </c>
      <c r="L297" s="29">
        <f t="shared" si="31"/>
        <v>2500</v>
      </c>
      <c r="M297" s="30">
        <v>0</v>
      </c>
      <c r="N297" s="31">
        <f t="shared" si="32"/>
        <v>0</v>
      </c>
      <c r="O297" s="32">
        <v>10</v>
      </c>
      <c r="P297" s="29">
        <f t="shared" si="33"/>
        <v>500</v>
      </c>
      <c r="Q297" s="31">
        <f t="shared" si="34"/>
        <v>5</v>
      </c>
      <c r="T297" s="3">
        <v>2500</v>
      </c>
      <c r="U297" s="4"/>
      <c r="V297" s="4">
        <f t="shared" ref="V297:V328" si="37">J297-H297-U297</f>
        <v>5000</v>
      </c>
    </row>
    <row r="298" spans="2:22" x14ac:dyDescent="0.25">
      <c r="B298" s="1">
        <v>196</v>
      </c>
      <c r="C298" s="7">
        <v>13961475</v>
      </c>
      <c r="D298" s="2" t="s">
        <v>281</v>
      </c>
      <c r="E298" s="2" t="s">
        <v>605</v>
      </c>
      <c r="F298" s="2">
        <v>6089765</v>
      </c>
      <c r="G298" s="2" t="s">
        <v>765</v>
      </c>
      <c r="H298" s="5"/>
      <c r="I298">
        <v>5000</v>
      </c>
      <c r="J298" s="27">
        <f t="shared" si="30"/>
        <v>5000</v>
      </c>
      <c r="K298" s="3">
        <v>2375</v>
      </c>
      <c r="L298" s="29">
        <f t="shared" si="31"/>
        <v>2625</v>
      </c>
      <c r="M298" s="30">
        <v>0</v>
      </c>
      <c r="N298" s="31">
        <f t="shared" si="32"/>
        <v>0</v>
      </c>
      <c r="O298" s="32">
        <v>10</v>
      </c>
      <c r="P298" s="29">
        <f t="shared" si="33"/>
        <v>500</v>
      </c>
      <c r="Q298" s="31">
        <f t="shared" si="34"/>
        <v>4</v>
      </c>
      <c r="T298" s="3">
        <v>2375</v>
      </c>
      <c r="U298" s="4"/>
      <c r="V298" s="4">
        <f t="shared" si="37"/>
        <v>5000</v>
      </c>
    </row>
    <row r="299" spans="2:22" x14ac:dyDescent="0.25">
      <c r="B299" s="1">
        <v>197</v>
      </c>
      <c r="C299" s="7">
        <v>13967116</v>
      </c>
      <c r="D299" s="2" t="s">
        <v>282</v>
      </c>
      <c r="E299" s="2" t="s">
        <v>605</v>
      </c>
      <c r="F299" s="2">
        <v>6806151</v>
      </c>
      <c r="G299" s="2" t="s">
        <v>766</v>
      </c>
      <c r="H299" s="5"/>
      <c r="I299">
        <v>5000</v>
      </c>
      <c r="J299" s="27">
        <f t="shared" si="30"/>
        <v>5000</v>
      </c>
      <c r="K299" s="3">
        <v>500</v>
      </c>
      <c r="L299" s="29">
        <f t="shared" si="31"/>
        <v>4500</v>
      </c>
      <c r="M299" s="30">
        <v>0</v>
      </c>
      <c r="N299" s="31">
        <f t="shared" si="32"/>
        <v>0</v>
      </c>
      <c r="O299" s="32">
        <v>10</v>
      </c>
      <c r="P299" s="29">
        <f t="shared" si="33"/>
        <v>500</v>
      </c>
      <c r="Q299" s="31">
        <f t="shared" si="34"/>
        <v>1</v>
      </c>
      <c r="T299" s="3">
        <v>500</v>
      </c>
      <c r="U299" s="4"/>
      <c r="V299" s="4">
        <f t="shared" si="37"/>
        <v>5000</v>
      </c>
    </row>
    <row r="300" spans="2:22" x14ac:dyDescent="0.25">
      <c r="B300" s="1">
        <v>198</v>
      </c>
      <c r="C300" s="7">
        <v>13549652</v>
      </c>
      <c r="D300" s="2" t="s">
        <v>283</v>
      </c>
      <c r="E300" s="2" t="s">
        <v>592</v>
      </c>
      <c r="F300" s="2">
        <v>6088916</v>
      </c>
      <c r="G300" s="2" t="s">
        <v>767</v>
      </c>
      <c r="H300" s="5">
        <v>300</v>
      </c>
      <c r="I300">
        <v>5000</v>
      </c>
      <c r="J300" s="27">
        <f t="shared" si="30"/>
        <v>4700</v>
      </c>
      <c r="K300" s="3">
        <v>4750</v>
      </c>
      <c r="L300" s="29">
        <f t="shared" si="31"/>
        <v>250</v>
      </c>
      <c r="M300" s="30">
        <v>0</v>
      </c>
      <c r="N300" s="31">
        <f t="shared" si="32"/>
        <v>0</v>
      </c>
      <c r="O300" s="32">
        <v>10</v>
      </c>
      <c r="P300" s="29">
        <f t="shared" si="33"/>
        <v>470</v>
      </c>
      <c r="Q300" s="31">
        <f t="shared" si="34"/>
        <v>10</v>
      </c>
      <c r="T300" s="3">
        <v>4750</v>
      </c>
      <c r="U300" s="4"/>
      <c r="V300" s="4">
        <f t="shared" si="37"/>
        <v>4400</v>
      </c>
    </row>
    <row r="301" spans="2:22" x14ac:dyDescent="0.25">
      <c r="B301" s="1">
        <v>199</v>
      </c>
      <c r="C301" s="7">
        <v>15439848</v>
      </c>
      <c r="D301" s="2" t="s">
        <v>284</v>
      </c>
      <c r="E301" s="2" t="s">
        <v>603</v>
      </c>
      <c r="F301" s="2">
        <v>2487257</v>
      </c>
      <c r="G301" s="2" t="s">
        <v>683</v>
      </c>
      <c r="H301" s="5">
        <v>300</v>
      </c>
      <c r="I301">
        <v>5000</v>
      </c>
      <c r="J301" s="27">
        <f t="shared" si="30"/>
        <v>4700</v>
      </c>
      <c r="K301" s="3">
        <v>4750</v>
      </c>
      <c r="L301" s="29">
        <f t="shared" si="31"/>
        <v>250</v>
      </c>
      <c r="M301" s="30">
        <v>0</v>
      </c>
      <c r="N301" s="31">
        <f t="shared" si="32"/>
        <v>0</v>
      </c>
      <c r="O301" s="32">
        <v>10</v>
      </c>
      <c r="P301" s="29">
        <f t="shared" si="33"/>
        <v>470</v>
      </c>
      <c r="Q301" s="31">
        <f t="shared" si="34"/>
        <v>10</v>
      </c>
      <c r="T301" s="3">
        <v>4750</v>
      </c>
      <c r="U301" s="4"/>
      <c r="V301" s="4">
        <f t="shared" si="37"/>
        <v>4400</v>
      </c>
    </row>
    <row r="302" spans="2:22" x14ac:dyDescent="0.25">
      <c r="B302" s="1">
        <v>199</v>
      </c>
      <c r="C302" s="7">
        <v>15439887</v>
      </c>
      <c r="D302" s="2" t="s">
        <v>285</v>
      </c>
      <c r="E302" s="2" t="s">
        <v>594</v>
      </c>
      <c r="F302" s="2">
        <v>2487257</v>
      </c>
      <c r="G302" s="2" t="s">
        <v>644</v>
      </c>
      <c r="H302" s="5">
        <v>300</v>
      </c>
      <c r="I302">
        <v>5000</v>
      </c>
      <c r="J302" s="27">
        <f t="shared" si="30"/>
        <v>4700</v>
      </c>
      <c r="K302" s="3">
        <v>4750</v>
      </c>
      <c r="L302" s="29">
        <f t="shared" si="31"/>
        <v>250</v>
      </c>
      <c r="M302" s="30">
        <v>0</v>
      </c>
      <c r="N302" s="31">
        <f t="shared" si="32"/>
        <v>0</v>
      </c>
      <c r="O302" s="32">
        <v>10</v>
      </c>
      <c r="P302" s="29">
        <f t="shared" si="33"/>
        <v>470</v>
      </c>
      <c r="Q302" s="31">
        <f t="shared" si="34"/>
        <v>10</v>
      </c>
      <c r="T302" s="3">
        <v>4750</v>
      </c>
      <c r="U302" s="4"/>
      <c r="V302" s="4">
        <f t="shared" si="37"/>
        <v>4400</v>
      </c>
    </row>
    <row r="303" spans="2:22" x14ac:dyDescent="0.25">
      <c r="B303" s="1">
        <v>200</v>
      </c>
      <c r="C303" s="7">
        <v>14180162</v>
      </c>
      <c r="D303" s="2" t="s">
        <v>286</v>
      </c>
      <c r="E303" s="2" t="s">
        <v>601</v>
      </c>
      <c r="F303" s="2">
        <v>6051506</v>
      </c>
      <c r="G303" s="2" t="s">
        <v>768</v>
      </c>
      <c r="H303" s="5">
        <v>300</v>
      </c>
      <c r="I303">
        <v>5000</v>
      </c>
      <c r="J303" s="27">
        <f t="shared" si="30"/>
        <v>4700</v>
      </c>
      <c r="K303" s="3">
        <v>500</v>
      </c>
      <c r="L303" s="29">
        <f t="shared" si="31"/>
        <v>4500</v>
      </c>
      <c r="M303" s="30">
        <v>0</v>
      </c>
      <c r="N303" s="31">
        <f t="shared" si="32"/>
        <v>0</v>
      </c>
      <c r="O303" s="32">
        <v>10</v>
      </c>
      <c r="P303" s="29">
        <f t="shared" si="33"/>
        <v>470</v>
      </c>
      <c r="Q303" s="31">
        <f t="shared" si="34"/>
        <v>1</v>
      </c>
      <c r="T303" s="3">
        <v>500</v>
      </c>
      <c r="U303" s="4"/>
      <c r="V303" s="4">
        <f t="shared" si="37"/>
        <v>4400</v>
      </c>
    </row>
    <row r="304" spans="2:22" x14ac:dyDescent="0.25">
      <c r="B304" s="1">
        <v>201</v>
      </c>
      <c r="C304" s="7">
        <v>15721940</v>
      </c>
      <c r="D304" s="2" t="s">
        <v>287</v>
      </c>
      <c r="E304" s="2" t="s">
        <v>594</v>
      </c>
      <c r="F304" s="2">
        <v>2380141019</v>
      </c>
      <c r="G304" s="2" t="s">
        <v>769</v>
      </c>
      <c r="H304" s="5">
        <v>300</v>
      </c>
      <c r="I304">
        <v>5000</v>
      </c>
      <c r="J304" s="27">
        <f t="shared" si="30"/>
        <v>4700</v>
      </c>
      <c r="K304" s="3">
        <v>4750</v>
      </c>
      <c r="L304" s="29">
        <f t="shared" si="31"/>
        <v>250</v>
      </c>
      <c r="M304" s="30">
        <v>0</v>
      </c>
      <c r="N304" s="31">
        <f t="shared" si="32"/>
        <v>0</v>
      </c>
      <c r="O304" s="32">
        <v>10</v>
      </c>
      <c r="P304" s="29">
        <f t="shared" si="33"/>
        <v>470</v>
      </c>
      <c r="Q304" s="31">
        <f t="shared" si="34"/>
        <v>10</v>
      </c>
      <c r="T304" s="3">
        <v>4750</v>
      </c>
      <c r="U304" s="4"/>
      <c r="V304" s="4">
        <f t="shared" si="37"/>
        <v>4400</v>
      </c>
    </row>
    <row r="305" spans="2:22" x14ac:dyDescent="0.25">
      <c r="B305" s="1">
        <v>202</v>
      </c>
      <c r="C305" s="7">
        <v>15143229</v>
      </c>
      <c r="D305" s="2" t="s">
        <v>288</v>
      </c>
      <c r="E305" s="2" t="s">
        <v>601</v>
      </c>
      <c r="F305" s="2">
        <v>4940651</v>
      </c>
      <c r="G305" s="2" t="s">
        <v>770</v>
      </c>
      <c r="H305" s="5">
        <v>300</v>
      </c>
      <c r="I305">
        <v>5000</v>
      </c>
      <c r="J305" s="27">
        <f t="shared" si="30"/>
        <v>4700</v>
      </c>
      <c r="K305" s="3">
        <v>500</v>
      </c>
      <c r="L305" s="29">
        <f t="shared" si="31"/>
        <v>4500</v>
      </c>
      <c r="M305" s="30">
        <v>0</v>
      </c>
      <c r="N305" s="31">
        <f t="shared" si="32"/>
        <v>0</v>
      </c>
      <c r="O305" s="32">
        <v>10</v>
      </c>
      <c r="P305" s="29">
        <f t="shared" si="33"/>
        <v>470</v>
      </c>
      <c r="Q305" s="31">
        <f t="shared" si="34"/>
        <v>1</v>
      </c>
      <c r="T305" s="3">
        <v>500</v>
      </c>
      <c r="U305" s="4"/>
      <c r="V305" s="4">
        <f t="shared" si="37"/>
        <v>4400</v>
      </c>
    </row>
    <row r="306" spans="2:22" x14ac:dyDescent="0.25">
      <c r="B306" s="1">
        <v>203</v>
      </c>
      <c r="C306" s="7">
        <v>13922603</v>
      </c>
      <c r="D306" s="2" t="s">
        <v>289</v>
      </c>
      <c r="E306" s="2" t="s">
        <v>601</v>
      </c>
      <c r="F306" s="2">
        <v>7078623</v>
      </c>
      <c r="G306" s="2" t="s">
        <v>734</v>
      </c>
      <c r="H306" s="5">
        <v>300</v>
      </c>
      <c r="I306">
        <v>5000</v>
      </c>
      <c r="J306" s="27">
        <f t="shared" si="30"/>
        <v>4700</v>
      </c>
      <c r="K306" s="3">
        <v>500</v>
      </c>
      <c r="L306" s="29">
        <f t="shared" si="31"/>
        <v>4500</v>
      </c>
      <c r="M306" s="30">
        <v>0</v>
      </c>
      <c r="N306" s="31">
        <f t="shared" si="32"/>
        <v>0</v>
      </c>
      <c r="O306" s="32">
        <v>10</v>
      </c>
      <c r="P306" s="29">
        <f t="shared" si="33"/>
        <v>470</v>
      </c>
      <c r="Q306" s="31">
        <f t="shared" si="34"/>
        <v>1</v>
      </c>
      <c r="T306" s="3">
        <v>500</v>
      </c>
      <c r="U306" s="4"/>
      <c r="V306" s="4">
        <f t="shared" si="37"/>
        <v>4400</v>
      </c>
    </row>
    <row r="307" spans="2:22" x14ac:dyDescent="0.25">
      <c r="B307" s="1">
        <v>204</v>
      </c>
      <c r="C307" s="7">
        <v>15003204</v>
      </c>
      <c r="D307" s="2" t="s">
        <v>290</v>
      </c>
      <c r="E307" s="2" t="s">
        <v>601</v>
      </c>
      <c r="F307" s="2">
        <v>2629174</v>
      </c>
      <c r="G307" s="2" t="s">
        <v>771</v>
      </c>
      <c r="H307" s="5"/>
      <c r="I307">
        <v>5000</v>
      </c>
      <c r="J307" s="27">
        <f t="shared" si="30"/>
        <v>5000</v>
      </c>
      <c r="K307" s="3">
        <v>500</v>
      </c>
      <c r="L307" s="29">
        <f t="shared" si="31"/>
        <v>4500</v>
      </c>
      <c r="M307" s="30">
        <v>0</v>
      </c>
      <c r="N307" s="31">
        <f t="shared" si="32"/>
        <v>0</v>
      </c>
      <c r="O307" s="32">
        <v>10</v>
      </c>
      <c r="P307" s="29">
        <f t="shared" si="33"/>
        <v>500</v>
      </c>
      <c r="Q307" s="31">
        <f t="shared" si="34"/>
        <v>1</v>
      </c>
      <c r="T307" s="3">
        <v>500</v>
      </c>
      <c r="U307" s="4"/>
      <c r="V307" s="4">
        <f t="shared" si="37"/>
        <v>5000</v>
      </c>
    </row>
    <row r="308" spans="2:22" x14ac:dyDescent="0.25">
      <c r="B308" s="1">
        <v>205</v>
      </c>
      <c r="C308" s="7">
        <v>14617317</v>
      </c>
      <c r="D308" s="2" t="s">
        <v>291</v>
      </c>
      <c r="E308" s="2" t="s">
        <v>601</v>
      </c>
      <c r="F308" s="2">
        <v>2405443</v>
      </c>
      <c r="G308" s="2" t="s">
        <v>772</v>
      </c>
      <c r="H308" s="5">
        <v>300</v>
      </c>
      <c r="I308">
        <v>5000</v>
      </c>
      <c r="J308" s="27">
        <f t="shared" si="30"/>
        <v>4700</v>
      </c>
      <c r="K308" s="3">
        <v>500</v>
      </c>
      <c r="L308" s="29">
        <f t="shared" si="31"/>
        <v>4500</v>
      </c>
      <c r="M308" s="30">
        <v>0</v>
      </c>
      <c r="N308" s="31">
        <f t="shared" si="32"/>
        <v>0</v>
      </c>
      <c r="O308" s="32">
        <v>10</v>
      </c>
      <c r="P308" s="29">
        <f t="shared" si="33"/>
        <v>470</v>
      </c>
      <c r="Q308" s="31">
        <f t="shared" si="34"/>
        <v>1</v>
      </c>
      <c r="T308" s="3">
        <v>500</v>
      </c>
      <c r="U308" s="4"/>
      <c r="V308" s="4">
        <f t="shared" si="37"/>
        <v>4400</v>
      </c>
    </row>
    <row r="309" spans="2:22" x14ac:dyDescent="0.25">
      <c r="B309" s="1">
        <v>206</v>
      </c>
      <c r="C309" s="7">
        <v>15436435</v>
      </c>
      <c r="D309" s="2" t="s">
        <v>292</v>
      </c>
      <c r="E309" s="2" t="s">
        <v>594</v>
      </c>
      <c r="F309" s="2">
        <v>9128271</v>
      </c>
      <c r="G309" s="2" t="s">
        <v>773</v>
      </c>
      <c r="H309" s="5">
        <v>300</v>
      </c>
      <c r="I309">
        <v>5000</v>
      </c>
      <c r="J309" s="27">
        <f t="shared" si="30"/>
        <v>4700</v>
      </c>
      <c r="K309" s="3">
        <v>500</v>
      </c>
      <c r="L309" s="29">
        <f t="shared" si="31"/>
        <v>4500</v>
      </c>
      <c r="M309" s="30">
        <v>0</v>
      </c>
      <c r="N309" s="31">
        <f t="shared" si="32"/>
        <v>0</v>
      </c>
      <c r="O309" s="32">
        <v>10</v>
      </c>
      <c r="P309" s="29">
        <f t="shared" si="33"/>
        <v>470</v>
      </c>
      <c r="Q309" s="31">
        <f t="shared" si="34"/>
        <v>1</v>
      </c>
      <c r="T309" s="3">
        <v>500</v>
      </c>
      <c r="U309" s="4"/>
      <c r="V309" s="4">
        <f t="shared" si="37"/>
        <v>4400</v>
      </c>
    </row>
    <row r="310" spans="2:22" x14ac:dyDescent="0.25">
      <c r="B310" s="1">
        <v>207</v>
      </c>
      <c r="C310" s="7">
        <v>15309882</v>
      </c>
      <c r="D310" s="2" t="s">
        <v>293</v>
      </c>
      <c r="E310" s="2" t="s">
        <v>599</v>
      </c>
      <c r="F310" s="2">
        <v>4829495</v>
      </c>
      <c r="G310" s="2" t="s">
        <v>774</v>
      </c>
      <c r="H310" s="5">
        <v>300</v>
      </c>
      <c r="I310">
        <v>5000</v>
      </c>
      <c r="J310" s="27">
        <f t="shared" si="30"/>
        <v>4700</v>
      </c>
      <c r="K310" s="3">
        <v>500</v>
      </c>
      <c r="L310" s="29">
        <f t="shared" si="31"/>
        <v>4500</v>
      </c>
      <c r="M310" s="30">
        <v>0</v>
      </c>
      <c r="N310" s="31">
        <f t="shared" si="32"/>
        <v>0</v>
      </c>
      <c r="O310" s="32">
        <v>10</v>
      </c>
      <c r="P310" s="29">
        <f t="shared" si="33"/>
        <v>470</v>
      </c>
      <c r="Q310" s="31">
        <f t="shared" si="34"/>
        <v>1</v>
      </c>
      <c r="T310" s="3">
        <v>500</v>
      </c>
      <c r="U310" s="4"/>
      <c r="V310" s="4">
        <f t="shared" si="37"/>
        <v>4400</v>
      </c>
    </row>
    <row r="311" spans="2:22" x14ac:dyDescent="0.25">
      <c r="B311" s="1">
        <v>208</v>
      </c>
      <c r="C311" s="7">
        <v>15278489</v>
      </c>
      <c r="D311" s="2" t="s">
        <v>294</v>
      </c>
      <c r="E311" s="2" t="s">
        <v>594</v>
      </c>
      <c r="F311" s="2">
        <v>6044590</v>
      </c>
      <c r="G311" s="2" t="s">
        <v>775</v>
      </c>
      <c r="H311" s="5">
        <v>300</v>
      </c>
      <c r="I311">
        <v>5000</v>
      </c>
      <c r="J311" s="27">
        <f t="shared" si="30"/>
        <v>4700</v>
      </c>
      <c r="K311" s="3">
        <v>4750</v>
      </c>
      <c r="L311" s="29">
        <f t="shared" si="31"/>
        <v>250</v>
      </c>
      <c r="M311" s="30">
        <v>0</v>
      </c>
      <c r="N311" s="31">
        <f t="shared" si="32"/>
        <v>0</v>
      </c>
      <c r="O311" s="32">
        <v>10</v>
      </c>
      <c r="P311" s="29">
        <f t="shared" si="33"/>
        <v>470</v>
      </c>
      <c r="Q311" s="31">
        <f t="shared" si="34"/>
        <v>10</v>
      </c>
      <c r="T311" s="3">
        <v>4750</v>
      </c>
      <c r="U311" s="4"/>
      <c r="V311" s="4">
        <f t="shared" si="37"/>
        <v>4400</v>
      </c>
    </row>
    <row r="312" spans="2:22" x14ac:dyDescent="0.25">
      <c r="B312" s="1">
        <v>209</v>
      </c>
      <c r="C312" s="7">
        <v>16240092</v>
      </c>
      <c r="D312" s="2" t="s">
        <v>295</v>
      </c>
      <c r="E312" s="2" t="s">
        <v>604</v>
      </c>
      <c r="F312" s="2">
        <v>6881686010</v>
      </c>
      <c r="G312" s="2" t="s">
        <v>776</v>
      </c>
      <c r="H312" s="5"/>
      <c r="I312">
        <v>5000</v>
      </c>
      <c r="J312" s="27">
        <f t="shared" si="30"/>
        <v>5000</v>
      </c>
      <c r="K312" s="3">
        <v>500</v>
      </c>
      <c r="L312" s="29">
        <f t="shared" si="31"/>
        <v>4500</v>
      </c>
      <c r="M312" s="30">
        <v>0</v>
      </c>
      <c r="N312" s="31">
        <f t="shared" si="32"/>
        <v>0</v>
      </c>
      <c r="O312" s="32">
        <v>10</v>
      </c>
      <c r="P312" s="29">
        <f t="shared" si="33"/>
        <v>500</v>
      </c>
      <c r="Q312" s="31">
        <f t="shared" si="34"/>
        <v>1</v>
      </c>
      <c r="T312" s="3">
        <v>500</v>
      </c>
      <c r="U312" s="4"/>
      <c r="V312" s="4">
        <f t="shared" si="37"/>
        <v>5000</v>
      </c>
    </row>
    <row r="313" spans="2:22" x14ac:dyDescent="0.25">
      <c r="B313" s="1">
        <v>209</v>
      </c>
      <c r="C313" s="7">
        <v>17062036</v>
      </c>
      <c r="D313" s="2" t="s">
        <v>296</v>
      </c>
      <c r="E313" s="2" t="s">
        <v>599</v>
      </c>
      <c r="F313" s="2">
        <v>6881686010</v>
      </c>
      <c r="G313" s="2" t="s">
        <v>776</v>
      </c>
      <c r="H313" s="5"/>
      <c r="I313">
        <v>5000</v>
      </c>
      <c r="J313" s="27">
        <f t="shared" si="30"/>
        <v>4750</v>
      </c>
      <c r="K313" s="3">
        <v>475</v>
      </c>
      <c r="L313" s="29">
        <f t="shared" si="31"/>
        <v>4275</v>
      </c>
      <c r="M313" s="30">
        <v>0.05</v>
      </c>
      <c r="N313" s="31">
        <f t="shared" si="32"/>
        <v>250</v>
      </c>
      <c r="O313" s="32">
        <v>10</v>
      </c>
      <c r="P313" s="29">
        <f t="shared" si="33"/>
        <v>475</v>
      </c>
      <c r="Q313" s="31">
        <f t="shared" si="34"/>
        <v>1</v>
      </c>
      <c r="T313" s="3">
        <v>475</v>
      </c>
      <c r="U313" s="4"/>
      <c r="V313" s="4">
        <f t="shared" si="37"/>
        <v>4750</v>
      </c>
    </row>
    <row r="314" spans="2:22" x14ac:dyDescent="0.25">
      <c r="B314" s="1">
        <v>209</v>
      </c>
      <c r="C314" s="7">
        <v>15639227</v>
      </c>
      <c r="D314" s="2" t="s">
        <v>297</v>
      </c>
      <c r="E314" s="2" t="s">
        <v>596</v>
      </c>
      <c r="F314" s="2">
        <v>6881686010</v>
      </c>
      <c r="G314" s="2" t="s">
        <v>776</v>
      </c>
      <c r="H314" s="8"/>
      <c r="I314">
        <v>5000</v>
      </c>
      <c r="J314" s="27">
        <f t="shared" si="30"/>
        <v>4500</v>
      </c>
      <c r="K314" s="3">
        <v>450</v>
      </c>
      <c r="L314" s="29">
        <f t="shared" si="31"/>
        <v>4050</v>
      </c>
      <c r="M314" s="30">
        <v>0.1</v>
      </c>
      <c r="N314" s="31">
        <f t="shared" si="32"/>
        <v>500</v>
      </c>
      <c r="O314" s="32">
        <v>10</v>
      </c>
      <c r="P314" s="29">
        <f t="shared" si="33"/>
        <v>450</v>
      </c>
      <c r="Q314" s="31">
        <f t="shared" si="34"/>
        <v>1</v>
      </c>
      <c r="T314" s="3">
        <v>450</v>
      </c>
      <c r="U314" s="4"/>
      <c r="V314" s="4">
        <f t="shared" si="37"/>
        <v>4500</v>
      </c>
    </row>
    <row r="315" spans="2:22" x14ac:dyDescent="0.25">
      <c r="B315" s="1">
        <v>210</v>
      </c>
      <c r="C315" s="7">
        <v>16615884</v>
      </c>
      <c r="D315" s="2" t="s">
        <v>298</v>
      </c>
      <c r="E315" s="2" t="s">
        <v>594</v>
      </c>
      <c r="F315" s="2">
        <v>4338863</v>
      </c>
      <c r="G315" s="2" t="s">
        <v>777</v>
      </c>
      <c r="H315" s="5">
        <v>300</v>
      </c>
      <c r="I315">
        <v>5000</v>
      </c>
      <c r="J315" s="27">
        <f t="shared" si="30"/>
        <v>4700</v>
      </c>
      <c r="K315" s="3">
        <v>4750</v>
      </c>
      <c r="L315" s="29">
        <f t="shared" si="31"/>
        <v>250</v>
      </c>
      <c r="M315" s="30">
        <v>0</v>
      </c>
      <c r="N315" s="31">
        <f t="shared" si="32"/>
        <v>0</v>
      </c>
      <c r="O315" s="32">
        <v>10</v>
      </c>
      <c r="P315" s="29">
        <f t="shared" si="33"/>
        <v>470</v>
      </c>
      <c r="Q315" s="31">
        <f t="shared" si="34"/>
        <v>10</v>
      </c>
      <c r="T315" s="3">
        <v>4750</v>
      </c>
      <c r="U315" s="4"/>
      <c r="V315" s="4">
        <f t="shared" si="37"/>
        <v>4400</v>
      </c>
    </row>
    <row r="316" spans="2:22" x14ac:dyDescent="0.25">
      <c r="B316" s="1">
        <v>211</v>
      </c>
      <c r="C316" s="7">
        <v>17103014</v>
      </c>
      <c r="D316" s="2" t="s">
        <v>299</v>
      </c>
      <c r="E316" s="2" t="s">
        <v>598</v>
      </c>
      <c r="F316" s="2">
        <v>8313500</v>
      </c>
      <c r="G316" s="2" t="s">
        <v>778</v>
      </c>
      <c r="H316" s="5">
        <v>300</v>
      </c>
      <c r="I316">
        <v>5000</v>
      </c>
      <c r="J316" s="27">
        <f t="shared" si="30"/>
        <v>4450</v>
      </c>
      <c r="K316" s="3">
        <v>475</v>
      </c>
      <c r="L316" s="29">
        <f t="shared" si="31"/>
        <v>4275</v>
      </c>
      <c r="M316" s="30">
        <v>0.05</v>
      </c>
      <c r="N316" s="31">
        <f t="shared" si="32"/>
        <v>250</v>
      </c>
      <c r="O316" s="32">
        <v>10</v>
      </c>
      <c r="P316" s="29">
        <f t="shared" si="33"/>
        <v>445</v>
      </c>
      <c r="Q316" s="31">
        <f t="shared" si="34"/>
        <v>1</v>
      </c>
      <c r="T316" s="3">
        <v>475</v>
      </c>
      <c r="U316" s="4"/>
      <c r="V316" s="4">
        <f t="shared" si="37"/>
        <v>4150</v>
      </c>
    </row>
    <row r="317" spans="2:22" x14ac:dyDescent="0.25">
      <c r="B317" s="1">
        <v>211</v>
      </c>
      <c r="C317" s="7">
        <v>12581499</v>
      </c>
      <c r="D317" s="2" t="s">
        <v>300</v>
      </c>
      <c r="E317" s="2" t="s">
        <v>605</v>
      </c>
      <c r="F317" s="2">
        <v>8313500</v>
      </c>
      <c r="G317" s="2" t="s">
        <v>778</v>
      </c>
      <c r="H317" s="5">
        <v>300</v>
      </c>
      <c r="I317">
        <v>5000</v>
      </c>
      <c r="J317" s="27">
        <f t="shared" si="30"/>
        <v>4700</v>
      </c>
      <c r="K317" s="3">
        <v>500</v>
      </c>
      <c r="L317" s="29">
        <f t="shared" si="31"/>
        <v>4500</v>
      </c>
      <c r="M317" s="30">
        <v>0</v>
      </c>
      <c r="N317" s="31">
        <f t="shared" si="32"/>
        <v>0</v>
      </c>
      <c r="O317" s="32">
        <v>10</v>
      </c>
      <c r="P317" s="29">
        <f t="shared" si="33"/>
        <v>470</v>
      </c>
      <c r="Q317" s="31">
        <f t="shared" si="34"/>
        <v>1</v>
      </c>
      <c r="T317" s="3">
        <v>500</v>
      </c>
      <c r="U317" s="4"/>
      <c r="V317" s="4">
        <f t="shared" si="37"/>
        <v>4400</v>
      </c>
    </row>
    <row r="318" spans="2:22" x14ac:dyDescent="0.25">
      <c r="B318" s="1">
        <v>212</v>
      </c>
      <c r="C318" s="7">
        <v>12892996</v>
      </c>
      <c r="D318" s="2" t="s">
        <v>561</v>
      </c>
      <c r="E318" s="2" t="s">
        <v>601</v>
      </c>
      <c r="F318" s="2">
        <v>6794439</v>
      </c>
      <c r="G318" s="2" t="s">
        <v>779</v>
      </c>
      <c r="H318" s="5">
        <v>300</v>
      </c>
      <c r="I318">
        <v>5000</v>
      </c>
      <c r="J318" s="27">
        <f t="shared" si="30"/>
        <v>4700</v>
      </c>
      <c r="K318" s="3">
        <v>4750</v>
      </c>
      <c r="L318" s="29">
        <f t="shared" si="31"/>
        <v>250</v>
      </c>
      <c r="M318" s="30">
        <v>0</v>
      </c>
      <c r="N318" s="31">
        <f t="shared" si="32"/>
        <v>0</v>
      </c>
      <c r="O318" s="32">
        <v>10</v>
      </c>
      <c r="P318" s="29">
        <f t="shared" si="33"/>
        <v>470</v>
      </c>
      <c r="Q318" s="31">
        <f t="shared" si="34"/>
        <v>10</v>
      </c>
      <c r="T318" s="3">
        <v>4750</v>
      </c>
      <c r="U318" s="4"/>
      <c r="V318" s="4">
        <f t="shared" si="37"/>
        <v>4400</v>
      </c>
    </row>
    <row r="319" spans="2:22" x14ac:dyDescent="0.25">
      <c r="B319" s="1">
        <v>213</v>
      </c>
      <c r="C319" s="7">
        <v>12764524</v>
      </c>
      <c r="D319" s="2" t="s">
        <v>301</v>
      </c>
      <c r="E319" s="2" t="s">
        <v>603</v>
      </c>
      <c r="F319" s="2">
        <v>6732543</v>
      </c>
      <c r="G319" s="2" t="s">
        <v>780</v>
      </c>
      <c r="H319" s="5">
        <v>300</v>
      </c>
      <c r="I319">
        <v>5000</v>
      </c>
      <c r="J319" s="27">
        <f t="shared" si="30"/>
        <v>4700</v>
      </c>
      <c r="K319" s="3">
        <v>500</v>
      </c>
      <c r="L319" s="29">
        <f t="shared" si="31"/>
        <v>4500</v>
      </c>
      <c r="M319" s="30">
        <v>0</v>
      </c>
      <c r="N319" s="31">
        <f t="shared" si="32"/>
        <v>0</v>
      </c>
      <c r="O319" s="32">
        <v>10</v>
      </c>
      <c r="P319" s="29">
        <f t="shared" si="33"/>
        <v>470</v>
      </c>
      <c r="Q319" s="31">
        <f t="shared" si="34"/>
        <v>1</v>
      </c>
      <c r="T319" s="3">
        <v>500</v>
      </c>
      <c r="U319" s="4"/>
      <c r="V319" s="4">
        <f t="shared" si="37"/>
        <v>4400</v>
      </c>
    </row>
    <row r="320" spans="2:22" x14ac:dyDescent="0.25">
      <c r="B320" s="1">
        <v>213</v>
      </c>
      <c r="C320" s="7">
        <v>15566873</v>
      </c>
      <c r="D320" s="2" t="s">
        <v>302</v>
      </c>
      <c r="E320" s="2" t="s">
        <v>594</v>
      </c>
      <c r="F320" s="2">
        <v>6732543</v>
      </c>
      <c r="G320" s="2" t="s">
        <v>780</v>
      </c>
      <c r="H320" s="5">
        <v>300</v>
      </c>
      <c r="I320">
        <v>5000</v>
      </c>
      <c r="J320" s="27">
        <f t="shared" si="30"/>
        <v>4450</v>
      </c>
      <c r="K320" s="3">
        <v>475</v>
      </c>
      <c r="L320" s="29">
        <f t="shared" si="31"/>
        <v>4275</v>
      </c>
      <c r="M320" s="30">
        <v>0.05</v>
      </c>
      <c r="N320" s="31">
        <f t="shared" si="32"/>
        <v>250</v>
      </c>
      <c r="O320" s="32">
        <v>10</v>
      </c>
      <c r="P320" s="29">
        <f t="shared" si="33"/>
        <v>445</v>
      </c>
      <c r="Q320" s="31">
        <f t="shared" si="34"/>
        <v>1</v>
      </c>
      <c r="T320" s="3">
        <v>475</v>
      </c>
      <c r="U320" s="4"/>
      <c r="V320" s="4">
        <f t="shared" si="37"/>
        <v>4150</v>
      </c>
    </row>
    <row r="321" spans="2:22" x14ac:dyDescent="0.25">
      <c r="B321" s="1">
        <v>214</v>
      </c>
      <c r="C321" s="7">
        <v>14650185</v>
      </c>
      <c r="D321" s="2" t="s">
        <v>303</v>
      </c>
      <c r="E321" s="2" t="s">
        <v>601</v>
      </c>
      <c r="F321" s="2">
        <v>2022861014</v>
      </c>
      <c r="G321" s="2" t="s">
        <v>644</v>
      </c>
      <c r="H321" s="5"/>
      <c r="I321">
        <v>5000</v>
      </c>
      <c r="J321" s="27">
        <f t="shared" si="30"/>
        <v>5000</v>
      </c>
      <c r="K321" s="3">
        <v>500</v>
      </c>
      <c r="L321" s="29">
        <f t="shared" si="31"/>
        <v>4500</v>
      </c>
      <c r="M321" s="30">
        <v>0</v>
      </c>
      <c r="N321" s="31">
        <f t="shared" si="32"/>
        <v>0</v>
      </c>
      <c r="O321" s="32">
        <v>10</v>
      </c>
      <c r="P321" s="29">
        <f t="shared" si="33"/>
        <v>500</v>
      </c>
      <c r="Q321" s="31">
        <f t="shared" si="34"/>
        <v>1</v>
      </c>
      <c r="T321" s="3">
        <v>500</v>
      </c>
      <c r="U321" s="4">
        <v>500</v>
      </c>
      <c r="V321" s="4">
        <f t="shared" si="37"/>
        <v>4500</v>
      </c>
    </row>
    <row r="322" spans="2:22" x14ac:dyDescent="0.25">
      <c r="B322" s="1">
        <v>214</v>
      </c>
      <c r="C322" s="7">
        <v>16637976</v>
      </c>
      <c r="D322" s="2" t="s">
        <v>304</v>
      </c>
      <c r="E322" s="2" t="s">
        <v>604</v>
      </c>
      <c r="F322" s="2">
        <v>2022861014</v>
      </c>
      <c r="G322" s="2" t="s">
        <v>644</v>
      </c>
      <c r="H322" s="5"/>
      <c r="I322">
        <v>5000</v>
      </c>
      <c r="J322" s="27">
        <f t="shared" si="30"/>
        <v>4750</v>
      </c>
      <c r="K322" s="3">
        <v>475</v>
      </c>
      <c r="L322" s="29">
        <f t="shared" si="31"/>
        <v>4275</v>
      </c>
      <c r="M322" s="30">
        <v>0.05</v>
      </c>
      <c r="N322" s="31">
        <f t="shared" si="32"/>
        <v>250</v>
      </c>
      <c r="O322" s="32">
        <v>10</v>
      </c>
      <c r="P322" s="29">
        <f t="shared" si="33"/>
        <v>475</v>
      </c>
      <c r="Q322" s="31">
        <f t="shared" si="34"/>
        <v>1</v>
      </c>
      <c r="T322" s="3">
        <v>475</v>
      </c>
      <c r="U322" s="4">
        <v>475</v>
      </c>
      <c r="V322" s="4">
        <f t="shared" si="37"/>
        <v>4275</v>
      </c>
    </row>
    <row r="323" spans="2:22" x14ac:dyDescent="0.25">
      <c r="B323" s="1">
        <v>215</v>
      </c>
      <c r="C323" s="7">
        <v>15501722</v>
      </c>
      <c r="D323" s="2" t="s">
        <v>305</v>
      </c>
      <c r="E323" s="2" t="s">
        <v>594</v>
      </c>
      <c r="F323" s="2">
        <v>7037938</v>
      </c>
      <c r="G323" s="2" t="s">
        <v>648</v>
      </c>
      <c r="H323" s="5"/>
      <c r="I323">
        <v>5000</v>
      </c>
      <c r="J323" s="27">
        <f t="shared" ref="J323:J386" si="38">I323-H323-N323</f>
        <v>5000</v>
      </c>
      <c r="K323" s="3">
        <v>4750</v>
      </c>
      <c r="L323" s="29">
        <f t="shared" ref="L323:L386" si="39">(I323-N323)-K323</f>
        <v>250</v>
      </c>
      <c r="M323" s="30">
        <v>0</v>
      </c>
      <c r="N323" s="31">
        <f t="shared" ref="N323:N386" si="40">I323*M323</f>
        <v>0</v>
      </c>
      <c r="O323" s="32">
        <v>10</v>
      </c>
      <c r="P323" s="29">
        <f t="shared" ref="P323:P386" si="41">J323/O323</f>
        <v>500</v>
      </c>
      <c r="Q323" s="31">
        <f t="shared" ref="Q323:Q386" si="42">INT(K323/P323)</f>
        <v>9</v>
      </c>
      <c r="T323" s="3">
        <v>4750</v>
      </c>
      <c r="U323" s="4">
        <v>4750</v>
      </c>
      <c r="V323" s="4">
        <f t="shared" si="37"/>
        <v>250</v>
      </c>
    </row>
    <row r="324" spans="2:22" x14ac:dyDescent="0.25">
      <c r="B324" s="1">
        <v>215</v>
      </c>
      <c r="C324" s="7">
        <v>16943011</v>
      </c>
      <c r="D324" s="2" t="s">
        <v>306</v>
      </c>
      <c r="E324" s="2" t="s">
        <v>595</v>
      </c>
      <c r="F324" s="2">
        <v>7037938</v>
      </c>
      <c r="G324" s="2" t="s">
        <v>648</v>
      </c>
      <c r="H324" s="5">
        <v>300</v>
      </c>
      <c r="I324">
        <v>5000</v>
      </c>
      <c r="J324" s="27">
        <f t="shared" si="38"/>
        <v>4700</v>
      </c>
      <c r="K324" s="3">
        <v>4750</v>
      </c>
      <c r="L324" s="29">
        <f t="shared" si="39"/>
        <v>250</v>
      </c>
      <c r="M324" s="30">
        <v>0</v>
      </c>
      <c r="N324" s="31">
        <f t="shared" si="40"/>
        <v>0</v>
      </c>
      <c r="O324" s="32">
        <v>10</v>
      </c>
      <c r="P324" s="29">
        <f t="shared" si="41"/>
        <v>470</v>
      </c>
      <c r="Q324" s="31">
        <f t="shared" si="42"/>
        <v>10</v>
      </c>
      <c r="T324" s="3">
        <v>4750</v>
      </c>
      <c r="U324" s="4">
        <v>250</v>
      </c>
      <c r="V324" s="4">
        <f t="shared" si="37"/>
        <v>4150</v>
      </c>
    </row>
    <row r="325" spans="2:22" x14ac:dyDescent="0.25">
      <c r="B325" s="1">
        <v>216</v>
      </c>
      <c r="C325" s="7">
        <v>14039301</v>
      </c>
      <c r="D325" s="2" t="s">
        <v>307</v>
      </c>
      <c r="E325" s="2" t="s">
        <v>601</v>
      </c>
      <c r="F325" s="2">
        <v>3490243</v>
      </c>
      <c r="G325" s="2" t="s">
        <v>781</v>
      </c>
      <c r="H325" s="5">
        <v>300</v>
      </c>
      <c r="I325">
        <v>5000</v>
      </c>
      <c r="J325" s="27">
        <f t="shared" si="38"/>
        <v>4700</v>
      </c>
      <c r="K325" s="3">
        <v>500</v>
      </c>
      <c r="L325" s="29">
        <f t="shared" si="39"/>
        <v>4500</v>
      </c>
      <c r="M325" s="30">
        <v>0</v>
      </c>
      <c r="N325" s="31">
        <f t="shared" si="40"/>
        <v>0</v>
      </c>
      <c r="O325" s="32">
        <v>10</v>
      </c>
      <c r="P325" s="29">
        <f t="shared" si="41"/>
        <v>470</v>
      </c>
      <c r="Q325" s="31">
        <f t="shared" si="42"/>
        <v>1</v>
      </c>
      <c r="T325" s="3">
        <v>500</v>
      </c>
      <c r="U325" s="4"/>
      <c r="V325" s="4">
        <f t="shared" si="37"/>
        <v>4400</v>
      </c>
    </row>
    <row r="326" spans="2:22" x14ac:dyDescent="0.25">
      <c r="B326" s="1">
        <v>217</v>
      </c>
      <c r="C326" s="7">
        <v>14945561</v>
      </c>
      <c r="D326" s="2" t="s">
        <v>308</v>
      </c>
      <c r="E326" s="2" t="s">
        <v>601</v>
      </c>
      <c r="F326" s="2">
        <v>6053462</v>
      </c>
      <c r="G326" s="2" t="s">
        <v>701</v>
      </c>
      <c r="H326" s="5">
        <v>300</v>
      </c>
      <c r="I326">
        <v>5000</v>
      </c>
      <c r="J326" s="27">
        <f t="shared" si="38"/>
        <v>4700</v>
      </c>
      <c r="K326" s="3">
        <v>500</v>
      </c>
      <c r="L326" s="29">
        <f t="shared" si="39"/>
        <v>4500</v>
      </c>
      <c r="M326" s="30">
        <v>0</v>
      </c>
      <c r="N326" s="31">
        <f t="shared" si="40"/>
        <v>0</v>
      </c>
      <c r="O326" s="32">
        <v>10</v>
      </c>
      <c r="P326" s="29">
        <f t="shared" si="41"/>
        <v>470</v>
      </c>
      <c r="Q326" s="31">
        <f t="shared" si="42"/>
        <v>1</v>
      </c>
      <c r="T326" s="3">
        <v>500</v>
      </c>
      <c r="U326" s="4"/>
      <c r="V326" s="4">
        <f t="shared" si="37"/>
        <v>4400</v>
      </c>
    </row>
    <row r="327" spans="2:22" x14ac:dyDescent="0.25">
      <c r="B327" s="1">
        <v>218</v>
      </c>
      <c r="C327" s="7">
        <v>13922388</v>
      </c>
      <c r="D327" s="2" t="s">
        <v>309</v>
      </c>
      <c r="E327" s="2" t="s">
        <v>601</v>
      </c>
      <c r="F327" s="2">
        <v>4375056</v>
      </c>
      <c r="G327" s="2" t="s">
        <v>782</v>
      </c>
      <c r="H327" s="5">
        <v>300</v>
      </c>
      <c r="I327">
        <v>5000</v>
      </c>
      <c r="J327" s="27">
        <f t="shared" si="38"/>
        <v>4700</v>
      </c>
      <c r="K327" s="3">
        <v>500</v>
      </c>
      <c r="L327" s="29">
        <f t="shared" si="39"/>
        <v>4500</v>
      </c>
      <c r="M327" s="30">
        <v>0</v>
      </c>
      <c r="N327" s="31">
        <f t="shared" si="40"/>
        <v>0</v>
      </c>
      <c r="O327" s="32">
        <v>10</v>
      </c>
      <c r="P327" s="29">
        <f t="shared" si="41"/>
        <v>470</v>
      </c>
      <c r="Q327" s="31">
        <f t="shared" si="42"/>
        <v>1</v>
      </c>
      <c r="T327" s="3">
        <v>500</v>
      </c>
      <c r="U327" s="4"/>
      <c r="V327" s="4">
        <f t="shared" si="37"/>
        <v>4400</v>
      </c>
    </row>
    <row r="328" spans="2:22" x14ac:dyDescent="0.25">
      <c r="B328" s="1">
        <v>219</v>
      </c>
      <c r="C328" s="7">
        <v>12640715</v>
      </c>
      <c r="D328" s="2" t="s">
        <v>310</v>
      </c>
      <c r="E328" s="2" t="s">
        <v>603</v>
      </c>
      <c r="F328" s="2">
        <v>6126439</v>
      </c>
      <c r="G328" s="2" t="s">
        <v>783</v>
      </c>
      <c r="H328" s="5">
        <v>300</v>
      </c>
      <c r="I328">
        <v>5000</v>
      </c>
      <c r="J328" s="27">
        <f t="shared" si="38"/>
        <v>4700</v>
      </c>
      <c r="K328" s="3">
        <v>4750</v>
      </c>
      <c r="L328" s="29">
        <f t="shared" si="39"/>
        <v>250</v>
      </c>
      <c r="M328" s="30">
        <v>0</v>
      </c>
      <c r="N328" s="31">
        <f t="shared" si="40"/>
        <v>0</v>
      </c>
      <c r="O328" s="32">
        <v>10</v>
      </c>
      <c r="P328" s="29">
        <f t="shared" si="41"/>
        <v>470</v>
      </c>
      <c r="Q328" s="31">
        <f t="shared" si="42"/>
        <v>10</v>
      </c>
      <c r="T328" s="3">
        <v>4750</v>
      </c>
      <c r="U328" s="4"/>
      <c r="V328" s="4">
        <f t="shared" si="37"/>
        <v>4400</v>
      </c>
    </row>
    <row r="329" spans="2:22" x14ac:dyDescent="0.25">
      <c r="B329" s="1">
        <v>219</v>
      </c>
      <c r="C329" s="7">
        <v>15344282</v>
      </c>
      <c r="D329" s="2" t="s">
        <v>311</v>
      </c>
      <c r="E329" s="2" t="s">
        <v>594</v>
      </c>
      <c r="F329" s="2">
        <v>6126439</v>
      </c>
      <c r="G329" s="2" t="s">
        <v>783</v>
      </c>
      <c r="H329" s="5">
        <v>300</v>
      </c>
      <c r="I329">
        <v>5000</v>
      </c>
      <c r="J329" s="27">
        <f t="shared" si="38"/>
        <v>4700</v>
      </c>
      <c r="K329" s="3">
        <v>4750</v>
      </c>
      <c r="L329" s="29">
        <f t="shared" si="39"/>
        <v>250</v>
      </c>
      <c r="M329" s="30">
        <v>0</v>
      </c>
      <c r="N329" s="31">
        <f t="shared" si="40"/>
        <v>0</v>
      </c>
      <c r="O329" s="32">
        <v>10</v>
      </c>
      <c r="P329" s="29">
        <f t="shared" si="41"/>
        <v>470</v>
      </c>
      <c r="Q329" s="31">
        <f t="shared" si="42"/>
        <v>10</v>
      </c>
      <c r="T329" s="3">
        <v>4750</v>
      </c>
      <c r="U329" s="4"/>
      <c r="V329" s="4">
        <f t="shared" ref="V329:V360" si="43">J329-H329-U329</f>
        <v>4400</v>
      </c>
    </row>
    <row r="330" spans="2:22" x14ac:dyDescent="0.25">
      <c r="B330" s="1">
        <v>220</v>
      </c>
      <c r="C330" s="7">
        <v>13299112</v>
      </c>
      <c r="D330" s="2" t="s">
        <v>312</v>
      </c>
      <c r="E330" s="2" t="s">
        <v>601</v>
      </c>
      <c r="F330" s="2">
        <v>4910871</v>
      </c>
      <c r="G330" s="2" t="s">
        <v>784</v>
      </c>
      <c r="H330" s="5"/>
      <c r="I330">
        <v>5000</v>
      </c>
      <c r="J330" s="27">
        <f t="shared" si="38"/>
        <v>5000</v>
      </c>
      <c r="K330" s="3">
        <v>4750</v>
      </c>
      <c r="L330" s="29">
        <f t="shared" si="39"/>
        <v>250</v>
      </c>
      <c r="M330" s="30">
        <v>0</v>
      </c>
      <c r="N330" s="31">
        <f t="shared" si="40"/>
        <v>0</v>
      </c>
      <c r="O330" s="32">
        <v>10</v>
      </c>
      <c r="P330" s="29">
        <f t="shared" si="41"/>
        <v>500</v>
      </c>
      <c r="Q330" s="31">
        <f t="shared" si="42"/>
        <v>9</v>
      </c>
      <c r="T330" s="3">
        <v>4750</v>
      </c>
      <c r="U330" s="4"/>
      <c r="V330" s="4">
        <f t="shared" si="43"/>
        <v>5000</v>
      </c>
    </row>
    <row r="331" spans="2:22" x14ac:dyDescent="0.25">
      <c r="B331" s="1">
        <v>221</v>
      </c>
      <c r="C331" s="7">
        <v>12571751</v>
      </c>
      <c r="D331" s="2" t="s">
        <v>313</v>
      </c>
      <c r="E331" s="2" t="s">
        <v>601</v>
      </c>
      <c r="F331" s="2">
        <v>6830348</v>
      </c>
      <c r="G331" s="2" t="s">
        <v>785</v>
      </c>
      <c r="H331" s="5"/>
      <c r="I331">
        <v>5000</v>
      </c>
      <c r="J331" s="27">
        <f t="shared" si="38"/>
        <v>5000</v>
      </c>
      <c r="K331" s="3">
        <v>500</v>
      </c>
      <c r="L331" s="29">
        <f t="shared" si="39"/>
        <v>4500</v>
      </c>
      <c r="M331" s="30">
        <v>0</v>
      </c>
      <c r="N331" s="31">
        <f t="shared" si="40"/>
        <v>0</v>
      </c>
      <c r="O331" s="32">
        <v>10</v>
      </c>
      <c r="P331" s="29">
        <f t="shared" si="41"/>
        <v>500</v>
      </c>
      <c r="Q331" s="31">
        <f t="shared" si="42"/>
        <v>1</v>
      </c>
      <c r="T331" s="3">
        <v>500</v>
      </c>
      <c r="U331" s="4">
        <v>500</v>
      </c>
      <c r="V331" s="4">
        <f t="shared" si="43"/>
        <v>4500</v>
      </c>
    </row>
    <row r="332" spans="2:22" x14ac:dyDescent="0.25">
      <c r="B332" s="1">
        <v>222</v>
      </c>
      <c r="C332" s="7">
        <v>14560999</v>
      </c>
      <c r="D332" s="2" t="s">
        <v>314</v>
      </c>
      <c r="E332" s="2" t="s">
        <v>605</v>
      </c>
      <c r="F332" s="2">
        <v>6045782</v>
      </c>
      <c r="G332" s="2" t="s">
        <v>786</v>
      </c>
      <c r="H332" s="5">
        <v>300</v>
      </c>
      <c r="I332">
        <v>5000</v>
      </c>
      <c r="J332" s="27">
        <f t="shared" si="38"/>
        <v>4700</v>
      </c>
      <c r="K332" s="3">
        <v>500</v>
      </c>
      <c r="L332" s="29">
        <f t="shared" si="39"/>
        <v>4500</v>
      </c>
      <c r="M332" s="30">
        <v>0</v>
      </c>
      <c r="N332" s="31">
        <f t="shared" si="40"/>
        <v>0</v>
      </c>
      <c r="O332" s="32">
        <v>10</v>
      </c>
      <c r="P332" s="29">
        <f t="shared" si="41"/>
        <v>470</v>
      </c>
      <c r="Q332" s="31">
        <f t="shared" si="42"/>
        <v>1</v>
      </c>
      <c r="T332" s="3">
        <v>500</v>
      </c>
      <c r="U332" s="4"/>
      <c r="V332" s="4">
        <f t="shared" si="43"/>
        <v>4400</v>
      </c>
    </row>
    <row r="333" spans="2:22" x14ac:dyDescent="0.25">
      <c r="B333" s="1">
        <v>223</v>
      </c>
      <c r="C333" s="7">
        <v>15204206</v>
      </c>
      <c r="D333" s="2" t="s">
        <v>315</v>
      </c>
      <c r="E333" s="2" t="s">
        <v>592</v>
      </c>
      <c r="F333" s="2">
        <v>4877358</v>
      </c>
      <c r="G333" s="2" t="s">
        <v>641</v>
      </c>
      <c r="H333" s="5">
        <v>300</v>
      </c>
      <c r="I333">
        <v>5000</v>
      </c>
      <c r="J333" s="27">
        <f t="shared" si="38"/>
        <v>4700</v>
      </c>
      <c r="K333" s="3">
        <v>4750</v>
      </c>
      <c r="L333" s="29">
        <f t="shared" si="39"/>
        <v>250</v>
      </c>
      <c r="M333" s="30">
        <v>0</v>
      </c>
      <c r="N333" s="31">
        <f t="shared" si="40"/>
        <v>0</v>
      </c>
      <c r="O333" s="32">
        <v>10</v>
      </c>
      <c r="P333" s="29">
        <f t="shared" si="41"/>
        <v>470</v>
      </c>
      <c r="Q333" s="31">
        <f t="shared" si="42"/>
        <v>10</v>
      </c>
      <c r="T333" s="3">
        <v>4750</v>
      </c>
      <c r="U333" s="4">
        <v>4450</v>
      </c>
      <c r="V333" s="4">
        <f t="shared" si="43"/>
        <v>-50</v>
      </c>
    </row>
    <row r="334" spans="2:22" x14ac:dyDescent="0.25">
      <c r="B334" s="1">
        <v>223</v>
      </c>
      <c r="C334" s="7">
        <v>13313219</v>
      </c>
      <c r="D334" s="2" t="s">
        <v>316</v>
      </c>
      <c r="E334" s="2" t="s">
        <v>603</v>
      </c>
      <c r="F334" s="2">
        <v>4877358</v>
      </c>
      <c r="G334" s="2" t="s">
        <v>641</v>
      </c>
      <c r="H334" s="5">
        <v>300</v>
      </c>
      <c r="I334">
        <v>5000</v>
      </c>
      <c r="J334" s="27">
        <f t="shared" si="38"/>
        <v>4700</v>
      </c>
      <c r="K334" s="3">
        <v>4750</v>
      </c>
      <c r="L334" s="29">
        <f t="shared" si="39"/>
        <v>250</v>
      </c>
      <c r="M334" s="30">
        <v>0</v>
      </c>
      <c r="N334" s="31">
        <f t="shared" si="40"/>
        <v>0</v>
      </c>
      <c r="O334" s="32">
        <v>10</v>
      </c>
      <c r="P334" s="29">
        <f t="shared" si="41"/>
        <v>470</v>
      </c>
      <c r="Q334" s="31">
        <f t="shared" si="42"/>
        <v>10</v>
      </c>
      <c r="T334" s="3">
        <v>4750</v>
      </c>
      <c r="U334" s="4">
        <v>4450</v>
      </c>
      <c r="V334" s="4">
        <f t="shared" si="43"/>
        <v>-50</v>
      </c>
    </row>
    <row r="335" spans="2:22" x14ac:dyDescent="0.25">
      <c r="B335" s="1">
        <v>224</v>
      </c>
      <c r="C335" s="7">
        <v>14449349</v>
      </c>
      <c r="D335" s="2" t="s">
        <v>317</v>
      </c>
      <c r="E335" s="2" t="s">
        <v>592</v>
      </c>
      <c r="F335" s="2">
        <v>4813861</v>
      </c>
      <c r="G335" s="2" t="s">
        <v>787</v>
      </c>
      <c r="H335" s="5"/>
      <c r="I335">
        <v>5000</v>
      </c>
      <c r="J335" s="27">
        <f t="shared" si="38"/>
        <v>5000</v>
      </c>
      <c r="K335" s="3">
        <v>4750</v>
      </c>
      <c r="L335" s="29">
        <f t="shared" si="39"/>
        <v>250</v>
      </c>
      <c r="M335" s="30">
        <v>0</v>
      </c>
      <c r="N335" s="31">
        <f t="shared" si="40"/>
        <v>0</v>
      </c>
      <c r="O335" s="32">
        <v>10</v>
      </c>
      <c r="P335" s="29">
        <f t="shared" si="41"/>
        <v>500</v>
      </c>
      <c r="Q335" s="31">
        <f t="shared" si="42"/>
        <v>9</v>
      </c>
      <c r="T335" s="3">
        <v>4750</v>
      </c>
      <c r="U335" s="4">
        <v>4750</v>
      </c>
      <c r="V335" s="4">
        <f t="shared" si="43"/>
        <v>250</v>
      </c>
    </row>
    <row r="336" spans="2:22" x14ac:dyDescent="0.25">
      <c r="B336" s="1">
        <v>225</v>
      </c>
      <c r="C336" s="7">
        <v>16191343</v>
      </c>
      <c r="D336" s="2" t="s">
        <v>318</v>
      </c>
      <c r="E336" s="2" t="s">
        <v>594</v>
      </c>
      <c r="F336" s="2">
        <v>9880254</v>
      </c>
      <c r="G336" s="2" t="s">
        <v>788</v>
      </c>
      <c r="H336" s="5"/>
      <c r="I336">
        <v>5000</v>
      </c>
      <c r="J336" s="27">
        <f t="shared" si="38"/>
        <v>5000</v>
      </c>
      <c r="K336" s="3">
        <v>500</v>
      </c>
      <c r="L336" s="29">
        <f t="shared" si="39"/>
        <v>4500</v>
      </c>
      <c r="M336" s="30">
        <v>0</v>
      </c>
      <c r="N336" s="31">
        <f t="shared" si="40"/>
        <v>0</v>
      </c>
      <c r="O336" s="32">
        <v>10</v>
      </c>
      <c r="P336" s="29">
        <f t="shared" si="41"/>
        <v>500</v>
      </c>
      <c r="Q336" s="31">
        <f t="shared" si="42"/>
        <v>1</v>
      </c>
      <c r="T336" s="3">
        <v>500</v>
      </c>
      <c r="U336" s="4">
        <v>500</v>
      </c>
      <c r="V336" s="4">
        <f t="shared" si="43"/>
        <v>4500</v>
      </c>
    </row>
    <row r="337" spans="2:22" x14ac:dyDescent="0.25">
      <c r="B337" s="1">
        <v>226</v>
      </c>
      <c r="C337" s="7">
        <v>12897398</v>
      </c>
      <c r="D337" s="2" t="s">
        <v>319</v>
      </c>
      <c r="E337" s="2" t="s">
        <v>601</v>
      </c>
      <c r="F337" s="2">
        <v>3457622</v>
      </c>
      <c r="G337" s="2" t="s">
        <v>789</v>
      </c>
      <c r="H337" s="5">
        <v>300</v>
      </c>
      <c r="I337">
        <v>5000</v>
      </c>
      <c r="J337" s="27">
        <f t="shared" si="38"/>
        <v>4700</v>
      </c>
      <c r="K337" s="3">
        <v>500</v>
      </c>
      <c r="L337" s="29">
        <f t="shared" si="39"/>
        <v>4500</v>
      </c>
      <c r="M337" s="30">
        <v>0</v>
      </c>
      <c r="N337" s="31">
        <f t="shared" si="40"/>
        <v>0</v>
      </c>
      <c r="O337" s="32">
        <v>10</v>
      </c>
      <c r="P337" s="29">
        <f t="shared" si="41"/>
        <v>470</v>
      </c>
      <c r="Q337" s="31">
        <f t="shared" si="42"/>
        <v>1</v>
      </c>
      <c r="T337" s="3">
        <v>500</v>
      </c>
      <c r="U337" s="4"/>
      <c r="V337" s="4">
        <f t="shared" si="43"/>
        <v>4400</v>
      </c>
    </row>
    <row r="338" spans="2:22" x14ac:dyDescent="0.25">
      <c r="B338" s="1">
        <v>226</v>
      </c>
      <c r="C338" s="7">
        <v>15573860</v>
      </c>
      <c r="D338" s="2" t="s">
        <v>320</v>
      </c>
      <c r="E338" s="2" t="s">
        <v>602</v>
      </c>
      <c r="F338" s="2">
        <v>3457622</v>
      </c>
      <c r="G338" s="2" t="s">
        <v>789</v>
      </c>
      <c r="H338" s="5">
        <v>300</v>
      </c>
      <c r="I338">
        <v>5000</v>
      </c>
      <c r="J338" s="27">
        <f t="shared" si="38"/>
        <v>4450</v>
      </c>
      <c r="K338" s="3">
        <v>475</v>
      </c>
      <c r="L338" s="29">
        <f t="shared" si="39"/>
        <v>4275</v>
      </c>
      <c r="M338" s="30">
        <v>0.05</v>
      </c>
      <c r="N338" s="31">
        <f t="shared" si="40"/>
        <v>250</v>
      </c>
      <c r="O338" s="32">
        <v>10</v>
      </c>
      <c r="P338" s="29">
        <f t="shared" si="41"/>
        <v>445</v>
      </c>
      <c r="Q338" s="31">
        <f t="shared" si="42"/>
        <v>1</v>
      </c>
      <c r="T338" s="3">
        <v>475</v>
      </c>
      <c r="U338" s="4"/>
      <c r="V338" s="4">
        <f t="shared" si="43"/>
        <v>4150</v>
      </c>
    </row>
    <row r="339" spans="2:22" x14ac:dyDescent="0.25">
      <c r="B339" s="1">
        <v>226</v>
      </c>
      <c r="C339" s="7">
        <v>15573893</v>
      </c>
      <c r="D339" s="2" t="s">
        <v>321</v>
      </c>
      <c r="E339" s="2" t="s">
        <v>594</v>
      </c>
      <c r="F339" s="2">
        <v>3457622</v>
      </c>
      <c r="G339" s="2" t="s">
        <v>789</v>
      </c>
      <c r="H339" s="5">
        <v>300</v>
      </c>
      <c r="I339">
        <v>5000</v>
      </c>
      <c r="J339" s="27">
        <f t="shared" si="38"/>
        <v>4200</v>
      </c>
      <c r="K339" s="3">
        <v>450</v>
      </c>
      <c r="L339" s="29">
        <f t="shared" si="39"/>
        <v>4050</v>
      </c>
      <c r="M339" s="30">
        <v>0.1</v>
      </c>
      <c r="N339" s="31">
        <f t="shared" si="40"/>
        <v>500</v>
      </c>
      <c r="O339" s="32">
        <v>10</v>
      </c>
      <c r="P339" s="29">
        <f t="shared" si="41"/>
        <v>420</v>
      </c>
      <c r="Q339" s="31">
        <f t="shared" si="42"/>
        <v>1</v>
      </c>
      <c r="T339" s="3">
        <v>450</v>
      </c>
      <c r="U339" s="4"/>
      <c r="V339" s="4">
        <f t="shared" si="43"/>
        <v>3900</v>
      </c>
    </row>
    <row r="340" spans="2:22" x14ac:dyDescent="0.25">
      <c r="B340" s="1">
        <v>227</v>
      </c>
      <c r="C340" s="7">
        <v>16950828</v>
      </c>
      <c r="D340" s="2" t="s">
        <v>322</v>
      </c>
      <c r="E340" s="2" t="s">
        <v>594</v>
      </c>
      <c r="F340" s="2">
        <v>4840208</v>
      </c>
      <c r="G340" s="2" t="s">
        <v>790</v>
      </c>
      <c r="H340" s="5">
        <v>300</v>
      </c>
      <c r="I340">
        <v>5000</v>
      </c>
      <c r="J340" s="27">
        <f t="shared" si="38"/>
        <v>4700</v>
      </c>
      <c r="K340" s="3">
        <v>500</v>
      </c>
      <c r="L340" s="29">
        <f t="shared" si="39"/>
        <v>4500</v>
      </c>
      <c r="M340" s="30">
        <v>0</v>
      </c>
      <c r="N340" s="31">
        <f t="shared" si="40"/>
        <v>0</v>
      </c>
      <c r="O340" s="32">
        <v>10</v>
      </c>
      <c r="P340" s="29">
        <f t="shared" si="41"/>
        <v>470</v>
      </c>
      <c r="Q340" s="31">
        <f t="shared" si="42"/>
        <v>1</v>
      </c>
      <c r="T340" s="3">
        <v>500</v>
      </c>
      <c r="U340" s="4"/>
      <c r="V340" s="4">
        <f t="shared" si="43"/>
        <v>4400</v>
      </c>
    </row>
    <row r="341" spans="2:22" x14ac:dyDescent="0.25">
      <c r="B341" s="1">
        <v>228</v>
      </c>
      <c r="C341" s="7">
        <v>14007554</v>
      </c>
      <c r="D341" s="2" t="s">
        <v>323</v>
      </c>
      <c r="E341" s="2" t="s">
        <v>601</v>
      </c>
      <c r="F341" s="2">
        <v>2337013018</v>
      </c>
      <c r="G341" s="2" t="s">
        <v>791</v>
      </c>
      <c r="H341" s="5">
        <v>300</v>
      </c>
      <c r="I341">
        <v>5000</v>
      </c>
      <c r="J341" s="27">
        <f t="shared" si="38"/>
        <v>4700</v>
      </c>
      <c r="K341" s="3">
        <v>4750</v>
      </c>
      <c r="L341" s="29">
        <f t="shared" si="39"/>
        <v>250</v>
      </c>
      <c r="M341" s="30">
        <v>0</v>
      </c>
      <c r="N341" s="31">
        <f t="shared" si="40"/>
        <v>0</v>
      </c>
      <c r="O341" s="32">
        <v>10</v>
      </c>
      <c r="P341" s="29">
        <f t="shared" si="41"/>
        <v>470</v>
      </c>
      <c r="Q341" s="31">
        <f t="shared" si="42"/>
        <v>10</v>
      </c>
      <c r="T341" s="3">
        <v>4750</v>
      </c>
      <c r="U341" s="4"/>
      <c r="V341" s="4">
        <f t="shared" si="43"/>
        <v>4400</v>
      </c>
    </row>
    <row r="342" spans="2:22" x14ac:dyDescent="0.25">
      <c r="B342" s="1">
        <v>229</v>
      </c>
      <c r="C342" s="7">
        <v>17044431</v>
      </c>
      <c r="D342" s="2" t="s">
        <v>324</v>
      </c>
      <c r="E342" s="2" t="s">
        <v>601</v>
      </c>
      <c r="F342" s="2">
        <v>4289092</v>
      </c>
      <c r="G342" s="2" t="s">
        <v>667</v>
      </c>
      <c r="H342" s="5">
        <v>300</v>
      </c>
      <c r="I342">
        <v>5000</v>
      </c>
      <c r="J342" s="27">
        <f t="shared" si="38"/>
        <v>4700</v>
      </c>
      <c r="K342" s="3">
        <v>500</v>
      </c>
      <c r="L342" s="29">
        <f t="shared" si="39"/>
        <v>4500</v>
      </c>
      <c r="M342" s="30">
        <v>0</v>
      </c>
      <c r="N342" s="31">
        <f t="shared" si="40"/>
        <v>0</v>
      </c>
      <c r="O342" s="32">
        <v>10</v>
      </c>
      <c r="P342" s="29">
        <f t="shared" si="41"/>
        <v>470</v>
      </c>
      <c r="Q342" s="31">
        <f t="shared" si="42"/>
        <v>1</v>
      </c>
      <c r="T342" s="3">
        <v>500</v>
      </c>
      <c r="U342" s="4"/>
      <c r="V342" s="4">
        <f t="shared" si="43"/>
        <v>4400</v>
      </c>
    </row>
    <row r="343" spans="2:22" x14ac:dyDescent="0.25">
      <c r="B343" s="1">
        <v>230</v>
      </c>
      <c r="C343" s="7">
        <v>13024313</v>
      </c>
      <c r="D343" s="2" t="s">
        <v>325</v>
      </c>
      <c r="E343" s="2" t="s">
        <v>600</v>
      </c>
      <c r="F343" s="2">
        <v>4935322</v>
      </c>
      <c r="G343" s="2" t="s">
        <v>710</v>
      </c>
      <c r="H343" s="5"/>
      <c r="I343">
        <v>5000</v>
      </c>
      <c r="J343" s="27">
        <f t="shared" si="38"/>
        <v>5000</v>
      </c>
      <c r="K343" s="3">
        <v>500</v>
      </c>
      <c r="L343" s="29">
        <f t="shared" si="39"/>
        <v>4500</v>
      </c>
      <c r="M343" s="30">
        <v>0</v>
      </c>
      <c r="N343" s="31">
        <f t="shared" si="40"/>
        <v>0</v>
      </c>
      <c r="O343" s="32">
        <v>10</v>
      </c>
      <c r="P343" s="29">
        <f t="shared" si="41"/>
        <v>500</v>
      </c>
      <c r="Q343" s="31">
        <f t="shared" si="42"/>
        <v>1</v>
      </c>
      <c r="T343" s="3">
        <v>500</v>
      </c>
      <c r="U343" s="4"/>
      <c r="V343" s="4">
        <f t="shared" si="43"/>
        <v>5000</v>
      </c>
    </row>
    <row r="344" spans="2:22" x14ac:dyDescent="0.25">
      <c r="B344" s="1">
        <v>231</v>
      </c>
      <c r="C344" s="7">
        <v>12929430</v>
      </c>
      <c r="D344" s="2" t="s">
        <v>326</v>
      </c>
      <c r="E344" s="2" t="s">
        <v>601</v>
      </c>
      <c r="F344" s="2">
        <v>4242856</v>
      </c>
      <c r="G344" s="2" t="s">
        <v>792</v>
      </c>
      <c r="H344" s="5">
        <v>300</v>
      </c>
      <c r="I344">
        <v>5000</v>
      </c>
      <c r="J344" s="27">
        <f t="shared" si="38"/>
        <v>4700</v>
      </c>
      <c r="K344" s="3">
        <v>500</v>
      </c>
      <c r="L344" s="29">
        <f t="shared" si="39"/>
        <v>4500</v>
      </c>
      <c r="M344" s="30">
        <v>0</v>
      </c>
      <c r="N344" s="31">
        <f t="shared" si="40"/>
        <v>0</v>
      </c>
      <c r="O344" s="32">
        <v>10</v>
      </c>
      <c r="P344" s="29">
        <f t="shared" si="41"/>
        <v>470</v>
      </c>
      <c r="Q344" s="31">
        <f t="shared" si="42"/>
        <v>1</v>
      </c>
      <c r="T344" s="3">
        <v>500</v>
      </c>
      <c r="U344" s="4"/>
      <c r="V344" s="4">
        <f t="shared" si="43"/>
        <v>4400</v>
      </c>
    </row>
    <row r="345" spans="2:22" x14ac:dyDescent="0.25">
      <c r="B345" s="1">
        <v>232</v>
      </c>
      <c r="C345" s="7">
        <v>12581641</v>
      </c>
      <c r="D345" s="2" t="s">
        <v>327</v>
      </c>
      <c r="E345" s="2" t="s">
        <v>601</v>
      </c>
      <c r="F345" s="2">
        <v>6727628</v>
      </c>
      <c r="G345" s="2" t="s">
        <v>778</v>
      </c>
      <c r="H345" s="5">
        <v>300</v>
      </c>
      <c r="I345">
        <v>5000</v>
      </c>
      <c r="J345" s="27">
        <f t="shared" si="38"/>
        <v>4700</v>
      </c>
      <c r="K345" s="3">
        <v>4750</v>
      </c>
      <c r="L345" s="29">
        <f t="shared" si="39"/>
        <v>250</v>
      </c>
      <c r="M345" s="30">
        <v>0</v>
      </c>
      <c r="N345" s="31">
        <f t="shared" si="40"/>
        <v>0</v>
      </c>
      <c r="O345" s="32">
        <v>10</v>
      </c>
      <c r="P345" s="29">
        <f t="shared" si="41"/>
        <v>470</v>
      </c>
      <c r="Q345" s="31">
        <f t="shared" si="42"/>
        <v>10</v>
      </c>
      <c r="T345" s="3">
        <v>4750</v>
      </c>
      <c r="U345" s="4">
        <v>4450</v>
      </c>
      <c r="V345" s="4">
        <f t="shared" si="43"/>
        <v>-50</v>
      </c>
    </row>
    <row r="346" spans="2:22" x14ac:dyDescent="0.25">
      <c r="B346" s="1">
        <v>232</v>
      </c>
      <c r="C346" s="7">
        <v>14804092</v>
      </c>
      <c r="D346" s="2" t="s">
        <v>328</v>
      </c>
      <c r="E346" s="2" t="s">
        <v>594</v>
      </c>
      <c r="F346" s="2">
        <v>6727628</v>
      </c>
      <c r="G346" s="2" t="s">
        <v>778</v>
      </c>
      <c r="H346" s="5">
        <v>300</v>
      </c>
      <c r="I346">
        <v>5000</v>
      </c>
      <c r="J346" s="27">
        <f t="shared" si="38"/>
        <v>4700</v>
      </c>
      <c r="K346" s="3">
        <v>4750</v>
      </c>
      <c r="L346" s="29">
        <f t="shared" si="39"/>
        <v>250</v>
      </c>
      <c r="M346" s="30">
        <v>0</v>
      </c>
      <c r="N346" s="31">
        <f t="shared" si="40"/>
        <v>0</v>
      </c>
      <c r="O346" s="32">
        <v>10</v>
      </c>
      <c r="P346" s="29">
        <f t="shared" si="41"/>
        <v>470</v>
      </c>
      <c r="Q346" s="31">
        <f t="shared" si="42"/>
        <v>10</v>
      </c>
      <c r="T346" s="3">
        <v>4750</v>
      </c>
      <c r="U346" s="4">
        <v>4450</v>
      </c>
      <c r="V346" s="4">
        <f t="shared" si="43"/>
        <v>-50</v>
      </c>
    </row>
    <row r="347" spans="2:22" x14ac:dyDescent="0.25">
      <c r="B347" s="1">
        <v>233</v>
      </c>
      <c r="C347" s="7">
        <v>14183895</v>
      </c>
      <c r="D347" s="2" t="s">
        <v>329</v>
      </c>
      <c r="E347" s="2" t="s">
        <v>593</v>
      </c>
      <c r="F347" s="2">
        <v>4992310</v>
      </c>
      <c r="G347" s="2" t="s">
        <v>667</v>
      </c>
      <c r="H347" s="5">
        <v>300</v>
      </c>
      <c r="I347">
        <v>5000</v>
      </c>
      <c r="J347" s="27">
        <f t="shared" si="38"/>
        <v>4700</v>
      </c>
      <c r="K347" s="3">
        <v>500</v>
      </c>
      <c r="L347" s="29">
        <f t="shared" si="39"/>
        <v>4500</v>
      </c>
      <c r="M347" s="30">
        <v>0</v>
      </c>
      <c r="N347" s="31">
        <f t="shared" si="40"/>
        <v>0</v>
      </c>
      <c r="O347" s="32">
        <v>10</v>
      </c>
      <c r="P347" s="29">
        <f t="shared" si="41"/>
        <v>470</v>
      </c>
      <c r="Q347" s="31">
        <f t="shared" si="42"/>
        <v>1</v>
      </c>
      <c r="T347" s="3">
        <v>500</v>
      </c>
      <c r="U347" s="4">
        <v>200</v>
      </c>
      <c r="V347" s="4">
        <f t="shared" si="43"/>
        <v>4200</v>
      </c>
    </row>
    <row r="348" spans="2:22" x14ac:dyDescent="0.25">
      <c r="B348" s="1">
        <v>233</v>
      </c>
      <c r="C348" s="7">
        <v>16975437</v>
      </c>
      <c r="D348" s="2" t="s">
        <v>330</v>
      </c>
      <c r="E348" s="2" t="s">
        <v>599</v>
      </c>
      <c r="F348" s="2">
        <v>4992310</v>
      </c>
      <c r="G348" s="2" t="s">
        <v>667</v>
      </c>
      <c r="H348" s="5">
        <v>300</v>
      </c>
      <c r="I348">
        <v>5000</v>
      </c>
      <c r="J348" s="27">
        <f t="shared" si="38"/>
        <v>4450</v>
      </c>
      <c r="K348" s="3">
        <v>475</v>
      </c>
      <c r="L348" s="29">
        <f t="shared" si="39"/>
        <v>4275</v>
      </c>
      <c r="M348" s="30">
        <v>0.05</v>
      </c>
      <c r="N348" s="31">
        <f t="shared" si="40"/>
        <v>250</v>
      </c>
      <c r="O348" s="32">
        <v>10</v>
      </c>
      <c r="P348" s="29">
        <f t="shared" si="41"/>
        <v>445</v>
      </c>
      <c r="Q348" s="31">
        <f t="shared" si="42"/>
        <v>1</v>
      </c>
      <c r="T348" s="3">
        <v>475</v>
      </c>
      <c r="U348" s="4">
        <v>175</v>
      </c>
      <c r="V348" s="4">
        <f t="shared" si="43"/>
        <v>3975</v>
      </c>
    </row>
    <row r="349" spans="2:22" x14ac:dyDescent="0.25">
      <c r="B349" s="1">
        <v>234</v>
      </c>
      <c r="C349" s="7">
        <v>15164352</v>
      </c>
      <c r="D349" s="2" t="s">
        <v>331</v>
      </c>
      <c r="E349" s="2" t="s">
        <v>594</v>
      </c>
      <c r="F349" s="2">
        <v>6039052</v>
      </c>
      <c r="G349" s="2" t="s">
        <v>644</v>
      </c>
      <c r="H349" s="5"/>
      <c r="I349">
        <v>5000</v>
      </c>
      <c r="J349" s="27">
        <f t="shared" si="38"/>
        <v>5000</v>
      </c>
      <c r="K349" s="3">
        <v>4750</v>
      </c>
      <c r="L349" s="29">
        <f t="shared" si="39"/>
        <v>250</v>
      </c>
      <c r="M349" s="30">
        <v>0</v>
      </c>
      <c r="N349" s="31">
        <f t="shared" si="40"/>
        <v>0</v>
      </c>
      <c r="O349" s="32">
        <v>10</v>
      </c>
      <c r="P349" s="29">
        <f t="shared" si="41"/>
        <v>500</v>
      </c>
      <c r="Q349" s="31">
        <f t="shared" si="42"/>
        <v>9</v>
      </c>
      <c r="T349" s="3">
        <v>4750</v>
      </c>
      <c r="U349" s="4"/>
      <c r="V349" s="4">
        <f t="shared" si="43"/>
        <v>5000</v>
      </c>
    </row>
    <row r="350" spans="2:22" x14ac:dyDescent="0.25">
      <c r="B350" s="1">
        <v>234</v>
      </c>
      <c r="C350" s="7">
        <v>17597043</v>
      </c>
      <c r="D350" s="2" t="s">
        <v>332</v>
      </c>
      <c r="E350" s="2" t="s">
        <v>597</v>
      </c>
      <c r="F350" s="2">
        <v>6039052</v>
      </c>
      <c r="G350" s="2" t="s">
        <v>644</v>
      </c>
      <c r="H350" s="5"/>
      <c r="I350">
        <v>5000</v>
      </c>
      <c r="J350" s="27">
        <f t="shared" si="38"/>
        <v>4750</v>
      </c>
      <c r="K350" s="3">
        <v>475</v>
      </c>
      <c r="L350" s="29">
        <f t="shared" si="39"/>
        <v>4275</v>
      </c>
      <c r="M350" s="30">
        <v>0.05</v>
      </c>
      <c r="N350" s="31">
        <f t="shared" si="40"/>
        <v>250</v>
      </c>
      <c r="O350" s="32">
        <v>10</v>
      </c>
      <c r="P350" s="29">
        <f t="shared" si="41"/>
        <v>475</v>
      </c>
      <c r="Q350" s="31">
        <f t="shared" si="42"/>
        <v>1</v>
      </c>
      <c r="T350" s="3">
        <v>475</v>
      </c>
      <c r="U350" s="4"/>
      <c r="V350" s="4">
        <f t="shared" si="43"/>
        <v>4750</v>
      </c>
    </row>
    <row r="351" spans="2:22" x14ac:dyDescent="0.25">
      <c r="B351" s="1">
        <v>235</v>
      </c>
      <c r="C351" s="7">
        <v>15986303</v>
      </c>
      <c r="D351" s="2" t="s">
        <v>333</v>
      </c>
      <c r="E351" s="2" t="s">
        <v>604</v>
      </c>
      <c r="F351" s="2">
        <v>4311594</v>
      </c>
      <c r="G351" s="2" t="s">
        <v>793</v>
      </c>
      <c r="H351" s="5"/>
      <c r="I351">
        <v>5000</v>
      </c>
      <c r="J351" s="27">
        <f t="shared" si="38"/>
        <v>5000</v>
      </c>
      <c r="K351" s="3">
        <v>500</v>
      </c>
      <c r="L351" s="29">
        <f t="shared" si="39"/>
        <v>4500</v>
      </c>
      <c r="M351" s="30">
        <v>0</v>
      </c>
      <c r="N351" s="31">
        <f t="shared" si="40"/>
        <v>0</v>
      </c>
      <c r="O351" s="32">
        <v>10</v>
      </c>
      <c r="P351" s="29">
        <f t="shared" si="41"/>
        <v>500</v>
      </c>
      <c r="Q351" s="31">
        <f t="shared" si="42"/>
        <v>1</v>
      </c>
      <c r="T351" s="3">
        <v>500</v>
      </c>
      <c r="U351" s="4">
        <v>500</v>
      </c>
      <c r="V351" s="4">
        <f t="shared" si="43"/>
        <v>4500</v>
      </c>
    </row>
    <row r="352" spans="2:22" x14ac:dyDescent="0.25">
      <c r="B352" s="1">
        <v>236</v>
      </c>
      <c r="C352" s="7">
        <v>18032654</v>
      </c>
      <c r="D352" s="2" t="s">
        <v>334</v>
      </c>
      <c r="E352" s="2" t="s">
        <v>601</v>
      </c>
      <c r="F352" s="2">
        <v>6098619</v>
      </c>
      <c r="G352" s="2" t="s">
        <v>755</v>
      </c>
      <c r="H352" s="5"/>
      <c r="I352">
        <v>5000</v>
      </c>
      <c r="J352" s="27">
        <f t="shared" si="38"/>
        <v>5000</v>
      </c>
      <c r="K352" s="3">
        <v>500</v>
      </c>
      <c r="L352" s="29">
        <f t="shared" si="39"/>
        <v>4500</v>
      </c>
      <c r="M352" s="30">
        <v>0</v>
      </c>
      <c r="N352" s="31">
        <f t="shared" si="40"/>
        <v>0</v>
      </c>
      <c r="O352" s="32">
        <v>10</v>
      </c>
      <c r="P352" s="29">
        <f t="shared" si="41"/>
        <v>500</v>
      </c>
      <c r="Q352" s="31">
        <f t="shared" si="42"/>
        <v>1</v>
      </c>
      <c r="T352" s="3">
        <v>500</v>
      </c>
      <c r="U352" s="4"/>
      <c r="V352" s="4">
        <f t="shared" si="43"/>
        <v>5000</v>
      </c>
    </row>
    <row r="353" spans="2:22" x14ac:dyDescent="0.25">
      <c r="B353" s="1">
        <v>237</v>
      </c>
      <c r="C353" s="7">
        <v>16010450</v>
      </c>
      <c r="D353" s="2" t="s">
        <v>335</v>
      </c>
      <c r="E353" s="2" t="s">
        <v>601</v>
      </c>
      <c r="F353" s="2">
        <v>4955358</v>
      </c>
      <c r="G353" s="2" t="s">
        <v>663</v>
      </c>
      <c r="H353" s="5"/>
      <c r="I353">
        <v>5000</v>
      </c>
      <c r="J353" s="27">
        <f t="shared" si="38"/>
        <v>5000</v>
      </c>
      <c r="K353" s="3">
        <v>500</v>
      </c>
      <c r="L353" s="29">
        <f t="shared" si="39"/>
        <v>4500</v>
      </c>
      <c r="M353" s="30">
        <v>0</v>
      </c>
      <c r="N353" s="31">
        <f t="shared" si="40"/>
        <v>0</v>
      </c>
      <c r="O353" s="32">
        <v>10</v>
      </c>
      <c r="P353" s="29">
        <f t="shared" si="41"/>
        <v>500</v>
      </c>
      <c r="Q353" s="31">
        <f t="shared" si="42"/>
        <v>1</v>
      </c>
      <c r="T353" s="3">
        <v>500</v>
      </c>
      <c r="U353" s="4"/>
      <c r="V353" s="4">
        <f t="shared" si="43"/>
        <v>5000</v>
      </c>
    </row>
    <row r="354" spans="2:22" x14ac:dyDescent="0.25">
      <c r="B354" s="1">
        <v>238</v>
      </c>
      <c r="C354" s="7">
        <v>13959207</v>
      </c>
      <c r="D354" s="2" t="s">
        <v>336</v>
      </c>
      <c r="E354" s="2" t="s">
        <v>601</v>
      </c>
      <c r="F354" s="2">
        <v>4360069</v>
      </c>
      <c r="G354" s="2" t="s">
        <v>794</v>
      </c>
      <c r="H354" s="5"/>
      <c r="I354">
        <v>5000</v>
      </c>
      <c r="J354" s="27">
        <f t="shared" si="38"/>
        <v>5000</v>
      </c>
      <c r="K354" s="3">
        <v>500</v>
      </c>
      <c r="L354" s="29">
        <f t="shared" si="39"/>
        <v>4500</v>
      </c>
      <c r="M354" s="30">
        <v>0</v>
      </c>
      <c r="N354" s="31">
        <f t="shared" si="40"/>
        <v>0</v>
      </c>
      <c r="O354" s="32">
        <v>10</v>
      </c>
      <c r="P354" s="29">
        <f t="shared" si="41"/>
        <v>500</v>
      </c>
      <c r="Q354" s="31">
        <f t="shared" si="42"/>
        <v>1</v>
      </c>
      <c r="T354" s="3">
        <v>500</v>
      </c>
      <c r="U354" s="4"/>
      <c r="V354" s="4">
        <f t="shared" si="43"/>
        <v>5000</v>
      </c>
    </row>
    <row r="355" spans="2:22" x14ac:dyDescent="0.25">
      <c r="B355" s="1">
        <v>239</v>
      </c>
      <c r="C355" s="7">
        <v>16609753</v>
      </c>
      <c r="D355" s="2" t="s">
        <v>559</v>
      </c>
      <c r="E355" s="2" t="s">
        <v>602</v>
      </c>
      <c r="F355" s="2">
        <v>685582023</v>
      </c>
      <c r="G355" s="2" t="s">
        <v>795</v>
      </c>
      <c r="H355" s="5"/>
      <c r="I355">
        <v>5000</v>
      </c>
      <c r="J355" s="27">
        <f t="shared" si="38"/>
        <v>5000</v>
      </c>
      <c r="K355" s="3">
        <v>4750</v>
      </c>
      <c r="L355" s="29">
        <f t="shared" si="39"/>
        <v>250</v>
      </c>
      <c r="M355" s="30">
        <v>0</v>
      </c>
      <c r="N355" s="31">
        <f t="shared" si="40"/>
        <v>0</v>
      </c>
      <c r="O355" s="32">
        <v>10</v>
      </c>
      <c r="P355" s="29">
        <f t="shared" si="41"/>
        <v>500</v>
      </c>
      <c r="Q355" s="31">
        <f t="shared" si="42"/>
        <v>9</v>
      </c>
      <c r="T355" s="3">
        <v>4750</v>
      </c>
      <c r="U355" s="4">
        <v>4750</v>
      </c>
      <c r="V355" s="4">
        <f t="shared" si="43"/>
        <v>250</v>
      </c>
    </row>
    <row r="356" spans="2:22" x14ac:dyDescent="0.25">
      <c r="B356" s="1">
        <v>240</v>
      </c>
      <c r="C356" s="7">
        <v>15511335</v>
      </c>
      <c r="D356" s="2" t="s">
        <v>337</v>
      </c>
      <c r="E356" s="2" t="s">
        <v>599</v>
      </c>
      <c r="F356" s="2">
        <v>6030237</v>
      </c>
      <c r="G356" s="2" t="s">
        <v>650</v>
      </c>
      <c r="H356" s="5"/>
      <c r="I356">
        <v>5000</v>
      </c>
      <c r="J356" s="27">
        <f t="shared" si="38"/>
        <v>5000</v>
      </c>
      <c r="K356" s="3">
        <v>4750</v>
      </c>
      <c r="L356" s="29">
        <f t="shared" si="39"/>
        <v>250</v>
      </c>
      <c r="M356" s="30">
        <v>0</v>
      </c>
      <c r="N356" s="31">
        <f t="shared" si="40"/>
        <v>0</v>
      </c>
      <c r="O356" s="32">
        <v>10</v>
      </c>
      <c r="P356" s="29">
        <f t="shared" si="41"/>
        <v>500</v>
      </c>
      <c r="Q356" s="31">
        <f t="shared" si="42"/>
        <v>9</v>
      </c>
      <c r="T356" s="3">
        <v>4750</v>
      </c>
      <c r="U356" s="4">
        <v>4750</v>
      </c>
      <c r="V356" s="4">
        <f t="shared" si="43"/>
        <v>250</v>
      </c>
    </row>
    <row r="357" spans="2:22" x14ac:dyDescent="0.25">
      <c r="B357" s="1">
        <v>241</v>
      </c>
      <c r="C357" s="7">
        <v>15528428</v>
      </c>
      <c r="D357" s="2" t="s">
        <v>338</v>
      </c>
      <c r="E357" s="2" t="s">
        <v>602</v>
      </c>
      <c r="F357" s="2">
        <v>4320957</v>
      </c>
      <c r="G357" s="2" t="s">
        <v>796</v>
      </c>
      <c r="H357" s="5">
        <v>300</v>
      </c>
      <c r="I357">
        <v>5000</v>
      </c>
      <c r="J357" s="27">
        <f t="shared" si="38"/>
        <v>4700</v>
      </c>
      <c r="K357" s="3">
        <v>500</v>
      </c>
      <c r="L357" s="29">
        <f t="shared" si="39"/>
        <v>4500</v>
      </c>
      <c r="M357" s="30">
        <v>0</v>
      </c>
      <c r="N357" s="31">
        <f t="shared" si="40"/>
        <v>0</v>
      </c>
      <c r="O357" s="32">
        <v>10</v>
      </c>
      <c r="P357" s="29">
        <f t="shared" si="41"/>
        <v>470</v>
      </c>
      <c r="Q357" s="31">
        <f t="shared" si="42"/>
        <v>1</v>
      </c>
      <c r="T357" s="3">
        <v>500</v>
      </c>
      <c r="U357" s="4"/>
      <c r="V357" s="4">
        <f t="shared" si="43"/>
        <v>4400</v>
      </c>
    </row>
    <row r="358" spans="2:22" x14ac:dyDescent="0.25">
      <c r="B358" s="1">
        <v>242</v>
      </c>
      <c r="C358" s="7">
        <v>15532117</v>
      </c>
      <c r="D358" s="2" t="s">
        <v>339</v>
      </c>
      <c r="E358" s="2" t="s">
        <v>594</v>
      </c>
      <c r="F358" s="2">
        <v>12639140</v>
      </c>
      <c r="G358" s="2" t="s">
        <v>701</v>
      </c>
      <c r="H358" s="5">
        <v>300</v>
      </c>
      <c r="I358">
        <v>5000</v>
      </c>
      <c r="J358" s="27">
        <f t="shared" si="38"/>
        <v>4700</v>
      </c>
      <c r="K358" s="3">
        <v>500</v>
      </c>
      <c r="L358" s="29">
        <f t="shared" si="39"/>
        <v>4500</v>
      </c>
      <c r="M358" s="30">
        <v>0</v>
      </c>
      <c r="N358" s="31">
        <f t="shared" si="40"/>
        <v>0</v>
      </c>
      <c r="O358" s="32">
        <v>10</v>
      </c>
      <c r="P358" s="29">
        <f t="shared" si="41"/>
        <v>470</v>
      </c>
      <c r="Q358" s="31">
        <f t="shared" si="42"/>
        <v>1</v>
      </c>
      <c r="T358" s="3">
        <v>500</v>
      </c>
      <c r="U358" s="4"/>
      <c r="V358" s="4">
        <f t="shared" si="43"/>
        <v>4400</v>
      </c>
    </row>
    <row r="359" spans="2:22" x14ac:dyDescent="0.25">
      <c r="B359" s="1">
        <v>243</v>
      </c>
      <c r="C359" s="7">
        <v>13495501</v>
      </c>
      <c r="D359" s="2" t="s">
        <v>340</v>
      </c>
      <c r="E359" s="2" t="s">
        <v>593</v>
      </c>
      <c r="F359" s="2">
        <v>4846049</v>
      </c>
      <c r="G359" s="2" t="s">
        <v>797</v>
      </c>
      <c r="H359" s="5"/>
      <c r="I359">
        <v>5000</v>
      </c>
      <c r="J359" s="27">
        <f t="shared" si="38"/>
        <v>5000</v>
      </c>
      <c r="K359" s="3">
        <v>500</v>
      </c>
      <c r="L359" s="29">
        <f t="shared" si="39"/>
        <v>4500</v>
      </c>
      <c r="M359" s="30">
        <v>0</v>
      </c>
      <c r="N359" s="31">
        <f t="shared" si="40"/>
        <v>0</v>
      </c>
      <c r="O359" s="32">
        <v>10</v>
      </c>
      <c r="P359" s="29">
        <f t="shared" si="41"/>
        <v>500</v>
      </c>
      <c r="Q359" s="31">
        <f t="shared" si="42"/>
        <v>1</v>
      </c>
      <c r="T359" s="3">
        <v>500</v>
      </c>
      <c r="U359" s="4">
        <v>500</v>
      </c>
      <c r="V359" s="4">
        <f t="shared" si="43"/>
        <v>4500</v>
      </c>
    </row>
    <row r="360" spans="2:22" x14ac:dyDescent="0.25">
      <c r="B360" s="1">
        <v>244</v>
      </c>
      <c r="C360" s="7">
        <v>14904799</v>
      </c>
      <c r="D360" s="2" t="s">
        <v>341</v>
      </c>
      <c r="E360" s="2" t="s">
        <v>605</v>
      </c>
      <c r="F360" s="2">
        <v>12641492</v>
      </c>
      <c r="G360" s="2" t="s">
        <v>798</v>
      </c>
      <c r="H360" s="5"/>
      <c r="I360">
        <v>5000</v>
      </c>
      <c r="J360" s="27">
        <f t="shared" si="38"/>
        <v>5000</v>
      </c>
      <c r="K360" s="3">
        <v>1000</v>
      </c>
      <c r="L360" s="29">
        <f t="shared" si="39"/>
        <v>4000</v>
      </c>
      <c r="M360" s="30">
        <v>0</v>
      </c>
      <c r="N360" s="31">
        <f t="shared" si="40"/>
        <v>0</v>
      </c>
      <c r="O360" s="32">
        <v>10</v>
      </c>
      <c r="P360" s="29">
        <f t="shared" si="41"/>
        <v>500</v>
      </c>
      <c r="Q360" s="31">
        <f t="shared" si="42"/>
        <v>2</v>
      </c>
      <c r="T360" s="3">
        <v>1000</v>
      </c>
      <c r="U360" s="4">
        <v>500</v>
      </c>
      <c r="V360" s="4">
        <f t="shared" si="43"/>
        <v>4500</v>
      </c>
    </row>
    <row r="361" spans="2:22" x14ac:dyDescent="0.25">
      <c r="B361" s="1">
        <v>245</v>
      </c>
      <c r="C361" s="7">
        <v>13640906</v>
      </c>
      <c r="D361" s="2" t="s">
        <v>342</v>
      </c>
      <c r="E361" s="2" t="s">
        <v>592</v>
      </c>
      <c r="F361" s="2">
        <v>7037627</v>
      </c>
      <c r="G361" s="2" t="s">
        <v>710</v>
      </c>
      <c r="H361" s="5"/>
      <c r="I361">
        <v>5000</v>
      </c>
      <c r="J361" s="27">
        <f t="shared" si="38"/>
        <v>5000</v>
      </c>
      <c r="K361" s="3">
        <v>4750</v>
      </c>
      <c r="L361" s="29">
        <f t="shared" si="39"/>
        <v>250</v>
      </c>
      <c r="M361" s="30">
        <v>0</v>
      </c>
      <c r="N361" s="31">
        <f t="shared" si="40"/>
        <v>0</v>
      </c>
      <c r="O361" s="32">
        <v>10</v>
      </c>
      <c r="P361" s="29">
        <f t="shared" si="41"/>
        <v>500</v>
      </c>
      <c r="Q361" s="31">
        <f t="shared" si="42"/>
        <v>9</v>
      </c>
      <c r="T361" s="3">
        <v>4750</v>
      </c>
      <c r="U361" s="4"/>
      <c r="V361" s="4">
        <f t="shared" ref="V361:V364" si="44">J361-H361-U361</f>
        <v>5000</v>
      </c>
    </row>
    <row r="362" spans="2:22" x14ac:dyDescent="0.25">
      <c r="B362" s="1">
        <v>245</v>
      </c>
      <c r="C362" s="7">
        <v>15531105</v>
      </c>
      <c r="D362" s="2" t="s">
        <v>343</v>
      </c>
      <c r="E362" s="2" t="s">
        <v>596</v>
      </c>
      <c r="F362" s="2">
        <v>7037627</v>
      </c>
      <c r="G362" s="2" t="s">
        <v>710</v>
      </c>
      <c r="H362" s="5"/>
      <c r="I362">
        <v>5000</v>
      </c>
      <c r="J362" s="27">
        <f t="shared" si="38"/>
        <v>4750</v>
      </c>
      <c r="K362" s="3">
        <v>475</v>
      </c>
      <c r="L362" s="29">
        <f t="shared" si="39"/>
        <v>4275</v>
      </c>
      <c r="M362" s="30">
        <v>0.05</v>
      </c>
      <c r="N362" s="31">
        <f t="shared" si="40"/>
        <v>250</v>
      </c>
      <c r="O362" s="32">
        <v>10</v>
      </c>
      <c r="P362" s="29">
        <f t="shared" si="41"/>
        <v>475</v>
      </c>
      <c r="Q362" s="31">
        <f t="shared" si="42"/>
        <v>1</v>
      </c>
      <c r="T362" s="3">
        <v>475</v>
      </c>
      <c r="U362" s="4"/>
      <c r="V362" s="4">
        <f t="shared" si="44"/>
        <v>4750</v>
      </c>
    </row>
    <row r="363" spans="2:22" x14ac:dyDescent="0.25">
      <c r="B363" s="1">
        <v>246</v>
      </c>
      <c r="C363" s="7">
        <v>12861127</v>
      </c>
      <c r="D363" s="2" t="s">
        <v>344</v>
      </c>
      <c r="E363" s="2" t="s">
        <v>601</v>
      </c>
      <c r="F363" s="2">
        <v>6729343</v>
      </c>
      <c r="G363" s="2" t="s">
        <v>710</v>
      </c>
      <c r="H363" s="5">
        <v>300</v>
      </c>
      <c r="I363">
        <v>5000</v>
      </c>
      <c r="J363" s="27">
        <f t="shared" si="38"/>
        <v>4700</v>
      </c>
      <c r="K363" s="3">
        <v>500</v>
      </c>
      <c r="L363" s="29">
        <f t="shared" si="39"/>
        <v>4500</v>
      </c>
      <c r="M363" s="30">
        <v>0</v>
      </c>
      <c r="N363" s="31">
        <f t="shared" si="40"/>
        <v>0</v>
      </c>
      <c r="O363" s="32">
        <v>10</v>
      </c>
      <c r="P363" s="29">
        <f t="shared" si="41"/>
        <v>470</v>
      </c>
      <c r="Q363" s="31">
        <f t="shared" si="42"/>
        <v>1</v>
      </c>
      <c r="T363" s="3">
        <v>500</v>
      </c>
      <c r="U363" s="4"/>
      <c r="V363" s="4">
        <f t="shared" si="44"/>
        <v>4400</v>
      </c>
    </row>
    <row r="364" spans="2:22" x14ac:dyDescent="0.25">
      <c r="B364" s="1">
        <v>247</v>
      </c>
      <c r="C364" s="37">
        <v>15543807</v>
      </c>
      <c r="D364" s="2" t="s">
        <v>345</v>
      </c>
      <c r="E364" s="24" t="s">
        <v>602</v>
      </c>
      <c r="F364" s="24">
        <v>6925850</v>
      </c>
      <c r="G364" s="24" t="s">
        <v>799</v>
      </c>
      <c r="H364" s="5">
        <v>300</v>
      </c>
      <c r="I364">
        <v>5000</v>
      </c>
      <c r="J364" s="27">
        <f t="shared" si="38"/>
        <v>4700</v>
      </c>
      <c r="K364" s="3">
        <v>500</v>
      </c>
      <c r="L364" s="29">
        <f t="shared" si="39"/>
        <v>4500</v>
      </c>
      <c r="M364" s="30">
        <v>0</v>
      </c>
      <c r="N364" s="31">
        <f t="shared" si="40"/>
        <v>0</v>
      </c>
      <c r="O364" s="32">
        <v>10</v>
      </c>
      <c r="P364" s="29">
        <f t="shared" si="41"/>
        <v>470</v>
      </c>
      <c r="Q364" s="31">
        <f t="shared" si="42"/>
        <v>1</v>
      </c>
      <c r="T364" s="3">
        <v>500</v>
      </c>
      <c r="U364" s="4"/>
      <c r="V364" s="4">
        <f t="shared" si="44"/>
        <v>4400</v>
      </c>
    </row>
    <row r="365" spans="2:22" x14ac:dyDescent="0.25">
      <c r="B365" s="1"/>
      <c r="C365" s="6"/>
      <c r="D365" s="2" t="s">
        <v>346</v>
      </c>
      <c r="E365" s="12" t="s">
        <v>609</v>
      </c>
      <c r="F365" s="12"/>
      <c r="G365" s="12"/>
      <c r="H365" s="5"/>
      <c r="I365">
        <v>5000</v>
      </c>
      <c r="J365" s="27">
        <v>4775</v>
      </c>
      <c r="K365" s="3">
        <v>4775</v>
      </c>
      <c r="L365" s="29">
        <f t="shared" si="39"/>
        <v>225</v>
      </c>
      <c r="M365" s="30">
        <v>0</v>
      </c>
      <c r="N365" s="31">
        <f t="shared" si="40"/>
        <v>0</v>
      </c>
      <c r="O365" s="32">
        <v>10</v>
      </c>
      <c r="P365" s="29">
        <f t="shared" si="41"/>
        <v>477.5</v>
      </c>
      <c r="Q365" s="31">
        <f t="shared" si="42"/>
        <v>10</v>
      </c>
      <c r="T365" s="3"/>
      <c r="U365" s="4"/>
      <c r="V365" s="4">
        <f t="shared" ref="V365:V372" si="45">K365-H365-U365</f>
        <v>4775</v>
      </c>
    </row>
    <row r="366" spans="2:22" x14ac:dyDescent="0.25">
      <c r="B366" s="1"/>
      <c r="C366" s="6"/>
      <c r="D366" s="2" t="s">
        <v>347</v>
      </c>
      <c r="E366" s="12" t="s">
        <v>622</v>
      </c>
      <c r="F366" s="12"/>
      <c r="G366" s="12"/>
      <c r="H366" s="5"/>
      <c r="I366">
        <v>5000</v>
      </c>
      <c r="J366" s="27">
        <v>4550</v>
      </c>
      <c r="K366" s="3">
        <v>4550</v>
      </c>
      <c r="L366" s="29">
        <f t="shared" si="39"/>
        <v>450</v>
      </c>
      <c r="M366" s="30">
        <v>0</v>
      </c>
      <c r="N366" s="31">
        <f t="shared" si="40"/>
        <v>0</v>
      </c>
      <c r="O366" s="32">
        <v>10</v>
      </c>
      <c r="P366" s="29">
        <f t="shared" si="41"/>
        <v>455</v>
      </c>
      <c r="Q366" s="31">
        <f t="shared" si="42"/>
        <v>10</v>
      </c>
      <c r="T366" s="3"/>
      <c r="U366" s="4"/>
      <c r="V366" s="4">
        <f t="shared" si="45"/>
        <v>4550</v>
      </c>
    </row>
    <row r="367" spans="2:22" x14ac:dyDescent="0.25">
      <c r="B367" s="1"/>
      <c r="C367" s="6"/>
      <c r="D367" s="2" t="s">
        <v>348</v>
      </c>
      <c r="E367" s="12" t="s">
        <v>609</v>
      </c>
      <c r="F367" s="12"/>
      <c r="G367" s="12"/>
      <c r="H367" s="5"/>
      <c r="I367">
        <v>5000</v>
      </c>
      <c r="J367" s="27">
        <v>4550</v>
      </c>
      <c r="K367" s="3">
        <v>4550</v>
      </c>
      <c r="L367" s="29">
        <f t="shared" si="39"/>
        <v>450</v>
      </c>
      <c r="M367" s="30">
        <v>0</v>
      </c>
      <c r="N367" s="31">
        <f t="shared" si="40"/>
        <v>0</v>
      </c>
      <c r="O367" s="32">
        <v>10</v>
      </c>
      <c r="P367" s="29">
        <f t="shared" si="41"/>
        <v>455</v>
      </c>
      <c r="Q367" s="31">
        <f t="shared" si="42"/>
        <v>10</v>
      </c>
      <c r="T367" s="3"/>
      <c r="U367" s="4"/>
      <c r="V367" s="4">
        <f t="shared" si="45"/>
        <v>4550</v>
      </c>
    </row>
    <row r="368" spans="2:22" x14ac:dyDescent="0.25">
      <c r="B368" s="1"/>
      <c r="C368" s="6"/>
      <c r="D368" s="2" t="s">
        <v>349</v>
      </c>
      <c r="E368" s="12" t="s">
        <v>611</v>
      </c>
      <c r="F368" s="12"/>
      <c r="G368" s="12"/>
      <c r="H368" s="5"/>
      <c r="I368">
        <v>5000</v>
      </c>
      <c r="J368" s="27">
        <v>4550</v>
      </c>
      <c r="K368" s="3">
        <v>4550</v>
      </c>
      <c r="L368" s="29">
        <f t="shared" si="39"/>
        <v>450</v>
      </c>
      <c r="M368" s="30">
        <v>0</v>
      </c>
      <c r="N368" s="31">
        <f t="shared" si="40"/>
        <v>0</v>
      </c>
      <c r="O368" s="32">
        <v>10</v>
      </c>
      <c r="P368" s="29">
        <f t="shared" si="41"/>
        <v>455</v>
      </c>
      <c r="Q368" s="31">
        <f t="shared" si="42"/>
        <v>10</v>
      </c>
      <c r="T368" s="3"/>
      <c r="U368" s="4"/>
      <c r="V368" s="4">
        <f t="shared" si="45"/>
        <v>4550</v>
      </c>
    </row>
    <row r="369" spans="2:22" x14ac:dyDescent="0.25">
      <c r="B369" s="1"/>
      <c r="C369" s="6"/>
      <c r="D369" s="2" t="s">
        <v>350</v>
      </c>
      <c r="E369" s="12" t="s">
        <v>606</v>
      </c>
      <c r="F369" s="12"/>
      <c r="G369" s="12"/>
      <c r="H369" s="5"/>
      <c r="I369">
        <v>5000</v>
      </c>
      <c r="J369" s="27">
        <v>4550</v>
      </c>
      <c r="K369" s="3">
        <v>4550</v>
      </c>
      <c r="L369" s="29">
        <f t="shared" si="39"/>
        <v>450</v>
      </c>
      <c r="M369" s="30">
        <v>0</v>
      </c>
      <c r="N369" s="31">
        <f t="shared" si="40"/>
        <v>0</v>
      </c>
      <c r="O369" s="32">
        <v>10</v>
      </c>
      <c r="P369" s="29">
        <f t="shared" si="41"/>
        <v>455</v>
      </c>
      <c r="Q369" s="31">
        <f t="shared" si="42"/>
        <v>10</v>
      </c>
      <c r="T369" s="3"/>
      <c r="U369" s="4"/>
      <c r="V369" s="4">
        <f t="shared" si="45"/>
        <v>4550</v>
      </c>
    </row>
    <row r="370" spans="2:22" x14ac:dyDescent="0.25">
      <c r="B370" s="1"/>
      <c r="C370" s="6"/>
      <c r="D370" s="2" t="s">
        <v>351</v>
      </c>
      <c r="E370" s="12" t="s">
        <v>618</v>
      </c>
      <c r="F370" s="12"/>
      <c r="G370" s="12"/>
      <c r="H370" s="5"/>
      <c r="I370">
        <v>5000</v>
      </c>
      <c r="J370" s="27">
        <v>4050</v>
      </c>
      <c r="K370" s="3">
        <v>450</v>
      </c>
      <c r="L370" s="29">
        <f t="shared" si="39"/>
        <v>4550</v>
      </c>
      <c r="M370" s="30">
        <v>0</v>
      </c>
      <c r="N370" s="31">
        <f t="shared" si="40"/>
        <v>0</v>
      </c>
      <c r="O370" s="32">
        <v>10</v>
      </c>
      <c r="P370" s="29">
        <f t="shared" si="41"/>
        <v>405</v>
      </c>
      <c r="Q370" s="31">
        <f t="shared" si="42"/>
        <v>1</v>
      </c>
      <c r="T370" s="3"/>
      <c r="U370" s="4"/>
      <c r="V370" s="4">
        <f t="shared" si="45"/>
        <v>450</v>
      </c>
    </row>
    <row r="371" spans="2:22" x14ac:dyDescent="0.25">
      <c r="B371" s="1"/>
      <c r="C371" s="6"/>
      <c r="D371" s="2" t="s">
        <v>352</v>
      </c>
      <c r="E371" s="12" t="s">
        <v>893</v>
      </c>
      <c r="F371" s="12"/>
      <c r="G371" s="12"/>
      <c r="H371" s="5"/>
      <c r="I371">
        <v>5000</v>
      </c>
      <c r="J371" s="27">
        <v>4050</v>
      </c>
      <c r="K371" s="3">
        <v>450</v>
      </c>
      <c r="L371" s="29">
        <f t="shared" si="39"/>
        <v>4550</v>
      </c>
      <c r="M371" s="30">
        <v>0</v>
      </c>
      <c r="N371" s="31">
        <f t="shared" si="40"/>
        <v>0</v>
      </c>
      <c r="O371" s="32">
        <v>10</v>
      </c>
      <c r="P371" s="29">
        <f t="shared" si="41"/>
        <v>405</v>
      </c>
      <c r="Q371" s="31">
        <f t="shared" si="42"/>
        <v>1</v>
      </c>
      <c r="T371" s="3"/>
      <c r="U371" s="4"/>
      <c r="V371" s="4">
        <f t="shared" si="45"/>
        <v>450</v>
      </c>
    </row>
    <row r="372" spans="2:22" ht="15.75" thickBot="1" x14ac:dyDescent="0.3">
      <c r="B372" s="1"/>
      <c r="C372" s="6"/>
      <c r="D372" s="2" t="s">
        <v>353</v>
      </c>
      <c r="E372" s="12" t="s">
        <v>894</v>
      </c>
      <c r="F372" s="12"/>
      <c r="G372" s="12"/>
      <c r="H372" s="5"/>
      <c r="I372">
        <v>5000</v>
      </c>
      <c r="J372" s="27">
        <v>4050</v>
      </c>
      <c r="K372" s="3">
        <v>450</v>
      </c>
      <c r="L372" s="29">
        <f t="shared" si="39"/>
        <v>4550</v>
      </c>
      <c r="M372" s="30">
        <v>0</v>
      </c>
      <c r="N372" s="31">
        <f t="shared" si="40"/>
        <v>0</v>
      </c>
      <c r="O372" s="32">
        <v>10</v>
      </c>
      <c r="P372" s="29">
        <f t="shared" si="41"/>
        <v>405</v>
      </c>
      <c r="Q372" s="31">
        <f t="shared" si="42"/>
        <v>1</v>
      </c>
      <c r="T372" s="3"/>
      <c r="U372" s="4"/>
      <c r="V372" s="4">
        <f t="shared" si="45"/>
        <v>450</v>
      </c>
    </row>
    <row r="373" spans="2:22" x14ac:dyDescent="0.25">
      <c r="B373" s="1">
        <v>248</v>
      </c>
      <c r="C373" s="34">
        <v>16627362</v>
      </c>
      <c r="D373" s="2" t="s">
        <v>354</v>
      </c>
      <c r="E373" s="22" t="s">
        <v>594</v>
      </c>
      <c r="F373" s="22">
        <v>13018944</v>
      </c>
      <c r="G373" s="22" t="s">
        <v>800</v>
      </c>
      <c r="H373" s="5">
        <v>300</v>
      </c>
      <c r="I373">
        <v>5000</v>
      </c>
      <c r="J373" s="27">
        <f t="shared" si="38"/>
        <v>4700</v>
      </c>
      <c r="K373" s="3">
        <v>500</v>
      </c>
      <c r="L373" s="29">
        <f t="shared" si="39"/>
        <v>4500</v>
      </c>
      <c r="M373" s="30">
        <v>0</v>
      </c>
      <c r="N373" s="31">
        <f t="shared" si="40"/>
        <v>0</v>
      </c>
      <c r="O373" s="32">
        <v>10</v>
      </c>
      <c r="P373" s="29">
        <f t="shared" si="41"/>
        <v>470</v>
      </c>
      <c r="Q373" s="31">
        <f t="shared" si="42"/>
        <v>1</v>
      </c>
      <c r="T373" s="3">
        <v>500</v>
      </c>
      <c r="U373" s="4"/>
      <c r="V373" s="4">
        <f t="shared" ref="V373:V378" si="46">J373-H373-U373</f>
        <v>4400</v>
      </c>
    </row>
    <row r="374" spans="2:22" x14ac:dyDescent="0.25">
      <c r="B374" s="1">
        <v>249</v>
      </c>
      <c r="C374" s="7">
        <v>15522490</v>
      </c>
      <c r="D374" s="2" t="s">
        <v>355</v>
      </c>
      <c r="E374" s="2" t="s">
        <v>601</v>
      </c>
      <c r="F374" s="2">
        <v>4762367</v>
      </c>
      <c r="G374" s="2" t="s">
        <v>801</v>
      </c>
      <c r="H374" s="5"/>
      <c r="I374">
        <v>5000</v>
      </c>
      <c r="J374" s="27">
        <f t="shared" si="38"/>
        <v>5000</v>
      </c>
      <c r="K374" s="3">
        <v>500</v>
      </c>
      <c r="L374" s="29">
        <f t="shared" si="39"/>
        <v>4500</v>
      </c>
      <c r="M374" s="30">
        <v>0</v>
      </c>
      <c r="N374" s="31">
        <f t="shared" si="40"/>
        <v>0</v>
      </c>
      <c r="O374" s="32">
        <v>10</v>
      </c>
      <c r="P374" s="29">
        <f t="shared" si="41"/>
        <v>500</v>
      </c>
      <c r="Q374" s="31">
        <f t="shared" si="42"/>
        <v>1</v>
      </c>
      <c r="T374" s="3">
        <v>500</v>
      </c>
      <c r="U374" s="4"/>
      <c r="V374" s="4">
        <f t="shared" si="46"/>
        <v>5000</v>
      </c>
    </row>
    <row r="375" spans="2:22" x14ac:dyDescent="0.25">
      <c r="B375" s="1">
        <v>250</v>
      </c>
      <c r="C375" s="7">
        <v>15195054</v>
      </c>
      <c r="D375" s="2" t="s">
        <v>356</v>
      </c>
      <c r="E375" s="2" t="s">
        <v>599</v>
      </c>
      <c r="F375" s="2">
        <v>6732416</v>
      </c>
      <c r="G375" s="2" t="s">
        <v>802</v>
      </c>
      <c r="H375" s="5"/>
      <c r="I375">
        <v>5000</v>
      </c>
      <c r="J375" s="27">
        <f t="shared" si="38"/>
        <v>5000</v>
      </c>
      <c r="K375" s="3">
        <v>500</v>
      </c>
      <c r="L375" s="29">
        <f t="shared" si="39"/>
        <v>4500</v>
      </c>
      <c r="M375" s="30">
        <v>0</v>
      </c>
      <c r="N375" s="31">
        <f t="shared" si="40"/>
        <v>0</v>
      </c>
      <c r="O375" s="32">
        <v>10</v>
      </c>
      <c r="P375" s="29">
        <f t="shared" si="41"/>
        <v>500</v>
      </c>
      <c r="Q375" s="31">
        <f t="shared" si="42"/>
        <v>1</v>
      </c>
      <c r="T375" s="3">
        <v>500</v>
      </c>
      <c r="U375" s="4">
        <v>200</v>
      </c>
      <c r="V375" s="4">
        <f t="shared" si="46"/>
        <v>4800</v>
      </c>
    </row>
    <row r="376" spans="2:22" x14ac:dyDescent="0.25">
      <c r="B376" s="1">
        <v>251</v>
      </c>
      <c r="C376" s="7">
        <v>15953039</v>
      </c>
      <c r="D376" s="2" t="s">
        <v>357</v>
      </c>
      <c r="E376" s="2" t="s">
        <v>594</v>
      </c>
      <c r="F376" s="2">
        <v>6866521</v>
      </c>
      <c r="G376" s="2" t="s">
        <v>803</v>
      </c>
      <c r="H376" s="5">
        <v>300</v>
      </c>
      <c r="I376">
        <v>5000</v>
      </c>
      <c r="J376" s="27">
        <f t="shared" si="38"/>
        <v>4700</v>
      </c>
      <c r="K376" s="3">
        <v>4750</v>
      </c>
      <c r="L376" s="29">
        <f t="shared" si="39"/>
        <v>250</v>
      </c>
      <c r="M376" s="30">
        <v>0</v>
      </c>
      <c r="N376" s="31">
        <f t="shared" si="40"/>
        <v>0</v>
      </c>
      <c r="O376" s="32">
        <v>10</v>
      </c>
      <c r="P376" s="29">
        <f t="shared" si="41"/>
        <v>470</v>
      </c>
      <c r="Q376" s="31">
        <f t="shared" si="42"/>
        <v>10</v>
      </c>
      <c r="T376" s="3">
        <v>4750</v>
      </c>
      <c r="U376" s="4">
        <v>4450</v>
      </c>
      <c r="V376" s="4">
        <f t="shared" si="46"/>
        <v>-50</v>
      </c>
    </row>
    <row r="377" spans="2:22" x14ac:dyDescent="0.25">
      <c r="B377" s="1">
        <v>252</v>
      </c>
      <c r="C377" s="7">
        <v>16234098</v>
      </c>
      <c r="D377" s="2" t="s">
        <v>358</v>
      </c>
      <c r="E377" s="2" t="s">
        <v>604</v>
      </c>
      <c r="F377" s="2">
        <v>5481598</v>
      </c>
      <c r="G377" s="2" t="s">
        <v>804</v>
      </c>
      <c r="H377" s="5">
        <v>300</v>
      </c>
      <c r="I377">
        <v>5000</v>
      </c>
      <c r="J377" s="27">
        <f t="shared" si="38"/>
        <v>4700</v>
      </c>
      <c r="K377" s="3">
        <v>4750</v>
      </c>
      <c r="L377" s="29">
        <f t="shared" si="39"/>
        <v>250</v>
      </c>
      <c r="M377" s="30">
        <v>0</v>
      </c>
      <c r="N377" s="31">
        <f t="shared" si="40"/>
        <v>0</v>
      </c>
      <c r="O377" s="32">
        <v>10</v>
      </c>
      <c r="P377" s="29">
        <f t="shared" si="41"/>
        <v>470</v>
      </c>
      <c r="Q377" s="31">
        <f t="shared" si="42"/>
        <v>10</v>
      </c>
      <c r="T377" s="3">
        <v>4750</v>
      </c>
      <c r="U377" s="4"/>
      <c r="V377" s="4">
        <f t="shared" si="46"/>
        <v>4400</v>
      </c>
    </row>
    <row r="378" spans="2:22" x14ac:dyDescent="0.25">
      <c r="B378" s="1">
        <v>253</v>
      </c>
      <c r="C378" s="7">
        <v>16288559</v>
      </c>
      <c r="D378" s="2" t="s">
        <v>359</v>
      </c>
      <c r="E378" s="2" t="s">
        <v>604</v>
      </c>
      <c r="F378" s="2">
        <v>6080465</v>
      </c>
      <c r="G378" s="2" t="s">
        <v>805</v>
      </c>
      <c r="H378" s="5"/>
      <c r="I378">
        <v>5000</v>
      </c>
      <c r="J378" s="27">
        <f t="shared" si="38"/>
        <v>5000</v>
      </c>
      <c r="K378" s="3">
        <v>500</v>
      </c>
      <c r="L378" s="29">
        <f t="shared" si="39"/>
        <v>4500</v>
      </c>
      <c r="M378" s="30">
        <v>0</v>
      </c>
      <c r="N378" s="31">
        <f t="shared" si="40"/>
        <v>0</v>
      </c>
      <c r="O378" s="32">
        <v>10</v>
      </c>
      <c r="P378" s="29">
        <f t="shared" si="41"/>
        <v>500</v>
      </c>
      <c r="Q378" s="31">
        <f t="shared" si="42"/>
        <v>1</v>
      </c>
      <c r="T378" s="3">
        <v>500</v>
      </c>
      <c r="U378" s="4">
        <v>500</v>
      </c>
      <c r="V378" s="4">
        <f t="shared" si="46"/>
        <v>4500</v>
      </c>
    </row>
    <row r="379" spans="2:22" x14ac:dyDescent="0.25">
      <c r="B379" s="1">
        <v>254</v>
      </c>
      <c r="C379" s="6"/>
      <c r="D379" s="2" t="s">
        <v>99</v>
      </c>
      <c r="E379" s="12"/>
      <c r="F379" s="12"/>
      <c r="G379" s="12"/>
      <c r="H379" s="5"/>
      <c r="I379">
        <v>5000</v>
      </c>
      <c r="J379" s="27">
        <f t="shared" si="38"/>
        <v>5000</v>
      </c>
      <c r="K379" s="3">
        <v>0</v>
      </c>
      <c r="L379" s="29">
        <f t="shared" si="39"/>
        <v>5000</v>
      </c>
      <c r="M379" s="30">
        <v>0</v>
      </c>
      <c r="N379" s="31">
        <f t="shared" si="40"/>
        <v>0</v>
      </c>
      <c r="O379" s="32">
        <v>10</v>
      </c>
      <c r="P379" s="29">
        <f t="shared" si="41"/>
        <v>500</v>
      </c>
      <c r="Q379" s="31">
        <f t="shared" si="42"/>
        <v>0</v>
      </c>
      <c r="T379" s="3">
        <v>0</v>
      </c>
      <c r="U379" s="4"/>
      <c r="V379" s="4"/>
    </row>
    <row r="380" spans="2:22" x14ac:dyDescent="0.25">
      <c r="B380" s="1">
        <v>255</v>
      </c>
      <c r="C380" s="7">
        <v>13926552</v>
      </c>
      <c r="D380" s="2" t="s">
        <v>360</v>
      </c>
      <c r="E380" s="2" t="s">
        <v>593</v>
      </c>
      <c r="F380" s="2">
        <v>6048939</v>
      </c>
      <c r="G380" s="2" t="s">
        <v>806</v>
      </c>
      <c r="H380" s="5"/>
      <c r="I380">
        <v>5000</v>
      </c>
      <c r="J380" s="27">
        <f t="shared" si="38"/>
        <v>5000</v>
      </c>
      <c r="K380" s="3">
        <v>4750</v>
      </c>
      <c r="L380" s="29">
        <f t="shared" si="39"/>
        <v>250</v>
      </c>
      <c r="M380" s="30">
        <v>0</v>
      </c>
      <c r="N380" s="31">
        <f t="shared" si="40"/>
        <v>0</v>
      </c>
      <c r="O380" s="32">
        <v>10</v>
      </c>
      <c r="P380" s="29">
        <f t="shared" si="41"/>
        <v>500</v>
      </c>
      <c r="Q380" s="31">
        <f t="shared" si="42"/>
        <v>9</v>
      </c>
      <c r="T380" s="3">
        <v>4750</v>
      </c>
      <c r="U380" s="4"/>
      <c r="V380" s="4">
        <f t="shared" ref="V380:V426" si="47">J380-H380-U380</f>
        <v>5000</v>
      </c>
    </row>
    <row r="381" spans="2:22" x14ac:dyDescent="0.25">
      <c r="B381" s="1">
        <v>256</v>
      </c>
      <c r="C381" s="7">
        <v>16629816</v>
      </c>
      <c r="D381" s="2" t="s">
        <v>361</v>
      </c>
      <c r="E381" s="2" t="s">
        <v>604</v>
      </c>
      <c r="F381" s="2">
        <v>9908493</v>
      </c>
      <c r="G381" s="2" t="s">
        <v>807</v>
      </c>
      <c r="H381" s="5"/>
      <c r="I381">
        <v>5000</v>
      </c>
      <c r="J381" s="27">
        <f t="shared" si="38"/>
        <v>5000</v>
      </c>
      <c r="K381" s="3">
        <v>500</v>
      </c>
      <c r="L381" s="29">
        <f t="shared" si="39"/>
        <v>4500</v>
      </c>
      <c r="M381" s="30">
        <v>0</v>
      </c>
      <c r="N381" s="31">
        <f t="shared" si="40"/>
        <v>0</v>
      </c>
      <c r="O381" s="32">
        <v>10</v>
      </c>
      <c r="P381" s="29">
        <f t="shared" si="41"/>
        <v>500</v>
      </c>
      <c r="Q381" s="31">
        <f t="shared" si="42"/>
        <v>1</v>
      </c>
      <c r="T381" s="3">
        <v>500</v>
      </c>
      <c r="U381" s="4"/>
      <c r="V381" s="4">
        <f t="shared" si="47"/>
        <v>5000</v>
      </c>
    </row>
    <row r="382" spans="2:22" x14ac:dyDescent="0.25">
      <c r="B382" s="1">
        <v>257</v>
      </c>
      <c r="C382" s="7">
        <v>13696962</v>
      </c>
      <c r="D382" s="2" t="s">
        <v>362</v>
      </c>
      <c r="E382" s="2" t="s">
        <v>593</v>
      </c>
      <c r="F382" s="2">
        <v>2607314</v>
      </c>
      <c r="G382" s="2" t="s">
        <v>808</v>
      </c>
      <c r="H382" s="5">
        <v>300</v>
      </c>
      <c r="I382">
        <v>5000</v>
      </c>
      <c r="J382" s="27">
        <f t="shared" si="38"/>
        <v>4700</v>
      </c>
      <c r="K382" s="3">
        <v>500</v>
      </c>
      <c r="L382" s="29">
        <f t="shared" si="39"/>
        <v>4500</v>
      </c>
      <c r="M382" s="30">
        <v>0</v>
      </c>
      <c r="N382" s="31">
        <f t="shared" si="40"/>
        <v>0</v>
      </c>
      <c r="O382" s="32">
        <v>10</v>
      </c>
      <c r="P382" s="29">
        <f t="shared" si="41"/>
        <v>470</v>
      </c>
      <c r="Q382" s="31">
        <f t="shared" si="42"/>
        <v>1</v>
      </c>
      <c r="T382" s="3">
        <v>500</v>
      </c>
      <c r="U382" s="4"/>
      <c r="V382" s="4">
        <f t="shared" si="47"/>
        <v>4400</v>
      </c>
    </row>
    <row r="383" spans="2:22" x14ac:dyDescent="0.25">
      <c r="B383" s="1">
        <v>258</v>
      </c>
      <c r="C383" s="7">
        <v>14769033</v>
      </c>
      <c r="D383" s="2" t="s">
        <v>363</v>
      </c>
      <c r="E383" s="2" t="s">
        <v>605</v>
      </c>
      <c r="F383" s="2">
        <v>12608417</v>
      </c>
      <c r="G383" s="2" t="s">
        <v>809</v>
      </c>
      <c r="H383" s="5">
        <v>300</v>
      </c>
      <c r="I383">
        <v>5000</v>
      </c>
      <c r="J383" s="27">
        <f t="shared" si="38"/>
        <v>4700</v>
      </c>
      <c r="K383" s="3">
        <v>500</v>
      </c>
      <c r="L383" s="29">
        <f t="shared" si="39"/>
        <v>4500</v>
      </c>
      <c r="M383" s="30">
        <v>0</v>
      </c>
      <c r="N383" s="31">
        <f t="shared" si="40"/>
        <v>0</v>
      </c>
      <c r="O383" s="32">
        <v>10</v>
      </c>
      <c r="P383" s="29">
        <f t="shared" si="41"/>
        <v>470</v>
      </c>
      <c r="Q383" s="31">
        <f t="shared" si="42"/>
        <v>1</v>
      </c>
      <c r="T383" s="3">
        <v>500</v>
      </c>
      <c r="U383" s="4"/>
      <c r="V383" s="4">
        <f t="shared" si="47"/>
        <v>4400</v>
      </c>
    </row>
    <row r="384" spans="2:22" x14ac:dyDescent="0.25">
      <c r="B384" s="1">
        <v>258</v>
      </c>
      <c r="C384" s="7">
        <v>15245571</v>
      </c>
      <c r="D384" s="2" t="s">
        <v>364</v>
      </c>
      <c r="E384" s="2" t="s">
        <v>594</v>
      </c>
      <c r="F384" s="2">
        <v>12608418</v>
      </c>
      <c r="G384" s="2" t="s">
        <v>809</v>
      </c>
      <c r="H384" s="5">
        <v>300</v>
      </c>
      <c r="I384">
        <v>5000</v>
      </c>
      <c r="J384" s="27">
        <f t="shared" si="38"/>
        <v>4450</v>
      </c>
      <c r="K384" s="3">
        <v>475</v>
      </c>
      <c r="L384" s="29">
        <f t="shared" si="39"/>
        <v>4275</v>
      </c>
      <c r="M384" s="30">
        <v>0.05</v>
      </c>
      <c r="N384" s="31">
        <f t="shared" si="40"/>
        <v>250</v>
      </c>
      <c r="O384" s="32">
        <v>10</v>
      </c>
      <c r="P384" s="29">
        <f t="shared" si="41"/>
        <v>445</v>
      </c>
      <c r="Q384" s="31">
        <f t="shared" si="42"/>
        <v>1</v>
      </c>
      <c r="T384" s="3">
        <v>475</v>
      </c>
      <c r="U384" s="4"/>
      <c r="V384" s="4">
        <f t="shared" si="47"/>
        <v>4150</v>
      </c>
    </row>
    <row r="385" spans="2:22" x14ac:dyDescent="0.25">
      <c r="B385" s="1">
        <v>259</v>
      </c>
      <c r="C385" s="7">
        <v>16191241</v>
      </c>
      <c r="D385" s="2" t="s">
        <v>365</v>
      </c>
      <c r="E385" s="2" t="s">
        <v>604</v>
      </c>
      <c r="F385" s="2">
        <v>9139806</v>
      </c>
      <c r="G385" s="2" t="s">
        <v>810</v>
      </c>
      <c r="H385" s="5"/>
      <c r="I385">
        <v>5000</v>
      </c>
      <c r="J385" s="27">
        <f t="shared" si="38"/>
        <v>5000</v>
      </c>
      <c r="K385" s="3">
        <v>500</v>
      </c>
      <c r="L385" s="29">
        <f t="shared" si="39"/>
        <v>4500</v>
      </c>
      <c r="M385" s="30">
        <v>0</v>
      </c>
      <c r="N385" s="31">
        <f t="shared" si="40"/>
        <v>0</v>
      </c>
      <c r="O385" s="32">
        <v>10</v>
      </c>
      <c r="P385" s="29">
        <f t="shared" si="41"/>
        <v>500</v>
      </c>
      <c r="Q385" s="31">
        <f t="shared" si="42"/>
        <v>1</v>
      </c>
      <c r="T385" s="3">
        <v>500</v>
      </c>
      <c r="U385" s="4">
        <v>500</v>
      </c>
      <c r="V385" s="4">
        <f t="shared" si="47"/>
        <v>4500</v>
      </c>
    </row>
    <row r="386" spans="2:22" x14ac:dyDescent="0.25">
      <c r="B386" s="1">
        <v>260</v>
      </c>
      <c r="C386" s="7">
        <v>12671771</v>
      </c>
      <c r="D386" s="2" t="s">
        <v>366</v>
      </c>
      <c r="E386" s="2" t="s">
        <v>605</v>
      </c>
      <c r="F386" s="2">
        <v>4888151</v>
      </c>
      <c r="G386" s="2" t="s">
        <v>811</v>
      </c>
      <c r="H386" s="5">
        <v>300</v>
      </c>
      <c r="I386">
        <v>5000</v>
      </c>
      <c r="J386" s="27">
        <f t="shared" si="38"/>
        <v>4700</v>
      </c>
      <c r="K386" s="3">
        <v>500</v>
      </c>
      <c r="L386" s="29">
        <f t="shared" si="39"/>
        <v>4500</v>
      </c>
      <c r="M386" s="30">
        <v>0</v>
      </c>
      <c r="N386" s="31">
        <f t="shared" si="40"/>
        <v>0</v>
      </c>
      <c r="O386" s="32">
        <v>10</v>
      </c>
      <c r="P386" s="29">
        <f t="shared" si="41"/>
        <v>470</v>
      </c>
      <c r="Q386" s="31">
        <f t="shared" si="42"/>
        <v>1</v>
      </c>
      <c r="T386" s="3">
        <v>500</v>
      </c>
      <c r="U386" s="4">
        <v>200</v>
      </c>
      <c r="V386" s="4">
        <f t="shared" si="47"/>
        <v>4200</v>
      </c>
    </row>
    <row r="387" spans="2:22" x14ac:dyDescent="0.25">
      <c r="B387" s="1">
        <v>260</v>
      </c>
      <c r="C387" s="7">
        <v>16266431</v>
      </c>
      <c r="D387" s="2" t="s">
        <v>367</v>
      </c>
      <c r="E387" s="2" t="s">
        <v>597</v>
      </c>
      <c r="F387" s="2">
        <v>4888152</v>
      </c>
      <c r="G387" s="2" t="s">
        <v>811</v>
      </c>
      <c r="H387" s="5">
        <v>300</v>
      </c>
      <c r="I387">
        <v>5000</v>
      </c>
      <c r="J387" s="27">
        <f t="shared" ref="J387:J450" si="48">I387-H387-N387</f>
        <v>4200</v>
      </c>
      <c r="K387" s="3">
        <v>450</v>
      </c>
      <c r="L387" s="29">
        <f t="shared" ref="L387:L450" si="49">(I387-N387)-K387</f>
        <v>4050</v>
      </c>
      <c r="M387" s="30">
        <v>0.1</v>
      </c>
      <c r="N387" s="31">
        <f t="shared" ref="N387:N450" si="50">I387*M387</f>
        <v>500</v>
      </c>
      <c r="O387" s="32">
        <v>10</v>
      </c>
      <c r="P387" s="29">
        <f t="shared" ref="P387:P450" si="51">J387/O387</f>
        <v>420</v>
      </c>
      <c r="Q387" s="31">
        <f t="shared" ref="Q387:Q450" si="52">INT(K387/P387)</f>
        <v>1</v>
      </c>
      <c r="T387" s="3">
        <v>450</v>
      </c>
      <c r="U387" s="4">
        <v>150</v>
      </c>
      <c r="V387" s="4">
        <f t="shared" si="47"/>
        <v>3750</v>
      </c>
    </row>
    <row r="388" spans="2:22" x14ac:dyDescent="0.25">
      <c r="B388" s="1">
        <v>260</v>
      </c>
      <c r="C388" s="7">
        <v>14528588</v>
      </c>
      <c r="D388" s="2" t="s">
        <v>368</v>
      </c>
      <c r="E388" s="2" t="s">
        <v>604</v>
      </c>
      <c r="F388" s="2">
        <v>4888153</v>
      </c>
      <c r="G388" s="2" t="s">
        <v>811</v>
      </c>
      <c r="H388" s="5">
        <v>300</v>
      </c>
      <c r="I388">
        <v>5000</v>
      </c>
      <c r="J388" s="27">
        <f t="shared" si="48"/>
        <v>4450</v>
      </c>
      <c r="K388" s="3">
        <v>475</v>
      </c>
      <c r="L388" s="29">
        <f t="shared" si="49"/>
        <v>4275</v>
      </c>
      <c r="M388" s="30">
        <v>0.05</v>
      </c>
      <c r="N388" s="31">
        <f t="shared" si="50"/>
        <v>250</v>
      </c>
      <c r="O388" s="32">
        <v>10</v>
      </c>
      <c r="P388" s="29">
        <f t="shared" si="51"/>
        <v>445</v>
      </c>
      <c r="Q388" s="31">
        <f t="shared" si="52"/>
        <v>1</v>
      </c>
      <c r="T388" s="3">
        <v>475</v>
      </c>
      <c r="U388" s="4">
        <v>175</v>
      </c>
      <c r="V388" s="4">
        <f t="shared" si="47"/>
        <v>3975</v>
      </c>
    </row>
    <row r="389" spans="2:22" x14ac:dyDescent="0.25">
      <c r="B389" s="1">
        <v>261</v>
      </c>
      <c r="C389" s="7">
        <v>13815140</v>
      </c>
      <c r="D389" s="2" t="s">
        <v>369</v>
      </c>
      <c r="E389" s="2" t="s">
        <v>593</v>
      </c>
      <c r="F389" s="2">
        <v>4339896</v>
      </c>
      <c r="G389" s="2" t="s">
        <v>812</v>
      </c>
      <c r="H389" s="5">
        <v>300</v>
      </c>
      <c r="I389">
        <v>5000</v>
      </c>
      <c r="J389" s="27">
        <f t="shared" si="48"/>
        <v>4700</v>
      </c>
      <c r="K389" s="3">
        <v>500</v>
      </c>
      <c r="L389" s="29">
        <f t="shared" si="49"/>
        <v>4500</v>
      </c>
      <c r="M389" s="30">
        <v>0</v>
      </c>
      <c r="N389" s="31">
        <f t="shared" si="50"/>
        <v>0</v>
      </c>
      <c r="O389" s="32">
        <v>10</v>
      </c>
      <c r="P389" s="29">
        <f t="shared" si="51"/>
        <v>470</v>
      </c>
      <c r="Q389" s="31">
        <f t="shared" si="52"/>
        <v>1</v>
      </c>
      <c r="T389" s="3">
        <v>500</v>
      </c>
      <c r="U389" s="4"/>
      <c r="V389" s="4">
        <f t="shared" si="47"/>
        <v>4400</v>
      </c>
    </row>
    <row r="390" spans="2:22" x14ac:dyDescent="0.25">
      <c r="B390" s="1">
        <v>262</v>
      </c>
      <c r="C390" s="7">
        <v>15565237</v>
      </c>
      <c r="D390" s="2" t="s">
        <v>370</v>
      </c>
      <c r="E390" s="2" t="s">
        <v>592</v>
      </c>
      <c r="F390" s="2">
        <v>6954838</v>
      </c>
      <c r="G390" s="2" t="s">
        <v>806</v>
      </c>
      <c r="H390" s="5">
        <v>300</v>
      </c>
      <c r="I390">
        <v>5000</v>
      </c>
      <c r="J390" s="27">
        <f t="shared" si="48"/>
        <v>4700</v>
      </c>
      <c r="K390" s="3">
        <v>500</v>
      </c>
      <c r="L390" s="29">
        <f t="shared" si="49"/>
        <v>4500</v>
      </c>
      <c r="M390" s="30">
        <v>0</v>
      </c>
      <c r="N390" s="31">
        <f t="shared" si="50"/>
        <v>0</v>
      </c>
      <c r="O390" s="32">
        <v>10</v>
      </c>
      <c r="P390" s="29">
        <f t="shared" si="51"/>
        <v>470</v>
      </c>
      <c r="Q390" s="31">
        <f t="shared" si="52"/>
        <v>1</v>
      </c>
      <c r="T390" s="3">
        <v>500</v>
      </c>
      <c r="U390" s="4"/>
      <c r="V390" s="4">
        <f t="shared" si="47"/>
        <v>4400</v>
      </c>
    </row>
    <row r="391" spans="2:22" x14ac:dyDescent="0.25">
      <c r="B391" s="1">
        <v>262</v>
      </c>
      <c r="C391" s="7">
        <v>15565165</v>
      </c>
      <c r="D391" s="2" t="s">
        <v>371</v>
      </c>
      <c r="E391" s="2" t="s">
        <v>604</v>
      </c>
      <c r="F391" s="2">
        <v>6954839</v>
      </c>
      <c r="G391" s="2" t="s">
        <v>806</v>
      </c>
      <c r="H391" s="5">
        <v>300</v>
      </c>
      <c r="I391">
        <v>5000</v>
      </c>
      <c r="J391" s="27">
        <f t="shared" si="48"/>
        <v>4450</v>
      </c>
      <c r="K391" s="3">
        <v>475</v>
      </c>
      <c r="L391" s="29">
        <f t="shared" si="49"/>
        <v>4275</v>
      </c>
      <c r="M391" s="30">
        <v>0.05</v>
      </c>
      <c r="N391" s="31">
        <f t="shared" si="50"/>
        <v>250</v>
      </c>
      <c r="O391" s="32">
        <v>10</v>
      </c>
      <c r="P391" s="29">
        <f t="shared" si="51"/>
        <v>445</v>
      </c>
      <c r="Q391" s="31">
        <f t="shared" si="52"/>
        <v>1</v>
      </c>
      <c r="T391" s="3">
        <v>475</v>
      </c>
      <c r="U391" s="4"/>
      <c r="V391" s="4">
        <f t="shared" si="47"/>
        <v>4150</v>
      </c>
    </row>
    <row r="392" spans="2:22" x14ac:dyDescent="0.25">
      <c r="B392" s="1">
        <v>263</v>
      </c>
      <c r="C392" s="7">
        <v>15350654</v>
      </c>
      <c r="D392" s="2" t="s">
        <v>372</v>
      </c>
      <c r="E392" s="2" t="s">
        <v>604</v>
      </c>
      <c r="F392" s="2">
        <v>7024074</v>
      </c>
      <c r="G392" s="2" t="s">
        <v>813</v>
      </c>
      <c r="H392" s="5"/>
      <c r="I392">
        <v>5000</v>
      </c>
      <c r="J392" s="27">
        <f t="shared" si="48"/>
        <v>5000</v>
      </c>
      <c r="K392" s="3">
        <v>500</v>
      </c>
      <c r="L392" s="29">
        <f t="shared" si="49"/>
        <v>4500</v>
      </c>
      <c r="M392" s="30">
        <v>0</v>
      </c>
      <c r="N392" s="31">
        <f t="shared" si="50"/>
        <v>0</v>
      </c>
      <c r="O392" s="32">
        <v>10</v>
      </c>
      <c r="P392" s="29">
        <f t="shared" si="51"/>
        <v>500</v>
      </c>
      <c r="Q392" s="31">
        <f t="shared" si="52"/>
        <v>1</v>
      </c>
      <c r="T392" s="3">
        <v>500</v>
      </c>
      <c r="U392" s="4"/>
      <c r="V392" s="4">
        <f t="shared" si="47"/>
        <v>5000</v>
      </c>
    </row>
    <row r="393" spans="2:22" x14ac:dyDescent="0.25">
      <c r="B393" s="1">
        <v>263</v>
      </c>
      <c r="C393" s="7">
        <v>15512687</v>
      </c>
      <c r="D393" s="2" t="s">
        <v>373</v>
      </c>
      <c r="E393" s="2" t="s">
        <v>599</v>
      </c>
      <c r="F393" s="2">
        <v>7024075</v>
      </c>
      <c r="G393" s="2" t="s">
        <v>813</v>
      </c>
      <c r="H393" s="5"/>
      <c r="I393">
        <v>5000</v>
      </c>
      <c r="J393" s="27">
        <f t="shared" si="48"/>
        <v>4750</v>
      </c>
      <c r="K393" s="3">
        <v>475</v>
      </c>
      <c r="L393" s="29">
        <f t="shared" si="49"/>
        <v>4275</v>
      </c>
      <c r="M393" s="30">
        <v>0.05</v>
      </c>
      <c r="N393" s="31">
        <f t="shared" si="50"/>
        <v>250</v>
      </c>
      <c r="O393" s="32">
        <v>10</v>
      </c>
      <c r="P393" s="29">
        <f t="shared" si="51"/>
        <v>475</v>
      </c>
      <c r="Q393" s="31">
        <f t="shared" si="52"/>
        <v>1</v>
      </c>
      <c r="T393" s="3">
        <v>475</v>
      </c>
      <c r="U393" s="4"/>
      <c r="V393" s="4">
        <f t="shared" si="47"/>
        <v>4750</v>
      </c>
    </row>
    <row r="394" spans="2:22" x14ac:dyDescent="0.25">
      <c r="B394" s="1">
        <v>264</v>
      </c>
      <c r="C394" s="7">
        <v>16672791</v>
      </c>
      <c r="D394" s="2" t="s">
        <v>374</v>
      </c>
      <c r="E394" s="2" t="s">
        <v>604</v>
      </c>
      <c r="F394" s="2">
        <v>7021114</v>
      </c>
      <c r="G394" s="2" t="s">
        <v>814</v>
      </c>
      <c r="H394" s="5">
        <v>300</v>
      </c>
      <c r="I394">
        <v>5000</v>
      </c>
      <c r="J394" s="27">
        <f t="shared" si="48"/>
        <v>4700</v>
      </c>
      <c r="K394" s="3">
        <v>500</v>
      </c>
      <c r="L394" s="29">
        <f t="shared" si="49"/>
        <v>4500</v>
      </c>
      <c r="M394" s="30">
        <v>0</v>
      </c>
      <c r="N394" s="31">
        <f t="shared" si="50"/>
        <v>0</v>
      </c>
      <c r="O394" s="32">
        <v>10</v>
      </c>
      <c r="P394" s="29">
        <f t="shared" si="51"/>
        <v>470</v>
      </c>
      <c r="Q394" s="31">
        <f t="shared" si="52"/>
        <v>1</v>
      </c>
      <c r="T394" s="3">
        <v>500</v>
      </c>
      <c r="U394" s="4">
        <v>200</v>
      </c>
      <c r="V394" s="4">
        <f t="shared" si="47"/>
        <v>4200</v>
      </c>
    </row>
    <row r="395" spans="2:22" x14ac:dyDescent="0.25">
      <c r="B395" s="1">
        <v>265</v>
      </c>
      <c r="C395" s="7">
        <v>16864179</v>
      </c>
      <c r="D395" s="2" t="s">
        <v>375</v>
      </c>
      <c r="E395" s="2" t="s">
        <v>604</v>
      </c>
      <c r="F395" s="2">
        <v>5477502</v>
      </c>
      <c r="G395" s="2" t="s">
        <v>815</v>
      </c>
      <c r="H395" s="5"/>
      <c r="I395">
        <v>5000</v>
      </c>
      <c r="J395" s="27">
        <f t="shared" si="48"/>
        <v>5000</v>
      </c>
      <c r="K395" s="3">
        <v>500</v>
      </c>
      <c r="L395" s="29">
        <f t="shared" si="49"/>
        <v>4500</v>
      </c>
      <c r="M395" s="30">
        <v>0</v>
      </c>
      <c r="N395" s="31">
        <f t="shared" si="50"/>
        <v>0</v>
      </c>
      <c r="O395" s="32">
        <v>10</v>
      </c>
      <c r="P395" s="29">
        <f t="shared" si="51"/>
        <v>500</v>
      </c>
      <c r="Q395" s="31">
        <f t="shared" si="52"/>
        <v>1</v>
      </c>
      <c r="T395" s="3">
        <v>500</v>
      </c>
      <c r="U395" s="4">
        <v>500</v>
      </c>
      <c r="V395" s="4">
        <f t="shared" si="47"/>
        <v>4500</v>
      </c>
    </row>
    <row r="396" spans="2:22" x14ac:dyDescent="0.25">
      <c r="B396" s="1">
        <v>266</v>
      </c>
      <c r="C396" s="7">
        <v>12424349</v>
      </c>
      <c r="D396" s="2" t="s">
        <v>376</v>
      </c>
      <c r="E396" s="2" t="s">
        <v>593</v>
      </c>
      <c r="F396" s="2">
        <v>3417558</v>
      </c>
      <c r="G396" s="2" t="s">
        <v>816</v>
      </c>
      <c r="H396" s="5">
        <v>300</v>
      </c>
      <c r="I396">
        <v>5000</v>
      </c>
      <c r="J396" s="27">
        <f t="shared" si="48"/>
        <v>4700</v>
      </c>
      <c r="K396" s="3">
        <v>4750</v>
      </c>
      <c r="L396" s="29">
        <f t="shared" si="49"/>
        <v>250</v>
      </c>
      <c r="M396" s="30">
        <v>0</v>
      </c>
      <c r="N396" s="31">
        <f t="shared" si="50"/>
        <v>0</v>
      </c>
      <c r="O396" s="32">
        <v>10</v>
      </c>
      <c r="P396" s="29">
        <f t="shared" si="51"/>
        <v>470</v>
      </c>
      <c r="Q396" s="31">
        <f t="shared" si="52"/>
        <v>10</v>
      </c>
      <c r="T396" s="3">
        <v>4750</v>
      </c>
      <c r="U396" s="4">
        <v>4450</v>
      </c>
      <c r="V396" s="4">
        <f t="shared" si="47"/>
        <v>-50</v>
      </c>
    </row>
    <row r="397" spans="2:22" x14ac:dyDescent="0.25">
      <c r="B397" s="1">
        <v>267</v>
      </c>
      <c r="C397" s="7">
        <v>15292606</v>
      </c>
      <c r="D397" s="2" t="s">
        <v>377</v>
      </c>
      <c r="E397" s="2" t="s">
        <v>593</v>
      </c>
      <c r="F397" s="2">
        <v>6002557</v>
      </c>
      <c r="G397" s="2" t="s">
        <v>817</v>
      </c>
      <c r="H397" s="5">
        <v>300</v>
      </c>
      <c r="I397">
        <v>5000</v>
      </c>
      <c r="J397" s="27">
        <f t="shared" si="48"/>
        <v>4700</v>
      </c>
      <c r="K397" s="3">
        <v>500</v>
      </c>
      <c r="L397" s="29">
        <f t="shared" si="49"/>
        <v>4500</v>
      </c>
      <c r="M397" s="30">
        <v>0</v>
      </c>
      <c r="N397" s="31">
        <f t="shared" si="50"/>
        <v>0</v>
      </c>
      <c r="O397" s="32">
        <v>10</v>
      </c>
      <c r="P397" s="29">
        <f t="shared" si="51"/>
        <v>470</v>
      </c>
      <c r="Q397" s="31">
        <f t="shared" si="52"/>
        <v>1</v>
      </c>
      <c r="T397" s="3">
        <v>500</v>
      </c>
      <c r="U397" s="4">
        <v>200</v>
      </c>
      <c r="V397" s="4">
        <f t="shared" si="47"/>
        <v>4200</v>
      </c>
    </row>
    <row r="398" spans="2:22" x14ac:dyDescent="0.25">
      <c r="B398" s="1">
        <v>268</v>
      </c>
      <c r="C398" s="7">
        <v>10271800</v>
      </c>
      <c r="D398" s="2" t="s">
        <v>378</v>
      </c>
      <c r="E398" s="2" t="s">
        <v>592</v>
      </c>
      <c r="F398" s="2">
        <v>10271799</v>
      </c>
      <c r="G398" s="2" t="s">
        <v>818</v>
      </c>
      <c r="H398" s="5">
        <v>300</v>
      </c>
      <c r="I398">
        <v>5000</v>
      </c>
      <c r="J398" s="27">
        <f t="shared" si="48"/>
        <v>4700</v>
      </c>
      <c r="K398" s="3">
        <v>500</v>
      </c>
      <c r="L398" s="29">
        <f t="shared" si="49"/>
        <v>4500</v>
      </c>
      <c r="M398" s="30">
        <v>0</v>
      </c>
      <c r="N398" s="31">
        <f t="shared" si="50"/>
        <v>0</v>
      </c>
      <c r="O398" s="32">
        <v>10</v>
      </c>
      <c r="P398" s="29">
        <f t="shared" si="51"/>
        <v>470</v>
      </c>
      <c r="Q398" s="31">
        <f t="shared" si="52"/>
        <v>1</v>
      </c>
      <c r="T398" s="3">
        <v>500</v>
      </c>
      <c r="U398" s="4"/>
      <c r="V398" s="4">
        <f t="shared" si="47"/>
        <v>4400</v>
      </c>
    </row>
    <row r="399" spans="2:22" x14ac:dyDescent="0.25">
      <c r="B399" s="1">
        <v>268</v>
      </c>
      <c r="C399" s="7">
        <v>10271795</v>
      </c>
      <c r="D399" s="2" t="s">
        <v>379</v>
      </c>
      <c r="E399" s="2" t="s">
        <v>604</v>
      </c>
      <c r="F399" s="2">
        <v>10271799</v>
      </c>
      <c r="G399" s="2" t="s">
        <v>818</v>
      </c>
      <c r="H399" s="5">
        <v>300</v>
      </c>
      <c r="I399">
        <v>5000</v>
      </c>
      <c r="J399" s="27">
        <f t="shared" si="48"/>
        <v>4450</v>
      </c>
      <c r="K399" s="3">
        <v>475</v>
      </c>
      <c r="L399" s="29">
        <f t="shared" si="49"/>
        <v>4275</v>
      </c>
      <c r="M399" s="30">
        <v>0.05</v>
      </c>
      <c r="N399" s="31">
        <f t="shared" si="50"/>
        <v>250</v>
      </c>
      <c r="O399" s="32">
        <v>10</v>
      </c>
      <c r="P399" s="29">
        <f t="shared" si="51"/>
        <v>445</v>
      </c>
      <c r="Q399" s="31">
        <f t="shared" si="52"/>
        <v>1</v>
      </c>
      <c r="T399" s="3">
        <v>475</v>
      </c>
      <c r="U399" s="4"/>
      <c r="V399" s="4">
        <f t="shared" si="47"/>
        <v>4150</v>
      </c>
    </row>
    <row r="400" spans="2:22" x14ac:dyDescent="0.25">
      <c r="B400" s="1">
        <v>269</v>
      </c>
      <c r="C400" s="7">
        <v>13696763</v>
      </c>
      <c r="D400" s="2" t="s">
        <v>380</v>
      </c>
      <c r="E400" s="2" t="s">
        <v>593</v>
      </c>
      <c r="F400" s="2">
        <v>2139227</v>
      </c>
      <c r="G400" s="2" t="s">
        <v>816</v>
      </c>
      <c r="H400" s="5">
        <v>300</v>
      </c>
      <c r="I400">
        <v>5000</v>
      </c>
      <c r="J400" s="27">
        <f t="shared" si="48"/>
        <v>4700</v>
      </c>
      <c r="K400" s="3">
        <v>500</v>
      </c>
      <c r="L400" s="29">
        <f t="shared" si="49"/>
        <v>4500</v>
      </c>
      <c r="M400" s="30">
        <v>0</v>
      </c>
      <c r="N400" s="31">
        <f t="shared" si="50"/>
        <v>0</v>
      </c>
      <c r="O400" s="32">
        <v>10</v>
      </c>
      <c r="P400" s="29">
        <f t="shared" si="51"/>
        <v>470</v>
      </c>
      <c r="Q400" s="31">
        <f t="shared" si="52"/>
        <v>1</v>
      </c>
      <c r="T400" s="3">
        <v>500</v>
      </c>
      <c r="U400" s="4"/>
      <c r="V400" s="4">
        <f t="shared" si="47"/>
        <v>4400</v>
      </c>
    </row>
    <row r="401" spans="2:22" x14ac:dyDescent="0.25">
      <c r="B401" s="1">
        <v>270</v>
      </c>
      <c r="C401" s="7">
        <v>15342537</v>
      </c>
      <c r="D401" s="2" t="s">
        <v>381</v>
      </c>
      <c r="E401" s="2" t="s">
        <v>601</v>
      </c>
      <c r="F401" s="2">
        <v>6806074</v>
      </c>
      <c r="G401" s="2" t="s">
        <v>819</v>
      </c>
      <c r="H401" s="5">
        <v>300</v>
      </c>
      <c r="I401">
        <v>5000</v>
      </c>
      <c r="J401" s="27">
        <f t="shared" si="48"/>
        <v>4700</v>
      </c>
      <c r="K401" s="3">
        <v>500</v>
      </c>
      <c r="L401" s="29">
        <f t="shared" si="49"/>
        <v>4500</v>
      </c>
      <c r="M401" s="30">
        <v>0</v>
      </c>
      <c r="N401" s="31">
        <f t="shared" si="50"/>
        <v>0</v>
      </c>
      <c r="O401" s="32">
        <v>10</v>
      </c>
      <c r="P401" s="29">
        <f t="shared" si="51"/>
        <v>470</v>
      </c>
      <c r="Q401" s="31">
        <f t="shared" si="52"/>
        <v>1</v>
      </c>
      <c r="T401" s="3">
        <v>500</v>
      </c>
      <c r="U401" s="4"/>
      <c r="V401" s="4">
        <f t="shared" si="47"/>
        <v>4400</v>
      </c>
    </row>
    <row r="402" spans="2:22" x14ac:dyDescent="0.25">
      <c r="B402" s="1">
        <v>270</v>
      </c>
      <c r="C402" s="7">
        <v>15342573</v>
      </c>
      <c r="D402" s="2" t="s">
        <v>382</v>
      </c>
      <c r="E402" s="2" t="s">
        <v>602</v>
      </c>
      <c r="F402" s="2">
        <v>6806074</v>
      </c>
      <c r="G402" s="2" t="s">
        <v>819</v>
      </c>
      <c r="H402" s="5">
        <v>300</v>
      </c>
      <c r="I402">
        <v>5000</v>
      </c>
      <c r="J402" s="27">
        <f t="shared" si="48"/>
        <v>4450</v>
      </c>
      <c r="K402" s="3">
        <v>475</v>
      </c>
      <c r="L402" s="29">
        <f t="shared" si="49"/>
        <v>4275</v>
      </c>
      <c r="M402" s="30">
        <v>0.05</v>
      </c>
      <c r="N402" s="31">
        <f t="shared" si="50"/>
        <v>250</v>
      </c>
      <c r="O402" s="32">
        <v>10</v>
      </c>
      <c r="P402" s="29">
        <f t="shared" si="51"/>
        <v>445</v>
      </c>
      <c r="Q402" s="31">
        <f t="shared" si="52"/>
        <v>1</v>
      </c>
      <c r="T402" s="3">
        <v>475</v>
      </c>
      <c r="U402" s="4"/>
      <c r="V402" s="4">
        <f t="shared" si="47"/>
        <v>4150</v>
      </c>
    </row>
    <row r="403" spans="2:22" x14ac:dyDescent="0.25">
      <c r="B403" s="1">
        <v>271</v>
      </c>
      <c r="C403" s="7">
        <v>14358575</v>
      </c>
      <c r="D403" s="2" t="s">
        <v>383</v>
      </c>
      <c r="E403" s="2" t="s">
        <v>603</v>
      </c>
      <c r="F403" s="2">
        <v>6058588</v>
      </c>
      <c r="G403" s="2" t="s">
        <v>820</v>
      </c>
      <c r="H403" s="5">
        <v>300</v>
      </c>
      <c r="I403">
        <v>5000</v>
      </c>
      <c r="J403" s="27">
        <f t="shared" si="48"/>
        <v>4700</v>
      </c>
      <c r="K403" s="3">
        <v>500</v>
      </c>
      <c r="L403" s="29">
        <f t="shared" si="49"/>
        <v>4500</v>
      </c>
      <c r="M403" s="30">
        <v>0</v>
      </c>
      <c r="N403" s="31">
        <f t="shared" si="50"/>
        <v>0</v>
      </c>
      <c r="O403" s="32">
        <v>10</v>
      </c>
      <c r="P403" s="29">
        <f t="shared" si="51"/>
        <v>470</v>
      </c>
      <c r="Q403" s="31">
        <f t="shared" si="52"/>
        <v>1</v>
      </c>
      <c r="T403" s="3">
        <v>500</v>
      </c>
      <c r="U403" s="4"/>
      <c r="V403" s="4">
        <f t="shared" si="47"/>
        <v>4400</v>
      </c>
    </row>
    <row r="404" spans="2:22" x14ac:dyDescent="0.25">
      <c r="B404" s="1">
        <v>271</v>
      </c>
      <c r="C404" s="7">
        <v>12450597</v>
      </c>
      <c r="D404" s="2" t="s">
        <v>384</v>
      </c>
      <c r="E404" s="2" t="s">
        <v>601</v>
      </c>
      <c r="F404" s="2">
        <v>6058588</v>
      </c>
      <c r="G404" s="2" t="s">
        <v>820</v>
      </c>
      <c r="H404" s="5">
        <v>300</v>
      </c>
      <c r="I404">
        <v>5000</v>
      </c>
      <c r="J404" s="27">
        <f t="shared" si="48"/>
        <v>4450</v>
      </c>
      <c r="K404" s="3">
        <v>475</v>
      </c>
      <c r="L404" s="29">
        <f t="shared" si="49"/>
        <v>4275</v>
      </c>
      <c r="M404" s="30">
        <v>0.05</v>
      </c>
      <c r="N404" s="31">
        <f t="shared" si="50"/>
        <v>250</v>
      </c>
      <c r="O404" s="32">
        <v>10</v>
      </c>
      <c r="P404" s="29">
        <f t="shared" si="51"/>
        <v>445</v>
      </c>
      <c r="Q404" s="31">
        <f t="shared" si="52"/>
        <v>1</v>
      </c>
      <c r="T404" s="3">
        <v>475</v>
      </c>
      <c r="U404" s="4"/>
      <c r="V404" s="4">
        <f t="shared" si="47"/>
        <v>4150</v>
      </c>
    </row>
    <row r="405" spans="2:22" x14ac:dyDescent="0.25">
      <c r="B405" s="1">
        <v>272</v>
      </c>
      <c r="C405" s="7">
        <v>16693007</v>
      </c>
      <c r="D405" s="2" t="s">
        <v>385</v>
      </c>
      <c r="E405" s="2" t="s">
        <v>600</v>
      </c>
      <c r="F405" s="2">
        <v>4369030</v>
      </c>
      <c r="G405" s="2" t="s">
        <v>821</v>
      </c>
      <c r="H405" s="5">
        <v>300</v>
      </c>
      <c r="I405">
        <v>5000</v>
      </c>
      <c r="J405" s="27">
        <f t="shared" si="48"/>
        <v>4700</v>
      </c>
      <c r="K405" s="3">
        <v>4750</v>
      </c>
      <c r="L405" s="29">
        <f t="shared" si="49"/>
        <v>250</v>
      </c>
      <c r="M405" s="30">
        <v>0</v>
      </c>
      <c r="N405" s="31">
        <f t="shared" si="50"/>
        <v>0</v>
      </c>
      <c r="O405" s="32">
        <v>10</v>
      </c>
      <c r="P405" s="29">
        <f t="shared" si="51"/>
        <v>470</v>
      </c>
      <c r="Q405" s="31">
        <f t="shared" si="52"/>
        <v>10</v>
      </c>
      <c r="T405" s="3">
        <v>4750</v>
      </c>
      <c r="U405" s="4"/>
      <c r="V405" s="4">
        <f t="shared" si="47"/>
        <v>4400</v>
      </c>
    </row>
    <row r="406" spans="2:22" x14ac:dyDescent="0.25">
      <c r="B406" s="1">
        <v>272</v>
      </c>
      <c r="C406" s="7">
        <v>16692993</v>
      </c>
      <c r="D406" s="2" t="s">
        <v>386</v>
      </c>
      <c r="E406" s="2" t="s">
        <v>594</v>
      </c>
      <c r="F406" s="2">
        <v>4369030</v>
      </c>
      <c r="G406" s="2" t="s">
        <v>821</v>
      </c>
      <c r="H406" s="5"/>
      <c r="I406">
        <v>5000</v>
      </c>
      <c r="J406" s="27">
        <f t="shared" si="48"/>
        <v>5000</v>
      </c>
      <c r="K406" s="3">
        <v>4750</v>
      </c>
      <c r="L406" s="29">
        <f t="shared" si="49"/>
        <v>250</v>
      </c>
      <c r="M406" s="30">
        <v>0</v>
      </c>
      <c r="N406" s="31">
        <f t="shared" si="50"/>
        <v>0</v>
      </c>
      <c r="O406" s="32">
        <v>10</v>
      </c>
      <c r="P406" s="29">
        <f t="shared" si="51"/>
        <v>500</v>
      </c>
      <c r="Q406" s="31">
        <f t="shared" si="52"/>
        <v>9</v>
      </c>
      <c r="T406" s="3">
        <v>4750</v>
      </c>
      <c r="U406" s="4"/>
      <c r="V406" s="4">
        <f t="shared" si="47"/>
        <v>5000</v>
      </c>
    </row>
    <row r="407" spans="2:22" x14ac:dyDescent="0.25">
      <c r="B407" s="1">
        <v>272</v>
      </c>
      <c r="C407" s="7">
        <v>16330049</v>
      </c>
      <c r="D407" s="2" t="s">
        <v>387</v>
      </c>
      <c r="E407" s="2" t="s">
        <v>597</v>
      </c>
      <c r="F407" s="2">
        <v>4369030</v>
      </c>
      <c r="G407" s="2" t="s">
        <v>821</v>
      </c>
      <c r="H407" s="5"/>
      <c r="I407">
        <v>5000</v>
      </c>
      <c r="J407" s="27">
        <f t="shared" si="48"/>
        <v>5000</v>
      </c>
      <c r="K407" s="3">
        <v>4500</v>
      </c>
      <c r="L407" s="29">
        <f t="shared" si="49"/>
        <v>500</v>
      </c>
      <c r="M407" s="30">
        <v>0</v>
      </c>
      <c r="N407" s="31">
        <f t="shared" si="50"/>
        <v>0</v>
      </c>
      <c r="O407" s="32">
        <v>10</v>
      </c>
      <c r="P407" s="29">
        <f t="shared" si="51"/>
        <v>500</v>
      </c>
      <c r="Q407" s="31">
        <f t="shared" si="52"/>
        <v>9</v>
      </c>
      <c r="T407" s="3">
        <v>4500</v>
      </c>
      <c r="U407" s="4"/>
      <c r="V407" s="4">
        <f t="shared" si="47"/>
        <v>5000</v>
      </c>
    </row>
    <row r="408" spans="2:22" x14ac:dyDescent="0.25">
      <c r="B408" s="1">
        <v>273</v>
      </c>
      <c r="C408" s="7">
        <v>12832413</v>
      </c>
      <c r="D408" s="2" t="s">
        <v>388</v>
      </c>
      <c r="E408" s="2" t="s">
        <v>603</v>
      </c>
      <c r="F408" s="2">
        <v>6172960</v>
      </c>
      <c r="G408" s="2" t="s">
        <v>658</v>
      </c>
      <c r="H408" s="5"/>
      <c r="I408">
        <v>5000</v>
      </c>
      <c r="J408" s="27">
        <f t="shared" si="48"/>
        <v>5000</v>
      </c>
      <c r="K408" s="3">
        <v>500</v>
      </c>
      <c r="L408" s="29">
        <f t="shared" si="49"/>
        <v>4500</v>
      </c>
      <c r="M408" s="30">
        <v>0</v>
      </c>
      <c r="N408" s="31">
        <f t="shared" si="50"/>
        <v>0</v>
      </c>
      <c r="O408" s="32">
        <v>10</v>
      </c>
      <c r="P408" s="29">
        <f t="shared" si="51"/>
        <v>500</v>
      </c>
      <c r="Q408" s="31">
        <f t="shared" si="52"/>
        <v>1</v>
      </c>
      <c r="T408" s="3">
        <v>500</v>
      </c>
      <c r="U408" s="4">
        <v>500</v>
      </c>
      <c r="V408" s="4">
        <f t="shared" si="47"/>
        <v>4500</v>
      </c>
    </row>
    <row r="409" spans="2:22" x14ac:dyDescent="0.25">
      <c r="B409" s="1">
        <v>273</v>
      </c>
      <c r="C409" s="7">
        <v>16294354</v>
      </c>
      <c r="D409" s="2" t="s">
        <v>389</v>
      </c>
      <c r="E409" s="2" t="s">
        <v>604</v>
      </c>
      <c r="F409" s="2">
        <v>6172960</v>
      </c>
      <c r="G409" s="2" t="s">
        <v>658</v>
      </c>
      <c r="H409" s="5"/>
      <c r="I409">
        <v>5000</v>
      </c>
      <c r="J409" s="27">
        <f t="shared" si="48"/>
        <v>4750</v>
      </c>
      <c r="K409" s="3">
        <v>475</v>
      </c>
      <c r="L409" s="29">
        <f t="shared" si="49"/>
        <v>4275</v>
      </c>
      <c r="M409" s="30">
        <v>0.05</v>
      </c>
      <c r="N409" s="31">
        <f t="shared" si="50"/>
        <v>250</v>
      </c>
      <c r="O409" s="32">
        <v>10</v>
      </c>
      <c r="P409" s="29">
        <f t="shared" si="51"/>
        <v>475</v>
      </c>
      <c r="Q409" s="31">
        <f t="shared" si="52"/>
        <v>1</v>
      </c>
      <c r="T409" s="3">
        <v>475</v>
      </c>
      <c r="U409" s="4">
        <v>475</v>
      </c>
      <c r="V409" s="4">
        <f t="shared" si="47"/>
        <v>4275</v>
      </c>
    </row>
    <row r="410" spans="2:22" x14ac:dyDescent="0.25">
      <c r="B410" s="1">
        <v>274</v>
      </c>
      <c r="C410" s="7">
        <v>15057782</v>
      </c>
      <c r="D410" s="2" t="s">
        <v>390</v>
      </c>
      <c r="E410" s="2" t="s">
        <v>602</v>
      </c>
      <c r="F410" s="2">
        <v>10024319</v>
      </c>
      <c r="G410" s="2" t="s">
        <v>679</v>
      </c>
      <c r="H410" s="5"/>
      <c r="I410">
        <v>5000</v>
      </c>
      <c r="J410" s="27">
        <f t="shared" si="48"/>
        <v>5000</v>
      </c>
      <c r="K410" s="3">
        <v>4750</v>
      </c>
      <c r="L410" s="29">
        <f t="shared" si="49"/>
        <v>250</v>
      </c>
      <c r="M410" s="30">
        <v>0</v>
      </c>
      <c r="N410" s="31">
        <f t="shared" si="50"/>
        <v>0</v>
      </c>
      <c r="O410" s="32">
        <v>10</v>
      </c>
      <c r="P410" s="29">
        <f t="shared" si="51"/>
        <v>500</v>
      </c>
      <c r="Q410" s="31">
        <f t="shared" si="52"/>
        <v>9</v>
      </c>
      <c r="T410" s="3">
        <v>4750</v>
      </c>
      <c r="U410" s="4">
        <v>475</v>
      </c>
      <c r="V410" s="4">
        <f t="shared" si="47"/>
        <v>4525</v>
      </c>
    </row>
    <row r="411" spans="2:22" x14ac:dyDescent="0.25">
      <c r="B411" s="1">
        <v>275</v>
      </c>
      <c r="C411" s="7">
        <v>16375108</v>
      </c>
      <c r="D411" s="2" t="s">
        <v>391</v>
      </c>
      <c r="E411" s="2" t="s">
        <v>604</v>
      </c>
      <c r="F411" s="2">
        <v>7048936</v>
      </c>
      <c r="G411" s="2" t="s">
        <v>822</v>
      </c>
      <c r="H411" s="5">
        <v>300</v>
      </c>
      <c r="I411">
        <v>5000</v>
      </c>
      <c r="J411" s="27">
        <f t="shared" si="48"/>
        <v>4700</v>
      </c>
      <c r="K411" s="3">
        <v>500</v>
      </c>
      <c r="L411" s="29">
        <f t="shared" si="49"/>
        <v>4500</v>
      </c>
      <c r="M411" s="30">
        <v>0</v>
      </c>
      <c r="N411" s="31">
        <f t="shared" si="50"/>
        <v>0</v>
      </c>
      <c r="O411" s="32">
        <v>10</v>
      </c>
      <c r="P411" s="29">
        <f t="shared" si="51"/>
        <v>470</v>
      </c>
      <c r="Q411" s="31">
        <f t="shared" si="52"/>
        <v>1</v>
      </c>
      <c r="T411" s="3">
        <v>500</v>
      </c>
      <c r="U411" s="4">
        <v>200</v>
      </c>
      <c r="V411" s="4">
        <f t="shared" si="47"/>
        <v>4200</v>
      </c>
    </row>
    <row r="412" spans="2:22" x14ac:dyDescent="0.25">
      <c r="B412" s="1">
        <v>234</v>
      </c>
      <c r="C412" s="7">
        <v>15164352</v>
      </c>
      <c r="D412" s="2" t="s">
        <v>392</v>
      </c>
      <c r="E412" s="2" t="s">
        <v>599</v>
      </c>
      <c r="F412" s="2">
        <v>7048936</v>
      </c>
      <c r="G412" s="2" t="s">
        <v>822</v>
      </c>
      <c r="H412" s="5">
        <v>300</v>
      </c>
      <c r="I412">
        <v>5000</v>
      </c>
      <c r="J412" s="27">
        <f t="shared" si="48"/>
        <v>4450</v>
      </c>
      <c r="K412" s="3">
        <v>475</v>
      </c>
      <c r="L412" s="29">
        <f t="shared" si="49"/>
        <v>4275</v>
      </c>
      <c r="M412" s="30">
        <v>0.05</v>
      </c>
      <c r="N412" s="31">
        <f t="shared" si="50"/>
        <v>250</v>
      </c>
      <c r="O412" s="32">
        <v>10</v>
      </c>
      <c r="P412" s="29">
        <f t="shared" si="51"/>
        <v>445</v>
      </c>
      <c r="Q412" s="31">
        <f t="shared" si="52"/>
        <v>1</v>
      </c>
      <c r="T412" s="3">
        <v>475</v>
      </c>
      <c r="U412" s="4">
        <v>175</v>
      </c>
      <c r="V412" s="4">
        <f t="shared" si="47"/>
        <v>3975</v>
      </c>
    </row>
    <row r="413" spans="2:22" x14ac:dyDescent="0.25">
      <c r="B413" s="1">
        <v>234</v>
      </c>
      <c r="C413" s="7">
        <v>17597043</v>
      </c>
      <c r="D413" s="2" t="s">
        <v>393</v>
      </c>
      <c r="E413" s="2" t="s">
        <v>598</v>
      </c>
      <c r="F413" s="2">
        <v>7048936</v>
      </c>
      <c r="G413" s="2" t="s">
        <v>822</v>
      </c>
      <c r="H413" s="5">
        <v>300</v>
      </c>
      <c r="I413">
        <v>5000</v>
      </c>
      <c r="J413" s="27">
        <f t="shared" si="48"/>
        <v>4200</v>
      </c>
      <c r="K413" s="3">
        <v>450</v>
      </c>
      <c r="L413" s="29">
        <f t="shared" si="49"/>
        <v>4050</v>
      </c>
      <c r="M413" s="30">
        <v>0.1</v>
      </c>
      <c r="N413" s="31">
        <f t="shared" si="50"/>
        <v>500</v>
      </c>
      <c r="O413" s="32">
        <v>10</v>
      </c>
      <c r="P413" s="29">
        <f t="shared" si="51"/>
        <v>420</v>
      </c>
      <c r="Q413" s="31">
        <f t="shared" si="52"/>
        <v>1</v>
      </c>
      <c r="T413" s="3">
        <v>450</v>
      </c>
      <c r="U413" s="4">
        <v>150</v>
      </c>
      <c r="V413" s="4">
        <f t="shared" si="47"/>
        <v>3750</v>
      </c>
    </row>
    <row r="414" spans="2:22" x14ac:dyDescent="0.25">
      <c r="B414" s="1">
        <v>276</v>
      </c>
      <c r="C414" s="7">
        <v>13961235</v>
      </c>
      <c r="D414" s="2" t="s">
        <v>394</v>
      </c>
      <c r="E414" s="2" t="s">
        <v>593</v>
      </c>
      <c r="F414" s="2">
        <v>3351159</v>
      </c>
      <c r="G414" s="2" t="s">
        <v>816</v>
      </c>
      <c r="H414" s="5"/>
      <c r="I414">
        <v>5000</v>
      </c>
      <c r="J414" s="27">
        <f t="shared" si="48"/>
        <v>5000</v>
      </c>
      <c r="K414" s="3">
        <v>500</v>
      </c>
      <c r="L414" s="29">
        <f t="shared" si="49"/>
        <v>4500</v>
      </c>
      <c r="M414" s="30">
        <v>0</v>
      </c>
      <c r="N414" s="31">
        <f t="shared" si="50"/>
        <v>0</v>
      </c>
      <c r="O414" s="32">
        <v>10</v>
      </c>
      <c r="P414" s="29">
        <f t="shared" si="51"/>
        <v>500</v>
      </c>
      <c r="Q414" s="31">
        <f t="shared" si="52"/>
        <v>1</v>
      </c>
      <c r="T414" s="3">
        <v>500</v>
      </c>
      <c r="U414" s="4"/>
      <c r="V414" s="4">
        <f t="shared" si="47"/>
        <v>5000</v>
      </c>
    </row>
    <row r="415" spans="2:22" x14ac:dyDescent="0.25">
      <c r="B415" s="1">
        <v>277</v>
      </c>
      <c r="C415" s="7">
        <v>9975238</v>
      </c>
      <c r="D415" s="2" t="s">
        <v>395</v>
      </c>
      <c r="E415" s="2" t="s">
        <v>593</v>
      </c>
      <c r="F415" s="2">
        <v>3439344</v>
      </c>
      <c r="G415" s="2" t="s">
        <v>823</v>
      </c>
      <c r="H415" s="5"/>
      <c r="I415">
        <v>5000</v>
      </c>
      <c r="J415" s="27">
        <f t="shared" si="48"/>
        <v>5000</v>
      </c>
      <c r="K415" s="3">
        <v>500</v>
      </c>
      <c r="L415" s="29">
        <f t="shared" si="49"/>
        <v>4500</v>
      </c>
      <c r="M415" s="30">
        <v>0</v>
      </c>
      <c r="N415" s="31">
        <f t="shared" si="50"/>
        <v>0</v>
      </c>
      <c r="O415" s="32">
        <v>10</v>
      </c>
      <c r="P415" s="29">
        <f t="shared" si="51"/>
        <v>500</v>
      </c>
      <c r="Q415" s="31">
        <f t="shared" si="52"/>
        <v>1</v>
      </c>
      <c r="T415" s="3">
        <v>500</v>
      </c>
      <c r="U415" s="4"/>
      <c r="V415" s="4">
        <f t="shared" si="47"/>
        <v>5000</v>
      </c>
    </row>
    <row r="416" spans="2:22" x14ac:dyDescent="0.25">
      <c r="B416" s="1">
        <v>278</v>
      </c>
      <c r="C416" s="7">
        <v>16155156</v>
      </c>
      <c r="D416" s="2" t="s">
        <v>396</v>
      </c>
      <c r="E416" s="2" t="s">
        <v>596</v>
      </c>
      <c r="F416" s="2">
        <v>6017274</v>
      </c>
      <c r="G416" s="2" t="s">
        <v>658</v>
      </c>
      <c r="H416" s="5"/>
      <c r="I416">
        <v>5000</v>
      </c>
      <c r="J416" s="27">
        <f t="shared" si="48"/>
        <v>5000</v>
      </c>
      <c r="K416" s="3">
        <v>500</v>
      </c>
      <c r="L416" s="29">
        <f t="shared" si="49"/>
        <v>4500</v>
      </c>
      <c r="M416" s="30">
        <v>0</v>
      </c>
      <c r="N416" s="31">
        <f t="shared" si="50"/>
        <v>0</v>
      </c>
      <c r="O416" s="32">
        <v>10</v>
      </c>
      <c r="P416" s="29">
        <f t="shared" si="51"/>
        <v>500</v>
      </c>
      <c r="Q416" s="31">
        <f t="shared" si="52"/>
        <v>1</v>
      </c>
      <c r="T416" s="3">
        <v>500</v>
      </c>
      <c r="U416" s="4"/>
      <c r="V416" s="4">
        <f t="shared" si="47"/>
        <v>5000</v>
      </c>
    </row>
    <row r="417" spans="2:22" x14ac:dyDescent="0.25">
      <c r="B417" s="1">
        <v>279</v>
      </c>
      <c r="C417" s="7">
        <v>15590503</v>
      </c>
      <c r="D417" s="2" t="s">
        <v>397</v>
      </c>
      <c r="E417" s="2" t="s">
        <v>602</v>
      </c>
      <c r="F417" s="2">
        <v>9103210</v>
      </c>
      <c r="G417" s="2" t="s">
        <v>824</v>
      </c>
      <c r="H417" s="5"/>
      <c r="I417">
        <v>5000</v>
      </c>
      <c r="J417" s="27">
        <f t="shared" si="48"/>
        <v>5000</v>
      </c>
      <c r="K417" s="3">
        <v>500</v>
      </c>
      <c r="L417" s="29">
        <f t="shared" si="49"/>
        <v>4500</v>
      </c>
      <c r="M417" s="30">
        <v>0</v>
      </c>
      <c r="N417" s="31">
        <f t="shared" si="50"/>
        <v>0</v>
      </c>
      <c r="O417" s="32">
        <v>10</v>
      </c>
      <c r="P417" s="29">
        <f t="shared" si="51"/>
        <v>500</v>
      </c>
      <c r="Q417" s="31">
        <f t="shared" si="52"/>
        <v>1</v>
      </c>
      <c r="T417" s="3">
        <v>500</v>
      </c>
      <c r="U417" s="4"/>
      <c r="V417" s="4">
        <f t="shared" si="47"/>
        <v>5000</v>
      </c>
    </row>
    <row r="418" spans="2:22" x14ac:dyDescent="0.25">
      <c r="B418" s="1">
        <v>279</v>
      </c>
      <c r="C418" s="7">
        <v>16647884</v>
      </c>
      <c r="D418" s="2" t="s">
        <v>398</v>
      </c>
      <c r="E418" s="2" t="s">
        <v>604</v>
      </c>
      <c r="F418" s="2">
        <v>9103210</v>
      </c>
      <c r="G418" s="2" t="s">
        <v>824</v>
      </c>
      <c r="H418" s="5"/>
      <c r="I418">
        <v>5000</v>
      </c>
      <c r="J418" s="27">
        <f t="shared" si="48"/>
        <v>4750</v>
      </c>
      <c r="K418" s="3">
        <v>475</v>
      </c>
      <c r="L418" s="29">
        <f t="shared" si="49"/>
        <v>4275</v>
      </c>
      <c r="M418" s="30">
        <v>0.05</v>
      </c>
      <c r="N418" s="31">
        <f t="shared" si="50"/>
        <v>250</v>
      </c>
      <c r="O418" s="32">
        <v>10</v>
      </c>
      <c r="P418" s="29">
        <f t="shared" si="51"/>
        <v>475</v>
      </c>
      <c r="Q418" s="31">
        <f t="shared" si="52"/>
        <v>1</v>
      </c>
      <c r="T418" s="3">
        <v>475</v>
      </c>
      <c r="U418" s="4">
        <v>175</v>
      </c>
      <c r="V418" s="4">
        <f t="shared" si="47"/>
        <v>4575</v>
      </c>
    </row>
    <row r="419" spans="2:22" x14ac:dyDescent="0.25">
      <c r="B419" s="1">
        <v>280</v>
      </c>
      <c r="C419" s="7">
        <v>16898656</v>
      </c>
      <c r="D419" s="2" t="s">
        <v>399</v>
      </c>
      <c r="E419" s="2" t="s">
        <v>593</v>
      </c>
      <c r="F419" s="2">
        <v>12955596</v>
      </c>
      <c r="G419" s="2" t="s">
        <v>825</v>
      </c>
      <c r="H419" s="5">
        <v>300</v>
      </c>
      <c r="I419">
        <v>5000</v>
      </c>
      <c r="J419" s="27">
        <f t="shared" si="48"/>
        <v>4700</v>
      </c>
      <c r="K419" s="3">
        <v>500</v>
      </c>
      <c r="L419" s="29">
        <f t="shared" si="49"/>
        <v>4500</v>
      </c>
      <c r="M419" s="30">
        <v>0</v>
      </c>
      <c r="N419" s="31">
        <f t="shared" si="50"/>
        <v>0</v>
      </c>
      <c r="O419" s="32">
        <v>10</v>
      </c>
      <c r="P419" s="29">
        <f t="shared" si="51"/>
        <v>470</v>
      </c>
      <c r="Q419" s="31">
        <f t="shared" si="52"/>
        <v>1</v>
      </c>
      <c r="T419" s="3">
        <v>500</v>
      </c>
      <c r="U419" s="4">
        <v>200</v>
      </c>
      <c r="V419" s="4">
        <f t="shared" si="47"/>
        <v>4200</v>
      </c>
    </row>
    <row r="420" spans="2:22" x14ac:dyDescent="0.25">
      <c r="B420" s="1">
        <v>281</v>
      </c>
      <c r="C420" s="7">
        <v>14358812</v>
      </c>
      <c r="D420" s="2" t="s">
        <v>400</v>
      </c>
      <c r="E420" s="2" t="s">
        <v>605</v>
      </c>
      <c r="F420" s="2">
        <v>6828090</v>
      </c>
      <c r="G420" s="2" t="s">
        <v>826</v>
      </c>
      <c r="H420" s="5"/>
      <c r="I420">
        <v>5000</v>
      </c>
      <c r="J420" s="27">
        <f t="shared" si="48"/>
        <v>5000</v>
      </c>
      <c r="K420" s="3">
        <v>500</v>
      </c>
      <c r="L420" s="29">
        <f t="shared" si="49"/>
        <v>4500</v>
      </c>
      <c r="M420" s="30">
        <v>0</v>
      </c>
      <c r="N420" s="31">
        <f t="shared" si="50"/>
        <v>0</v>
      </c>
      <c r="O420" s="32">
        <v>10</v>
      </c>
      <c r="P420" s="29">
        <f t="shared" si="51"/>
        <v>500</v>
      </c>
      <c r="Q420" s="31">
        <f t="shared" si="52"/>
        <v>1</v>
      </c>
      <c r="T420" s="3">
        <v>500</v>
      </c>
      <c r="U420" s="4"/>
      <c r="V420" s="4">
        <f t="shared" si="47"/>
        <v>5000</v>
      </c>
    </row>
    <row r="421" spans="2:22" x14ac:dyDescent="0.25">
      <c r="B421" s="1">
        <v>282</v>
      </c>
      <c r="C421" s="7">
        <v>14290012</v>
      </c>
      <c r="D421" s="2" t="s">
        <v>401</v>
      </c>
      <c r="E421" s="2" t="s">
        <v>593</v>
      </c>
      <c r="F421" s="2">
        <v>4951383</v>
      </c>
      <c r="G421" s="2" t="s">
        <v>827</v>
      </c>
      <c r="H421" s="5"/>
      <c r="I421">
        <v>5000</v>
      </c>
      <c r="J421" s="27">
        <f t="shared" si="48"/>
        <v>5000</v>
      </c>
      <c r="K421" s="3">
        <v>500</v>
      </c>
      <c r="L421" s="29">
        <f t="shared" si="49"/>
        <v>4500</v>
      </c>
      <c r="M421" s="30">
        <v>0</v>
      </c>
      <c r="N421" s="31">
        <f t="shared" si="50"/>
        <v>0</v>
      </c>
      <c r="O421" s="32">
        <v>10</v>
      </c>
      <c r="P421" s="29">
        <f t="shared" si="51"/>
        <v>500</v>
      </c>
      <c r="Q421" s="31">
        <f t="shared" si="52"/>
        <v>1</v>
      </c>
      <c r="T421" s="3">
        <v>500</v>
      </c>
      <c r="U421" s="4"/>
      <c r="V421" s="4">
        <f t="shared" si="47"/>
        <v>5000</v>
      </c>
    </row>
    <row r="422" spans="2:22" x14ac:dyDescent="0.25">
      <c r="B422" s="1">
        <v>283</v>
      </c>
      <c r="C422" s="7">
        <v>17224792</v>
      </c>
      <c r="D422" s="2" t="s">
        <v>402</v>
      </c>
      <c r="E422" s="2" t="s">
        <v>595</v>
      </c>
      <c r="F422" s="2">
        <v>6777897</v>
      </c>
      <c r="G422" s="2" t="s">
        <v>828</v>
      </c>
      <c r="H422" s="5"/>
      <c r="I422">
        <v>5000</v>
      </c>
      <c r="J422" s="27">
        <f t="shared" si="48"/>
        <v>5000</v>
      </c>
      <c r="K422" s="3">
        <v>500</v>
      </c>
      <c r="L422" s="29">
        <f t="shared" si="49"/>
        <v>4500</v>
      </c>
      <c r="M422" s="30">
        <v>0</v>
      </c>
      <c r="N422" s="31">
        <f t="shared" si="50"/>
        <v>0</v>
      </c>
      <c r="O422" s="32">
        <v>10</v>
      </c>
      <c r="P422" s="29">
        <f t="shared" si="51"/>
        <v>500</v>
      </c>
      <c r="Q422" s="31">
        <f t="shared" si="52"/>
        <v>1</v>
      </c>
      <c r="T422" s="3">
        <v>500</v>
      </c>
      <c r="U422" s="4">
        <v>500</v>
      </c>
      <c r="V422" s="4">
        <f t="shared" si="47"/>
        <v>4500</v>
      </c>
    </row>
    <row r="423" spans="2:22" x14ac:dyDescent="0.25">
      <c r="B423" s="1">
        <v>284</v>
      </c>
      <c r="C423" s="7">
        <v>15137214</v>
      </c>
      <c r="D423" s="2" t="s">
        <v>403</v>
      </c>
      <c r="E423" s="2" t="s">
        <v>602</v>
      </c>
      <c r="F423" s="2">
        <v>5981873</v>
      </c>
      <c r="G423" s="2" t="s">
        <v>701</v>
      </c>
      <c r="H423" s="5">
        <v>300</v>
      </c>
      <c r="I423">
        <v>5000</v>
      </c>
      <c r="J423" s="27">
        <f t="shared" si="48"/>
        <v>4700</v>
      </c>
      <c r="K423" s="3">
        <v>500</v>
      </c>
      <c r="L423" s="29">
        <f t="shared" si="49"/>
        <v>4500</v>
      </c>
      <c r="M423" s="30">
        <v>0</v>
      </c>
      <c r="N423" s="31">
        <f t="shared" si="50"/>
        <v>0</v>
      </c>
      <c r="O423" s="32">
        <v>10</v>
      </c>
      <c r="P423" s="29">
        <f t="shared" si="51"/>
        <v>470</v>
      </c>
      <c r="Q423" s="31">
        <f t="shared" si="52"/>
        <v>1</v>
      </c>
      <c r="T423" s="3">
        <v>500</v>
      </c>
      <c r="U423" s="4">
        <v>200</v>
      </c>
      <c r="V423" s="4">
        <f t="shared" si="47"/>
        <v>4200</v>
      </c>
    </row>
    <row r="424" spans="2:22" x14ac:dyDescent="0.25">
      <c r="B424" s="1">
        <v>285</v>
      </c>
      <c r="C424" s="7">
        <v>17523462</v>
      </c>
      <c r="D424" s="2" t="s">
        <v>404</v>
      </c>
      <c r="E424" s="2" t="s">
        <v>598</v>
      </c>
      <c r="F424" s="2">
        <v>6059179</v>
      </c>
      <c r="G424" s="2" t="s">
        <v>649</v>
      </c>
      <c r="H424" s="5">
        <v>300</v>
      </c>
      <c r="I424">
        <v>5000</v>
      </c>
      <c r="J424" s="27">
        <f t="shared" si="48"/>
        <v>4700</v>
      </c>
      <c r="K424" s="3">
        <v>500</v>
      </c>
      <c r="L424" s="29">
        <f t="shared" si="49"/>
        <v>4500</v>
      </c>
      <c r="M424" s="30">
        <v>0</v>
      </c>
      <c r="N424" s="31">
        <f t="shared" si="50"/>
        <v>0</v>
      </c>
      <c r="O424" s="32">
        <v>10</v>
      </c>
      <c r="P424" s="29">
        <f t="shared" si="51"/>
        <v>470</v>
      </c>
      <c r="Q424" s="31">
        <f t="shared" si="52"/>
        <v>1</v>
      </c>
      <c r="T424" s="3">
        <v>500</v>
      </c>
      <c r="U424" s="4">
        <v>200</v>
      </c>
      <c r="V424" s="4">
        <f t="shared" si="47"/>
        <v>4200</v>
      </c>
    </row>
    <row r="425" spans="2:22" x14ac:dyDescent="0.25">
      <c r="B425" s="1">
        <v>286</v>
      </c>
      <c r="C425" s="7">
        <v>15137214</v>
      </c>
      <c r="D425" s="2" t="s">
        <v>403</v>
      </c>
      <c r="E425" s="2" t="s">
        <v>602</v>
      </c>
      <c r="F425" s="2">
        <v>5981873</v>
      </c>
      <c r="G425" s="2" t="s">
        <v>701</v>
      </c>
      <c r="H425" s="5"/>
      <c r="I425">
        <v>5000</v>
      </c>
      <c r="J425" s="27">
        <f t="shared" si="48"/>
        <v>5000</v>
      </c>
      <c r="K425" s="3">
        <v>1000</v>
      </c>
      <c r="L425" s="29">
        <f t="shared" si="49"/>
        <v>4000</v>
      </c>
      <c r="M425" s="30">
        <v>0</v>
      </c>
      <c r="N425" s="31">
        <f t="shared" si="50"/>
        <v>0</v>
      </c>
      <c r="O425" s="32">
        <v>10</v>
      </c>
      <c r="P425" s="29">
        <f t="shared" si="51"/>
        <v>500</v>
      </c>
      <c r="Q425" s="31">
        <f t="shared" si="52"/>
        <v>2</v>
      </c>
      <c r="T425" s="3">
        <v>1000</v>
      </c>
      <c r="U425" s="4">
        <v>1000</v>
      </c>
      <c r="V425" s="4">
        <f t="shared" si="47"/>
        <v>4000</v>
      </c>
    </row>
    <row r="426" spans="2:22" ht="15.75" thickBot="1" x14ac:dyDescent="0.3">
      <c r="B426" s="1">
        <v>287</v>
      </c>
      <c r="C426" s="33">
        <v>17071155</v>
      </c>
      <c r="D426" s="2" t="s">
        <v>405</v>
      </c>
      <c r="E426" s="21" t="s">
        <v>595</v>
      </c>
      <c r="F426" s="21">
        <v>6799003</v>
      </c>
      <c r="G426" s="21" t="s">
        <v>829</v>
      </c>
      <c r="H426" s="5"/>
      <c r="I426">
        <v>5000</v>
      </c>
      <c r="J426" s="27">
        <f t="shared" si="48"/>
        <v>5000</v>
      </c>
      <c r="K426" s="3">
        <v>500</v>
      </c>
      <c r="L426" s="29">
        <f t="shared" si="49"/>
        <v>4500</v>
      </c>
      <c r="M426" s="30">
        <v>0</v>
      </c>
      <c r="N426" s="31">
        <f t="shared" si="50"/>
        <v>0</v>
      </c>
      <c r="O426" s="32">
        <v>10</v>
      </c>
      <c r="P426" s="29">
        <f t="shared" si="51"/>
        <v>500</v>
      </c>
      <c r="Q426" s="31">
        <f t="shared" si="52"/>
        <v>1</v>
      </c>
      <c r="T426" s="3">
        <v>500</v>
      </c>
      <c r="U426" s="4">
        <v>500</v>
      </c>
      <c r="V426" s="4">
        <f t="shared" si="47"/>
        <v>4500</v>
      </c>
    </row>
    <row r="427" spans="2:22" x14ac:dyDescent="0.25">
      <c r="B427" s="11"/>
      <c r="C427" s="11"/>
      <c r="D427" s="2" t="s">
        <v>406</v>
      </c>
      <c r="E427" s="12" t="s">
        <v>607</v>
      </c>
      <c r="F427" s="12"/>
      <c r="G427" s="12"/>
      <c r="H427" s="5"/>
      <c r="I427">
        <v>5000</v>
      </c>
      <c r="J427" s="27">
        <v>4050</v>
      </c>
      <c r="K427" s="3">
        <v>450</v>
      </c>
      <c r="L427" s="29">
        <f t="shared" si="49"/>
        <v>4550</v>
      </c>
      <c r="M427" s="30">
        <v>0</v>
      </c>
      <c r="N427" s="31">
        <f t="shared" si="50"/>
        <v>0</v>
      </c>
      <c r="O427" s="32">
        <v>10</v>
      </c>
      <c r="P427" s="29">
        <f t="shared" si="51"/>
        <v>405</v>
      </c>
      <c r="Q427" s="31">
        <f t="shared" si="52"/>
        <v>1</v>
      </c>
      <c r="T427" s="3"/>
      <c r="U427" s="4"/>
      <c r="V427" s="4">
        <f>K427-H427-U427</f>
        <v>450</v>
      </c>
    </row>
    <row r="428" spans="2:22" x14ac:dyDescent="0.25">
      <c r="B428" s="1">
        <v>288</v>
      </c>
      <c r="C428" s="36">
        <v>15397717</v>
      </c>
      <c r="D428" s="2" t="s">
        <v>407</v>
      </c>
      <c r="E428" s="23" t="s">
        <v>606</v>
      </c>
      <c r="F428" s="23">
        <v>6800131</v>
      </c>
      <c r="G428" s="23" t="s">
        <v>694</v>
      </c>
      <c r="H428" s="5"/>
      <c r="I428">
        <v>5000</v>
      </c>
      <c r="J428" s="27">
        <f t="shared" si="48"/>
        <v>5000</v>
      </c>
      <c r="K428" s="3">
        <v>500</v>
      </c>
      <c r="L428" s="29">
        <f t="shared" si="49"/>
        <v>4500</v>
      </c>
      <c r="M428" s="30">
        <v>0</v>
      </c>
      <c r="N428" s="31">
        <f t="shared" si="50"/>
        <v>0</v>
      </c>
      <c r="O428" s="32">
        <v>10</v>
      </c>
      <c r="P428" s="29">
        <f t="shared" si="51"/>
        <v>500</v>
      </c>
      <c r="Q428" s="31">
        <f t="shared" si="52"/>
        <v>1</v>
      </c>
      <c r="T428" s="3">
        <v>500</v>
      </c>
      <c r="U428" s="4">
        <v>500</v>
      </c>
      <c r="V428" s="4">
        <f t="shared" ref="V428:V457" si="53">J428-H428-U428</f>
        <v>4500</v>
      </c>
    </row>
    <row r="429" spans="2:22" x14ac:dyDescent="0.25">
      <c r="B429" s="1">
        <v>289</v>
      </c>
      <c r="C429" s="7">
        <v>16727385</v>
      </c>
      <c r="D429" s="2" t="s">
        <v>408</v>
      </c>
      <c r="E429" s="2" t="s">
        <v>607</v>
      </c>
      <c r="F429" s="2">
        <v>10072878</v>
      </c>
      <c r="G429" s="2" t="s">
        <v>830</v>
      </c>
      <c r="H429" s="5"/>
      <c r="I429">
        <v>5000</v>
      </c>
      <c r="J429" s="27">
        <f t="shared" si="48"/>
        <v>5000</v>
      </c>
      <c r="K429" s="3">
        <v>500</v>
      </c>
      <c r="L429" s="29">
        <f t="shared" si="49"/>
        <v>4500</v>
      </c>
      <c r="M429" s="30">
        <v>0</v>
      </c>
      <c r="N429" s="31">
        <f t="shared" si="50"/>
        <v>0</v>
      </c>
      <c r="O429" s="32">
        <v>10</v>
      </c>
      <c r="P429" s="29">
        <f t="shared" si="51"/>
        <v>500</v>
      </c>
      <c r="Q429" s="31">
        <f t="shared" si="52"/>
        <v>1</v>
      </c>
      <c r="T429" s="3">
        <v>500</v>
      </c>
      <c r="U429" s="4"/>
      <c r="V429" s="4">
        <f t="shared" si="53"/>
        <v>5000</v>
      </c>
    </row>
    <row r="430" spans="2:22" x14ac:dyDescent="0.25">
      <c r="B430" s="1">
        <v>290</v>
      </c>
      <c r="C430" s="7">
        <v>16475535</v>
      </c>
      <c r="D430" s="2" t="s">
        <v>409</v>
      </c>
      <c r="E430" s="2" t="s">
        <v>608</v>
      </c>
      <c r="F430" s="2">
        <v>6137691</v>
      </c>
      <c r="G430" s="2" t="s">
        <v>663</v>
      </c>
      <c r="H430" s="5"/>
      <c r="I430">
        <v>5000</v>
      </c>
      <c r="J430" s="27">
        <f t="shared" si="48"/>
        <v>5000</v>
      </c>
      <c r="K430" s="3">
        <v>500</v>
      </c>
      <c r="L430" s="29">
        <f t="shared" si="49"/>
        <v>4500</v>
      </c>
      <c r="M430" s="30">
        <v>0</v>
      </c>
      <c r="N430" s="31">
        <f t="shared" si="50"/>
        <v>0</v>
      </c>
      <c r="O430" s="32">
        <v>10</v>
      </c>
      <c r="P430" s="29">
        <f t="shared" si="51"/>
        <v>500</v>
      </c>
      <c r="Q430" s="31">
        <f t="shared" si="52"/>
        <v>1</v>
      </c>
      <c r="T430" s="3">
        <v>500</v>
      </c>
      <c r="U430" s="4"/>
      <c r="V430" s="4">
        <f t="shared" si="53"/>
        <v>5000</v>
      </c>
    </row>
    <row r="431" spans="2:22" x14ac:dyDescent="0.25">
      <c r="B431" s="1">
        <v>291</v>
      </c>
      <c r="C431" s="7">
        <v>16897593</v>
      </c>
      <c r="D431" s="2" t="s">
        <v>410</v>
      </c>
      <c r="E431" s="2" t="s">
        <v>602</v>
      </c>
      <c r="F431" s="2">
        <v>6757776</v>
      </c>
      <c r="G431" s="2" t="s">
        <v>831</v>
      </c>
      <c r="H431" s="5">
        <v>300</v>
      </c>
      <c r="I431">
        <v>5000</v>
      </c>
      <c r="J431" s="27">
        <f t="shared" si="48"/>
        <v>4700</v>
      </c>
      <c r="K431" s="3">
        <v>4750</v>
      </c>
      <c r="L431" s="29">
        <f t="shared" si="49"/>
        <v>250</v>
      </c>
      <c r="M431" s="30">
        <v>0</v>
      </c>
      <c r="N431" s="31">
        <f t="shared" si="50"/>
        <v>0</v>
      </c>
      <c r="O431" s="32">
        <v>10</v>
      </c>
      <c r="P431" s="29">
        <f t="shared" si="51"/>
        <v>470</v>
      </c>
      <c r="Q431" s="31">
        <f t="shared" si="52"/>
        <v>10</v>
      </c>
      <c r="T431" s="3">
        <v>4750</v>
      </c>
      <c r="U431" s="4"/>
      <c r="V431" s="4">
        <f t="shared" si="53"/>
        <v>4400</v>
      </c>
    </row>
    <row r="432" spans="2:22" x14ac:dyDescent="0.25">
      <c r="B432" s="1">
        <v>292</v>
      </c>
      <c r="C432" s="7">
        <v>13180902</v>
      </c>
      <c r="D432" s="2" t="s">
        <v>411</v>
      </c>
      <c r="E432" s="2" t="s">
        <v>609</v>
      </c>
      <c r="F432" s="2">
        <v>6030470</v>
      </c>
      <c r="G432" s="2" t="s">
        <v>832</v>
      </c>
      <c r="H432" s="5">
        <v>300</v>
      </c>
      <c r="I432">
        <v>5000</v>
      </c>
      <c r="J432" s="27">
        <f t="shared" si="48"/>
        <v>4700</v>
      </c>
      <c r="K432" s="3">
        <v>4750</v>
      </c>
      <c r="L432" s="29">
        <f t="shared" si="49"/>
        <v>250</v>
      </c>
      <c r="M432" s="30">
        <v>0</v>
      </c>
      <c r="N432" s="31">
        <f t="shared" si="50"/>
        <v>0</v>
      </c>
      <c r="O432" s="32">
        <v>10</v>
      </c>
      <c r="P432" s="29">
        <f t="shared" si="51"/>
        <v>470</v>
      </c>
      <c r="Q432" s="31">
        <f t="shared" si="52"/>
        <v>10</v>
      </c>
      <c r="T432" s="3">
        <v>4750</v>
      </c>
      <c r="U432" s="4"/>
      <c r="V432" s="4">
        <f t="shared" si="53"/>
        <v>4400</v>
      </c>
    </row>
    <row r="433" spans="2:22" x14ac:dyDescent="0.25">
      <c r="B433" s="1">
        <v>292</v>
      </c>
      <c r="C433" s="7">
        <v>15574292</v>
      </c>
      <c r="D433" s="2" t="s">
        <v>412</v>
      </c>
      <c r="E433" s="2" t="s">
        <v>610</v>
      </c>
      <c r="F433" s="2">
        <v>6030471</v>
      </c>
      <c r="G433" s="2" t="s">
        <v>832</v>
      </c>
      <c r="H433" s="5">
        <v>300</v>
      </c>
      <c r="I433">
        <v>5000</v>
      </c>
      <c r="J433" s="27">
        <f t="shared" si="48"/>
        <v>4700</v>
      </c>
      <c r="K433" s="3">
        <v>4750</v>
      </c>
      <c r="L433" s="29">
        <f t="shared" si="49"/>
        <v>250</v>
      </c>
      <c r="M433" s="30">
        <v>0</v>
      </c>
      <c r="N433" s="31">
        <f t="shared" si="50"/>
        <v>0</v>
      </c>
      <c r="O433" s="32">
        <v>10</v>
      </c>
      <c r="P433" s="29">
        <f t="shared" si="51"/>
        <v>470</v>
      </c>
      <c r="Q433" s="31">
        <f t="shared" si="52"/>
        <v>10</v>
      </c>
      <c r="T433" s="3">
        <v>4750</v>
      </c>
      <c r="U433" s="4"/>
      <c r="V433" s="4">
        <f t="shared" si="53"/>
        <v>4400</v>
      </c>
    </row>
    <row r="434" spans="2:22" x14ac:dyDescent="0.25">
      <c r="B434" s="1">
        <v>293</v>
      </c>
      <c r="C434" s="7">
        <v>15604284</v>
      </c>
      <c r="D434" s="2" t="s">
        <v>413</v>
      </c>
      <c r="E434" s="2" t="s">
        <v>607</v>
      </c>
      <c r="F434" s="2">
        <v>9898103</v>
      </c>
      <c r="G434" s="2" t="s">
        <v>833</v>
      </c>
      <c r="H434" s="5">
        <v>300</v>
      </c>
      <c r="I434">
        <v>5000</v>
      </c>
      <c r="J434" s="27">
        <f t="shared" si="48"/>
        <v>4700</v>
      </c>
      <c r="K434" s="3">
        <v>1000</v>
      </c>
      <c r="L434" s="29">
        <f t="shared" si="49"/>
        <v>4000</v>
      </c>
      <c r="M434" s="30">
        <v>0</v>
      </c>
      <c r="N434" s="31">
        <f t="shared" si="50"/>
        <v>0</v>
      </c>
      <c r="O434" s="32">
        <v>10</v>
      </c>
      <c r="P434" s="29">
        <f t="shared" si="51"/>
        <v>470</v>
      </c>
      <c r="Q434" s="31">
        <f t="shared" si="52"/>
        <v>2</v>
      </c>
      <c r="T434" s="3">
        <v>1000</v>
      </c>
      <c r="U434" s="4"/>
      <c r="V434" s="4">
        <f t="shared" si="53"/>
        <v>4400</v>
      </c>
    </row>
    <row r="435" spans="2:22" x14ac:dyDescent="0.25">
      <c r="B435" s="1">
        <v>294</v>
      </c>
      <c r="C435" s="7">
        <v>15082111</v>
      </c>
      <c r="D435" s="2" t="s">
        <v>414</v>
      </c>
      <c r="E435" s="2" t="s">
        <v>611</v>
      </c>
      <c r="F435" s="2">
        <v>6097225</v>
      </c>
      <c r="G435" s="2" t="s">
        <v>788</v>
      </c>
      <c r="H435" s="5"/>
      <c r="I435">
        <v>5000</v>
      </c>
      <c r="J435" s="27">
        <f t="shared" si="48"/>
        <v>5000</v>
      </c>
      <c r="K435" s="3">
        <v>1000</v>
      </c>
      <c r="L435" s="29">
        <f t="shared" si="49"/>
        <v>4000</v>
      </c>
      <c r="M435" s="30">
        <v>0</v>
      </c>
      <c r="N435" s="31">
        <f t="shared" si="50"/>
        <v>0</v>
      </c>
      <c r="O435" s="32">
        <v>10</v>
      </c>
      <c r="P435" s="29">
        <f t="shared" si="51"/>
        <v>500</v>
      </c>
      <c r="Q435" s="31">
        <f t="shared" si="52"/>
        <v>2</v>
      </c>
      <c r="T435" s="3">
        <v>1000</v>
      </c>
      <c r="U435" s="4">
        <v>500</v>
      </c>
      <c r="V435" s="4">
        <f t="shared" si="53"/>
        <v>4500</v>
      </c>
    </row>
    <row r="436" spans="2:22" x14ac:dyDescent="0.25">
      <c r="B436" s="1">
        <v>295</v>
      </c>
      <c r="C436" s="7">
        <v>14782959</v>
      </c>
      <c r="D436" s="2" t="s">
        <v>415</v>
      </c>
      <c r="E436" s="2" t="s">
        <v>610</v>
      </c>
      <c r="F436" s="2">
        <v>9106224</v>
      </c>
      <c r="G436" s="2" t="s">
        <v>834</v>
      </c>
      <c r="H436" s="5">
        <v>300</v>
      </c>
      <c r="I436">
        <v>5000</v>
      </c>
      <c r="J436" s="27">
        <f t="shared" si="48"/>
        <v>4700</v>
      </c>
      <c r="K436" s="3">
        <v>4750</v>
      </c>
      <c r="L436" s="29">
        <f t="shared" si="49"/>
        <v>250</v>
      </c>
      <c r="M436" s="30">
        <v>0</v>
      </c>
      <c r="N436" s="31">
        <f t="shared" si="50"/>
        <v>0</v>
      </c>
      <c r="O436" s="32">
        <v>10</v>
      </c>
      <c r="P436" s="29">
        <f t="shared" si="51"/>
        <v>470</v>
      </c>
      <c r="Q436" s="31">
        <f t="shared" si="52"/>
        <v>10</v>
      </c>
      <c r="T436" s="3">
        <v>4750</v>
      </c>
      <c r="U436" s="4"/>
      <c r="V436" s="4">
        <f t="shared" si="53"/>
        <v>4400</v>
      </c>
    </row>
    <row r="437" spans="2:22" x14ac:dyDescent="0.25">
      <c r="B437" s="1">
        <v>296</v>
      </c>
      <c r="C437" s="7">
        <v>9951881</v>
      </c>
      <c r="D437" s="2" t="s">
        <v>416</v>
      </c>
      <c r="E437" s="2" t="s">
        <v>612</v>
      </c>
      <c r="F437" s="2">
        <v>6048109</v>
      </c>
      <c r="G437" s="2" t="s">
        <v>683</v>
      </c>
      <c r="H437" s="5">
        <v>300</v>
      </c>
      <c r="I437">
        <v>5000</v>
      </c>
      <c r="J437" s="27">
        <f t="shared" si="48"/>
        <v>4700</v>
      </c>
      <c r="K437" s="3">
        <v>500</v>
      </c>
      <c r="L437" s="29">
        <f t="shared" si="49"/>
        <v>4500</v>
      </c>
      <c r="M437" s="30">
        <v>0</v>
      </c>
      <c r="N437" s="31">
        <f t="shared" si="50"/>
        <v>0</v>
      </c>
      <c r="O437" s="32">
        <v>10</v>
      </c>
      <c r="P437" s="29">
        <f t="shared" si="51"/>
        <v>470</v>
      </c>
      <c r="Q437" s="31">
        <f t="shared" si="52"/>
        <v>1</v>
      </c>
      <c r="T437" s="3">
        <v>500</v>
      </c>
      <c r="U437" s="4"/>
      <c r="V437" s="4">
        <f t="shared" si="53"/>
        <v>4400</v>
      </c>
    </row>
    <row r="438" spans="2:22" x14ac:dyDescent="0.25">
      <c r="B438" s="1">
        <v>296</v>
      </c>
      <c r="C438" s="7">
        <v>13022257</v>
      </c>
      <c r="D438" s="2" t="s">
        <v>417</v>
      </c>
      <c r="E438" s="2" t="s">
        <v>605</v>
      </c>
      <c r="F438" s="2">
        <v>6048110</v>
      </c>
      <c r="G438" s="2" t="s">
        <v>683</v>
      </c>
      <c r="H438" s="5">
        <v>300</v>
      </c>
      <c r="I438">
        <v>5000</v>
      </c>
      <c r="J438" s="27">
        <f t="shared" si="48"/>
        <v>4450</v>
      </c>
      <c r="K438" s="3">
        <v>475</v>
      </c>
      <c r="L438" s="29">
        <f t="shared" si="49"/>
        <v>4275</v>
      </c>
      <c r="M438" s="30">
        <v>0.05</v>
      </c>
      <c r="N438" s="31">
        <f t="shared" si="50"/>
        <v>250</v>
      </c>
      <c r="O438" s="32">
        <v>10</v>
      </c>
      <c r="P438" s="29">
        <f t="shared" si="51"/>
        <v>445</v>
      </c>
      <c r="Q438" s="31">
        <f t="shared" si="52"/>
        <v>1</v>
      </c>
      <c r="T438" s="3">
        <v>475</v>
      </c>
      <c r="U438" s="4"/>
      <c r="V438" s="4">
        <f t="shared" si="53"/>
        <v>4150</v>
      </c>
    </row>
    <row r="439" spans="2:22" x14ac:dyDescent="0.25">
      <c r="B439" s="1">
        <v>297</v>
      </c>
      <c r="C439" s="7">
        <v>14627922</v>
      </c>
      <c r="D439" s="2" t="s">
        <v>418</v>
      </c>
      <c r="E439" s="2" t="s">
        <v>612</v>
      </c>
      <c r="F439" s="2">
        <v>4951383</v>
      </c>
      <c r="G439" s="2" t="s">
        <v>835</v>
      </c>
      <c r="H439" s="5">
        <v>300</v>
      </c>
      <c r="I439">
        <v>5000</v>
      </c>
      <c r="J439" s="27">
        <f t="shared" si="48"/>
        <v>4700</v>
      </c>
      <c r="K439" s="3">
        <v>4750</v>
      </c>
      <c r="L439" s="29">
        <f t="shared" si="49"/>
        <v>250</v>
      </c>
      <c r="M439" s="30">
        <v>0</v>
      </c>
      <c r="N439" s="31">
        <f t="shared" si="50"/>
        <v>0</v>
      </c>
      <c r="O439" s="32">
        <v>10</v>
      </c>
      <c r="P439" s="29">
        <f t="shared" si="51"/>
        <v>470</v>
      </c>
      <c r="Q439" s="31">
        <f t="shared" si="52"/>
        <v>10</v>
      </c>
      <c r="T439" s="3">
        <v>4750</v>
      </c>
      <c r="U439" s="4"/>
      <c r="V439" s="4">
        <f t="shared" si="53"/>
        <v>4400</v>
      </c>
    </row>
    <row r="440" spans="2:22" x14ac:dyDescent="0.25">
      <c r="B440" s="1">
        <v>298</v>
      </c>
      <c r="C440" s="7">
        <v>13640335</v>
      </c>
      <c r="D440" s="2" t="s">
        <v>419</v>
      </c>
      <c r="E440" s="2" t="s">
        <v>609</v>
      </c>
      <c r="F440" s="2">
        <v>7023556</v>
      </c>
      <c r="G440" s="2" t="s">
        <v>836</v>
      </c>
      <c r="H440" s="5">
        <v>300</v>
      </c>
      <c r="I440">
        <v>5000</v>
      </c>
      <c r="J440" s="27">
        <f t="shared" si="48"/>
        <v>4700</v>
      </c>
      <c r="K440" s="3">
        <v>4750</v>
      </c>
      <c r="L440" s="29">
        <f t="shared" si="49"/>
        <v>250</v>
      </c>
      <c r="M440" s="30">
        <v>0</v>
      </c>
      <c r="N440" s="31">
        <f t="shared" si="50"/>
        <v>0</v>
      </c>
      <c r="O440" s="32">
        <v>10</v>
      </c>
      <c r="P440" s="29">
        <f t="shared" si="51"/>
        <v>470</v>
      </c>
      <c r="Q440" s="31">
        <f t="shared" si="52"/>
        <v>10</v>
      </c>
      <c r="T440" s="3">
        <v>4750</v>
      </c>
      <c r="U440" s="4">
        <v>4450</v>
      </c>
      <c r="V440" s="4">
        <f t="shared" si="53"/>
        <v>-50</v>
      </c>
    </row>
    <row r="441" spans="2:22" x14ac:dyDescent="0.25">
      <c r="B441" s="1">
        <v>299</v>
      </c>
      <c r="C441" s="7">
        <v>15038055</v>
      </c>
      <c r="D441" s="2" t="s">
        <v>420</v>
      </c>
      <c r="E441" s="2" t="s">
        <v>610</v>
      </c>
      <c r="F441" s="2">
        <v>6749840</v>
      </c>
      <c r="G441" s="2" t="s">
        <v>824</v>
      </c>
      <c r="H441" s="5">
        <v>300</v>
      </c>
      <c r="I441">
        <v>5000</v>
      </c>
      <c r="J441" s="27">
        <f t="shared" si="48"/>
        <v>4700</v>
      </c>
      <c r="K441" s="3">
        <v>500</v>
      </c>
      <c r="L441" s="29">
        <f t="shared" si="49"/>
        <v>4500</v>
      </c>
      <c r="M441" s="30">
        <v>0</v>
      </c>
      <c r="N441" s="31">
        <f t="shared" si="50"/>
        <v>0</v>
      </c>
      <c r="O441" s="32">
        <v>10</v>
      </c>
      <c r="P441" s="29">
        <f t="shared" si="51"/>
        <v>470</v>
      </c>
      <c r="Q441" s="31">
        <f t="shared" si="52"/>
        <v>1</v>
      </c>
      <c r="T441" s="3">
        <v>500</v>
      </c>
      <c r="U441" s="4"/>
      <c r="V441" s="4">
        <f t="shared" si="53"/>
        <v>4400</v>
      </c>
    </row>
    <row r="442" spans="2:22" x14ac:dyDescent="0.25">
      <c r="B442" s="1">
        <v>300</v>
      </c>
      <c r="C442" s="7">
        <v>14401786</v>
      </c>
      <c r="D442" s="2" t="s">
        <v>421</v>
      </c>
      <c r="E442" s="2" t="s">
        <v>609</v>
      </c>
      <c r="F442" s="2">
        <v>4984599</v>
      </c>
      <c r="G442" s="2" t="s">
        <v>837</v>
      </c>
      <c r="H442" s="5">
        <v>300</v>
      </c>
      <c r="I442">
        <v>5000</v>
      </c>
      <c r="J442" s="27">
        <f t="shared" si="48"/>
        <v>4700</v>
      </c>
      <c r="K442" s="3">
        <v>500</v>
      </c>
      <c r="L442" s="29">
        <f t="shared" si="49"/>
        <v>4500</v>
      </c>
      <c r="M442" s="30">
        <v>0</v>
      </c>
      <c r="N442" s="31">
        <f t="shared" si="50"/>
        <v>0</v>
      </c>
      <c r="O442" s="32">
        <v>10</v>
      </c>
      <c r="P442" s="29">
        <f t="shared" si="51"/>
        <v>470</v>
      </c>
      <c r="Q442" s="31">
        <f t="shared" si="52"/>
        <v>1</v>
      </c>
      <c r="T442" s="3">
        <v>500</v>
      </c>
      <c r="U442" s="4"/>
      <c r="V442" s="4">
        <f t="shared" si="53"/>
        <v>4400</v>
      </c>
    </row>
    <row r="443" spans="2:22" x14ac:dyDescent="0.25">
      <c r="B443" s="1">
        <v>301</v>
      </c>
      <c r="C443" s="7">
        <v>14782126</v>
      </c>
      <c r="D443" s="2" t="s">
        <v>422</v>
      </c>
      <c r="E443" s="2" t="s">
        <v>606</v>
      </c>
      <c r="F443" s="2">
        <v>6093899</v>
      </c>
      <c r="G443" s="2" t="s">
        <v>765</v>
      </c>
      <c r="H443" s="5">
        <v>300</v>
      </c>
      <c r="I443">
        <v>5000</v>
      </c>
      <c r="J443" s="27">
        <f t="shared" si="48"/>
        <v>4700</v>
      </c>
      <c r="K443" s="3">
        <v>500</v>
      </c>
      <c r="L443" s="29">
        <f t="shared" si="49"/>
        <v>4500</v>
      </c>
      <c r="M443" s="30">
        <v>0</v>
      </c>
      <c r="N443" s="31">
        <f t="shared" si="50"/>
        <v>0</v>
      </c>
      <c r="O443" s="32">
        <v>10</v>
      </c>
      <c r="P443" s="29">
        <f t="shared" si="51"/>
        <v>470</v>
      </c>
      <c r="Q443" s="31">
        <f t="shared" si="52"/>
        <v>1</v>
      </c>
      <c r="T443" s="3">
        <v>500</v>
      </c>
      <c r="U443" s="4"/>
      <c r="V443" s="4">
        <f t="shared" si="53"/>
        <v>4400</v>
      </c>
    </row>
    <row r="444" spans="2:22" x14ac:dyDescent="0.25">
      <c r="B444" s="1">
        <v>301</v>
      </c>
      <c r="C444" s="7"/>
      <c r="D444" s="2" t="s">
        <v>423</v>
      </c>
      <c r="E444" s="12"/>
      <c r="F444" s="12"/>
      <c r="G444" s="12"/>
      <c r="H444" s="5">
        <v>300</v>
      </c>
      <c r="I444">
        <v>5000</v>
      </c>
      <c r="J444" s="27">
        <f t="shared" si="48"/>
        <v>4450</v>
      </c>
      <c r="K444" s="3">
        <v>475</v>
      </c>
      <c r="L444" s="29">
        <f t="shared" si="49"/>
        <v>4275</v>
      </c>
      <c r="M444" s="30">
        <v>0.05</v>
      </c>
      <c r="N444" s="31">
        <f t="shared" si="50"/>
        <v>250</v>
      </c>
      <c r="O444" s="32">
        <v>10</v>
      </c>
      <c r="P444" s="29">
        <f t="shared" si="51"/>
        <v>445</v>
      </c>
      <c r="Q444" s="31">
        <f t="shared" si="52"/>
        <v>1</v>
      </c>
      <c r="T444" s="3">
        <v>475</v>
      </c>
      <c r="U444" s="4"/>
      <c r="V444" s="4">
        <f t="shared" si="53"/>
        <v>4150</v>
      </c>
    </row>
    <row r="445" spans="2:22" x14ac:dyDescent="0.25">
      <c r="B445" s="1">
        <v>302</v>
      </c>
      <c r="C445" s="7">
        <v>15909124</v>
      </c>
      <c r="D445" s="2" t="s">
        <v>424</v>
      </c>
      <c r="E445" s="2" t="s">
        <v>610</v>
      </c>
      <c r="F445" s="2">
        <v>4953804</v>
      </c>
      <c r="G445" s="2" t="s">
        <v>838</v>
      </c>
      <c r="H445" s="5">
        <v>300</v>
      </c>
      <c r="I445">
        <v>5000</v>
      </c>
      <c r="J445" s="27">
        <f t="shared" si="48"/>
        <v>4700</v>
      </c>
      <c r="K445" s="3">
        <v>500</v>
      </c>
      <c r="L445" s="29">
        <f t="shared" si="49"/>
        <v>4500</v>
      </c>
      <c r="M445" s="30">
        <v>0</v>
      </c>
      <c r="N445" s="31">
        <f t="shared" si="50"/>
        <v>0</v>
      </c>
      <c r="O445" s="32">
        <v>10</v>
      </c>
      <c r="P445" s="29">
        <f t="shared" si="51"/>
        <v>470</v>
      </c>
      <c r="Q445" s="31">
        <f t="shared" si="52"/>
        <v>1</v>
      </c>
      <c r="T445" s="3">
        <v>500</v>
      </c>
      <c r="U445" s="4"/>
      <c r="V445" s="4">
        <f t="shared" si="53"/>
        <v>4400</v>
      </c>
    </row>
    <row r="446" spans="2:22" x14ac:dyDescent="0.25">
      <c r="B446" s="1">
        <v>303</v>
      </c>
      <c r="C446" s="7">
        <v>9880442</v>
      </c>
      <c r="D446" s="2" t="s">
        <v>425</v>
      </c>
      <c r="E446" s="2" t="s">
        <v>609</v>
      </c>
      <c r="F446" s="2">
        <v>8439456</v>
      </c>
      <c r="G446" s="2" t="s">
        <v>734</v>
      </c>
      <c r="H446" s="8"/>
      <c r="I446">
        <v>5000</v>
      </c>
      <c r="J446" s="27">
        <f t="shared" si="48"/>
        <v>5000</v>
      </c>
      <c r="K446" s="3">
        <v>500</v>
      </c>
      <c r="L446" s="29">
        <f t="shared" si="49"/>
        <v>4500</v>
      </c>
      <c r="M446" s="30">
        <v>0</v>
      </c>
      <c r="N446" s="31">
        <f t="shared" si="50"/>
        <v>0</v>
      </c>
      <c r="O446" s="32">
        <v>10</v>
      </c>
      <c r="P446" s="29">
        <f t="shared" si="51"/>
        <v>500</v>
      </c>
      <c r="Q446" s="31">
        <f t="shared" si="52"/>
        <v>1</v>
      </c>
      <c r="T446" s="3">
        <v>500</v>
      </c>
      <c r="U446" s="4"/>
      <c r="V446" s="4">
        <f t="shared" si="53"/>
        <v>5000</v>
      </c>
    </row>
    <row r="447" spans="2:22" x14ac:dyDescent="0.25">
      <c r="B447" s="1">
        <v>304</v>
      </c>
      <c r="C447" s="7">
        <v>13846944</v>
      </c>
      <c r="D447" s="2" t="s">
        <v>426</v>
      </c>
      <c r="E447" s="2" t="s">
        <v>612</v>
      </c>
      <c r="F447" s="2">
        <v>6032026018</v>
      </c>
      <c r="G447" s="2" t="s">
        <v>667</v>
      </c>
      <c r="H447" s="5">
        <v>300</v>
      </c>
      <c r="I447">
        <v>5000</v>
      </c>
      <c r="J447" s="27">
        <f t="shared" si="48"/>
        <v>4700</v>
      </c>
      <c r="K447" s="3">
        <v>500</v>
      </c>
      <c r="L447" s="29">
        <f t="shared" si="49"/>
        <v>4500</v>
      </c>
      <c r="M447" s="30">
        <v>0</v>
      </c>
      <c r="N447" s="31">
        <f t="shared" si="50"/>
        <v>0</v>
      </c>
      <c r="O447" s="32">
        <v>10</v>
      </c>
      <c r="P447" s="29">
        <f t="shared" si="51"/>
        <v>470</v>
      </c>
      <c r="Q447" s="31">
        <f t="shared" si="52"/>
        <v>1</v>
      </c>
      <c r="T447" s="3">
        <v>500</v>
      </c>
      <c r="U447" s="4"/>
      <c r="V447" s="4">
        <f t="shared" si="53"/>
        <v>4400</v>
      </c>
    </row>
    <row r="448" spans="2:22" x14ac:dyDescent="0.25">
      <c r="B448" s="1">
        <v>304</v>
      </c>
      <c r="C448" s="7">
        <v>16275068</v>
      </c>
      <c r="D448" s="2" t="s">
        <v>427</v>
      </c>
      <c r="E448" s="2" t="s">
        <v>594</v>
      </c>
      <c r="F448" s="2">
        <v>6032026019</v>
      </c>
      <c r="G448" s="2" t="s">
        <v>667</v>
      </c>
      <c r="H448" s="5">
        <v>300</v>
      </c>
      <c r="I448">
        <v>5000</v>
      </c>
      <c r="J448" s="27">
        <f t="shared" si="48"/>
        <v>4450</v>
      </c>
      <c r="K448" s="3">
        <v>475</v>
      </c>
      <c r="L448" s="29">
        <f t="shared" si="49"/>
        <v>4275</v>
      </c>
      <c r="M448" s="30">
        <v>0.05</v>
      </c>
      <c r="N448" s="31">
        <f t="shared" si="50"/>
        <v>250</v>
      </c>
      <c r="O448" s="32">
        <v>10</v>
      </c>
      <c r="P448" s="29">
        <f t="shared" si="51"/>
        <v>445</v>
      </c>
      <c r="Q448" s="31">
        <f t="shared" si="52"/>
        <v>1</v>
      </c>
      <c r="T448" s="3">
        <v>475</v>
      </c>
      <c r="U448" s="4"/>
      <c r="V448" s="4">
        <f t="shared" si="53"/>
        <v>4150</v>
      </c>
    </row>
    <row r="449" spans="2:22" x14ac:dyDescent="0.25">
      <c r="B449" s="1">
        <v>305</v>
      </c>
      <c r="C449" s="7">
        <v>13377042</v>
      </c>
      <c r="D449" s="2" t="s">
        <v>428</v>
      </c>
      <c r="E449" s="2" t="s">
        <v>609</v>
      </c>
      <c r="F449" s="2">
        <v>3558014</v>
      </c>
      <c r="G449" s="2" t="s">
        <v>839</v>
      </c>
      <c r="H449" s="5">
        <v>300</v>
      </c>
      <c r="I449">
        <v>5000</v>
      </c>
      <c r="J449" s="27">
        <f t="shared" si="48"/>
        <v>4700</v>
      </c>
      <c r="K449" s="3">
        <v>500</v>
      </c>
      <c r="L449" s="29">
        <f t="shared" si="49"/>
        <v>4500</v>
      </c>
      <c r="M449" s="30">
        <v>0</v>
      </c>
      <c r="N449" s="31">
        <f t="shared" si="50"/>
        <v>0</v>
      </c>
      <c r="O449" s="32">
        <v>10</v>
      </c>
      <c r="P449" s="29">
        <f t="shared" si="51"/>
        <v>470</v>
      </c>
      <c r="Q449" s="31">
        <f t="shared" si="52"/>
        <v>1</v>
      </c>
      <c r="T449" s="3">
        <v>500</v>
      </c>
      <c r="U449" s="4"/>
      <c r="V449" s="4">
        <f t="shared" si="53"/>
        <v>4400</v>
      </c>
    </row>
    <row r="450" spans="2:22" x14ac:dyDescent="0.25">
      <c r="B450" s="1">
        <v>306</v>
      </c>
      <c r="C450" s="7">
        <v>13438048</v>
      </c>
      <c r="D450" s="2" t="s">
        <v>429</v>
      </c>
      <c r="E450" s="2" t="s">
        <v>605</v>
      </c>
      <c r="F450" s="2">
        <v>2535791018</v>
      </c>
      <c r="G450" s="2" t="s">
        <v>734</v>
      </c>
      <c r="H450" s="5">
        <v>300</v>
      </c>
      <c r="I450">
        <v>5000</v>
      </c>
      <c r="J450" s="27">
        <f t="shared" si="48"/>
        <v>4700</v>
      </c>
      <c r="K450" s="3">
        <v>500</v>
      </c>
      <c r="L450" s="29">
        <f t="shared" si="49"/>
        <v>4500</v>
      </c>
      <c r="M450" s="30">
        <v>0</v>
      </c>
      <c r="N450" s="31">
        <f t="shared" si="50"/>
        <v>0</v>
      </c>
      <c r="O450" s="32">
        <v>10</v>
      </c>
      <c r="P450" s="29">
        <f t="shared" si="51"/>
        <v>470</v>
      </c>
      <c r="Q450" s="31">
        <f t="shared" si="52"/>
        <v>1</v>
      </c>
      <c r="T450" s="3">
        <v>500</v>
      </c>
      <c r="U450" s="4"/>
      <c r="V450" s="4">
        <f t="shared" si="53"/>
        <v>4400</v>
      </c>
    </row>
    <row r="451" spans="2:22" x14ac:dyDescent="0.25">
      <c r="B451" s="1">
        <v>307</v>
      </c>
      <c r="C451" s="7">
        <v>14883523</v>
      </c>
      <c r="D451" s="2" t="s">
        <v>430</v>
      </c>
      <c r="E451" s="2" t="s">
        <v>613</v>
      </c>
      <c r="F451" s="2">
        <v>4920618</v>
      </c>
      <c r="G451" s="2" t="s">
        <v>836</v>
      </c>
      <c r="H451" s="5"/>
      <c r="I451">
        <v>5000</v>
      </c>
      <c r="J451" s="27">
        <f t="shared" ref="J451:J513" si="54">I451-H451-N451</f>
        <v>5000</v>
      </c>
      <c r="K451" s="3">
        <v>500</v>
      </c>
      <c r="L451" s="29">
        <f t="shared" ref="L451:L514" si="55">(I451-N451)-K451</f>
        <v>4500</v>
      </c>
      <c r="M451" s="30">
        <v>0</v>
      </c>
      <c r="N451" s="31">
        <f t="shared" ref="N451:N514" si="56">I451*M451</f>
        <v>0</v>
      </c>
      <c r="O451" s="32">
        <v>10</v>
      </c>
      <c r="P451" s="29">
        <f t="shared" ref="P451:P514" si="57">J451/O451</f>
        <v>500</v>
      </c>
      <c r="Q451" s="31">
        <f t="shared" ref="Q451:Q514" si="58">INT(K451/P451)</f>
        <v>1</v>
      </c>
      <c r="T451" s="3">
        <v>500</v>
      </c>
      <c r="U451" s="4"/>
      <c r="V451" s="4">
        <f t="shared" si="53"/>
        <v>5000</v>
      </c>
    </row>
    <row r="452" spans="2:22" x14ac:dyDescent="0.25">
      <c r="B452" s="1">
        <v>308</v>
      </c>
      <c r="C452" s="7">
        <v>15014102</v>
      </c>
      <c r="D452" s="2" t="s">
        <v>431</v>
      </c>
      <c r="E452" s="2" t="s">
        <v>594</v>
      </c>
      <c r="F452" s="2">
        <v>7269360</v>
      </c>
      <c r="G452" s="2" t="s">
        <v>688</v>
      </c>
      <c r="H452" s="5">
        <v>300</v>
      </c>
      <c r="I452">
        <v>5000</v>
      </c>
      <c r="J452" s="27">
        <f t="shared" si="54"/>
        <v>4700</v>
      </c>
      <c r="K452" s="3">
        <v>500</v>
      </c>
      <c r="L452" s="29">
        <f t="shared" si="55"/>
        <v>4500</v>
      </c>
      <c r="M452" s="30">
        <v>0</v>
      </c>
      <c r="N452" s="31">
        <f t="shared" si="56"/>
        <v>0</v>
      </c>
      <c r="O452" s="32">
        <v>10</v>
      </c>
      <c r="P452" s="29">
        <f t="shared" si="57"/>
        <v>470</v>
      </c>
      <c r="Q452" s="31">
        <f t="shared" si="58"/>
        <v>1</v>
      </c>
      <c r="T452" s="3">
        <v>500</v>
      </c>
      <c r="U452" s="4"/>
      <c r="V452" s="4">
        <f t="shared" si="53"/>
        <v>4400</v>
      </c>
    </row>
    <row r="453" spans="2:22" x14ac:dyDescent="0.25">
      <c r="B453" s="1">
        <v>309</v>
      </c>
      <c r="C453" s="7">
        <v>15331129</v>
      </c>
      <c r="D453" s="2" t="s">
        <v>432</v>
      </c>
      <c r="E453" s="2" t="s">
        <v>596</v>
      </c>
      <c r="F453" s="2">
        <v>9226091</v>
      </c>
      <c r="G453" s="2" t="s">
        <v>840</v>
      </c>
      <c r="H453" s="5"/>
      <c r="I453">
        <v>5000</v>
      </c>
      <c r="J453" s="27">
        <f t="shared" si="54"/>
        <v>5000</v>
      </c>
      <c r="K453" s="3">
        <v>500</v>
      </c>
      <c r="L453" s="29">
        <f t="shared" si="55"/>
        <v>4500</v>
      </c>
      <c r="M453" s="30">
        <v>0</v>
      </c>
      <c r="N453" s="31">
        <f t="shared" si="56"/>
        <v>0</v>
      </c>
      <c r="O453" s="32">
        <v>10</v>
      </c>
      <c r="P453" s="29">
        <f t="shared" si="57"/>
        <v>500</v>
      </c>
      <c r="Q453" s="31">
        <f t="shared" si="58"/>
        <v>1</v>
      </c>
      <c r="T453" s="3">
        <v>500</v>
      </c>
      <c r="U453" s="4"/>
      <c r="V453" s="4">
        <f t="shared" si="53"/>
        <v>5000</v>
      </c>
    </row>
    <row r="454" spans="2:22" x14ac:dyDescent="0.25">
      <c r="B454" s="1">
        <v>310</v>
      </c>
      <c r="C454" s="7">
        <v>16028583</v>
      </c>
      <c r="D454" s="2" t="s">
        <v>433</v>
      </c>
      <c r="E454" s="2" t="s">
        <v>596</v>
      </c>
      <c r="F454" s="2">
        <v>5974433</v>
      </c>
      <c r="G454" s="2" t="s">
        <v>841</v>
      </c>
      <c r="H454" s="5">
        <v>300</v>
      </c>
      <c r="I454">
        <v>5000</v>
      </c>
      <c r="J454" s="27">
        <f t="shared" si="54"/>
        <v>4700</v>
      </c>
      <c r="K454" s="3">
        <v>500</v>
      </c>
      <c r="L454" s="29">
        <f t="shared" si="55"/>
        <v>4500</v>
      </c>
      <c r="M454" s="30">
        <v>0</v>
      </c>
      <c r="N454" s="31">
        <f t="shared" si="56"/>
        <v>0</v>
      </c>
      <c r="O454" s="32">
        <v>10</v>
      </c>
      <c r="P454" s="29">
        <f t="shared" si="57"/>
        <v>470</v>
      </c>
      <c r="Q454" s="31">
        <f t="shared" si="58"/>
        <v>1</v>
      </c>
      <c r="T454" s="3">
        <v>500</v>
      </c>
      <c r="U454" s="4"/>
      <c r="V454" s="4">
        <f t="shared" si="53"/>
        <v>4400</v>
      </c>
    </row>
    <row r="455" spans="2:22" x14ac:dyDescent="0.25">
      <c r="B455" s="1">
        <v>311</v>
      </c>
      <c r="C455" s="7">
        <v>13455964</v>
      </c>
      <c r="D455" s="2" t="s">
        <v>434</v>
      </c>
      <c r="E455" s="2" t="s">
        <v>610</v>
      </c>
      <c r="F455" s="2">
        <v>4002003</v>
      </c>
      <c r="G455" s="2" t="s">
        <v>842</v>
      </c>
      <c r="H455" s="5">
        <v>300</v>
      </c>
      <c r="I455">
        <v>5000</v>
      </c>
      <c r="J455" s="27">
        <f t="shared" si="54"/>
        <v>4700</v>
      </c>
      <c r="K455" s="3">
        <v>500</v>
      </c>
      <c r="L455" s="29">
        <f t="shared" si="55"/>
        <v>4500</v>
      </c>
      <c r="M455" s="30">
        <v>0</v>
      </c>
      <c r="N455" s="31">
        <f t="shared" si="56"/>
        <v>0</v>
      </c>
      <c r="O455" s="32">
        <v>10</v>
      </c>
      <c r="P455" s="29">
        <f t="shared" si="57"/>
        <v>470</v>
      </c>
      <c r="Q455" s="31">
        <f t="shared" si="58"/>
        <v>1</v>
      </c>
      <c r="T455" s="3">
        <v>500</v>
      </c>
      <c r="U455" s="4"/>
      <c r="V455" s="4">
        <f t="shared" si="53"/>
        <v>4400</v>
      </c>
    </row>
    <row r="456" spans="2:22" x14ac:dyDescent="0.25">
      <c r="B456" s="1">
        <v>312</v>
      </c>
      <c r="C456" s="7">
        <v>15972431</v>
      </c>
      <c r="D456" s="2" t="s">
        <v>435</v>
      </c>
      <c r="E456" s="2" t="s">
        <v>606</v>
      </c>
      <c r="F456" s="2">
        <v>6976712016</v>
      </c>
      <c r="G456" s="2" t="s">
        <v>843</v>
      </c>
      <c r="H456" s="5">
        <v>300</v>
      </c>
      <c r="I456">
        <v>5000</v>
      </c>
      <c r="J456" s="27">
        <f t="shared" si="54"/>
        <v>4700</v>
      </c>
      <c r="K456" s="3">
        <v>4750</v>
      </c>
      <c r="L456" s="29">
        <f t="shared" si="55"/>
        <v>250</v>
      </c>
      <c r="M456" s="30">
        <v>0</v>
      </c>
      <c r="N456" s="31">
        <f t="shared" si="56"/>
        <v>0</v>
      </c>
      <c r="O456" s="32">
        <v>10</v>
      </c>
      <c r="P456" s="29">
        <f t="shared" si="57"/>
        <v>470</v>
      </c>
      <c r="Q456" s="31">
        <f t="shared" si="58"/>
        <v>10</v>
      </c>
      <c r="T456" s="3">
        <v>4750</v>
      </c>
      <c r="U456" s="4"/>
      <c r="V456" s="4">
        <f t="shared" si="53"/>
        <v>4400</v>
      </c>
    </row>
    <row r="457" spans="2:22" x14ac:dyDescent="0.25">
      <c r="B457" s="1">
        <v>312</v>
      </c>
      <c r="C457" s="7">
        <v>17435036</v>
      </c>
      <c r="D457" s="2" t="s">
        <v>436</v>
      </c>
      <c r="E457" s="2" t="s">
        <v>614</v>
      </c>
      <c r="F457" s="2">
        <v>6976712017</v>
      </c>
      <c r="G457" s="2" t="s">
        <v>843</v>
      </c>
      <c r="H457" s="5">
        <v>300</v>
      </c>
      <c r="I457">
        <v>5000</v>
      </c>
      <c r="J457" s="27">
        <f t="shared" si="54"/>
        <v>4450</v>
      </c>
      <c r="K457" s="3">
        <v>475</v>
      </c>
      <c r="L457" s="29">
        <f t="shared" si="55"/>
        <v>4275</v>
      </c>
      <c r="M457" s="30">
        <v>0.05</v>
      </c>
      <c r="N457" s="31">
        <f t="shared" si="56"/>
        <v>250</v>
      </c>
      <c r="O457" s="32">
        <v>10</v>
      </c>
      <c r="P457" s="29">
        <f t="shared" si="57"/>
        <v>445</v>
      </c>
      <c r="Q457" s="31">
        <f t="shared" si="58"/>
        <v>1</v>
      </c>
      <c r="T457" s="3">
        <v>475</v>
      </c>
      <c r="U457" s="4"/>
      <c r="V457" s="4">
        <f t="shared" si="53"/>
        <v>4150</v>
      </c>
    </row>
    <row r="458" spans="2:22" x14ac:dyDescent="0.25">
      <c r="B458" s="1">
        <v>313</v>
      </c>
      <c r="C458" s="6"/>
      <c r="D458" s="2" t="s">
        <v>99</v>
      </c>
      <c r="E458" s="12"/>
      <c r="F458" s="12"/>
      <c r="G458" s="12"/>
      <c r="H458" s="5"/>
      <c r="I458">
        <v>5000</v>
      </c>
      <c r="J458" s="27">
        <f t="shared" si="54"/>
        <v>5000</v>
      </c>
      <c r="K458" s="3">
        <v>0</v>
      </c>
      <c r="L458" s="29">
        <f t="shared" si="55"/>
        <v>5000</v>
      </c>
      <c r="M458" s="30">
        <v>0</v>
      </c>
      <c r="N458" s="31">
        <f t="shared" si="56"/>
        <v>0</v>
      </c>
      <c r="O458" s="32">
        <v>10</v>
      </c>
      <c r="P458" s="29">
        <f t="shared" si="57"/>
        <v>500</v>
      </c>
      <c r="Q458" s="31">
        <f t="shared" si="58"/>
        <v>0</v>
      </c>
      <c r="T458" s="3">
        <v>0</v>
      </c>
      <c r="U458" s="4"/>
      <c r="V458" s="4">
        <v>0</v>
      </c>
    </row>
    <row r="459" spans="2:22" x14ac:dyDescent="0.25">
      <c r="B459" s="1">
        <v>314</v>
      </c>
      <c r="C459" s="7">
        <v>12832345</v>
      </c>
      <c r="D459" s="2" t="s">
        <v>437</v>
      </c>
      <c r="E459" s="2" t="s">
        <v>615</v>
      </c>
      <c r="F459" s="2">
        <v>2691828</v>
      </c>
      <c r="G459" s="2" t="s">
        <v>844</v>
      </c>
      <c r="H459" s="5"/>
      <c r="I459">
        <v>5000</v>
      </c>
      <c r="J459" s="27">
        <f t="shared" si="54"/>
        <v>5000</v>
      </c>
      <c r="K459" s="3">
        <v>2500</v>
      </c>
      <c r="L459" s="29">
        <f t="shared" si="55"/>
        <v>2500</v>
      </c>
      <c r="M459" s="30">
        <v>0</v>
      </c>
      <c r="N459" s="31">
        <f t="shared" si="56"/>
        <v>0</v>
      </c>
      <c r="O459" s="32">
        <v>10</v>
      </c>
      <c r="P459" s="29">
        <f t="shared" si="57"/>
        <v>500</v>
      </c>
      <c r="Q459" s="31">
        <f t="shared" si="58"/>
        <v>5</v>
      </c>
      <c r="T459" s="3">
        <v>2500</v>
      </c>
      <c r="U459" s="4"/>
      <c r="V459" s="4">
        <f t="shared" ref="V459:V490" si="59">J459-H459-U459</f>
        <v>5000</v>
      </c>
    </row>
    <row r="460" spans="2:22" x14ac:dyDescent="0.25">
      <c r="B460" s="1">
        <v>315</v>
      </c>
      <c r="C460" s="7">
        <v>14537542</v>
      </c>
      <c r="D460" s="2" t="s">
        <v>438</v>
      </c>
      <c r="E460" s="2" t="s">
        <v>610</v>
      </c>
      <c r="F460" s="2">
        <v>4858691</v>
      </c>
      <c r="G460" s="2" t="s">
        <v>641</v>
      </c>
      <c r="H460" s="5">
        <v>300</v>
      </c>
      <c r="I460">
        <v>5000</v>
      </c>
      <c r="J460" s="27">
        <f t="shared" si="54"/>
        <v>4700</v>
      </c>
      <c r="K460" s="3">
        <v>500</v>
      </c>
      <c r="L460" s="29">
        <f t="shared" si="55"/>
        <v>4500</v>
      </c>
      <c r="M460" s="30">
        <v>0</v>
      </c>
      <c r="N460" s="31">
        <f t="shared" si="56"/>
        <v>0</v>
      </c>
      <c r="O460" s="32">
        <v>10</v>
      </c>
      <c r="P460" s="29">
        <f t="shared" si="57"/>
        <v>470</v>
      </c>
      <c r="Q460" s="31">
        <f t="shared" si="58"/>
        <v>1</v>
      </c>
      <c r="T460" s="3">
        <v>500</v>
      </c>
      <c r="U460" s="4"/>
      <c r="V460" s="4">
        <f t="shared" si="59"/>
        <v>4400</v>
      </c>
    </row>
    <row r="461" spans="2:22" x14ac:dyDescent="0.25">
      <c r="B461" s="1">
        <v>315</v>
      </c>
      <c r="C461" s="7">
        <v>16794572</v>
      </c>
      <c r="D461" s="2" t="s">
        <v>439</v>
      </c>
      <c r="E461" s="2" t="s">
        <v>608</v>
      </c>
      <c r="F461" s="2">
        <v>4858692</v>
      </c>
      <c r="G461" s="2" t="s">
        <v>641</v>
      </c>
      <c r="H461" s="5">
        <v>300</v>
      </c>
      <c r="I461">
        <v>5000</v>
      </c>
      <c r="J461" s="27">
        <f t="shared" si="54"/>
        <v>4450</v>
      </c>
      <c r="K461" s="3">
        <v>475</v>
      </c>
      <c r="L461" s="29">
        <f t="shared" si="55"/>
        <v>4275</v>
      </c>
      <c r="M461" s="30">
        <v>0.05</v>
      </c>
      <c r="N461" s="31">
        <f t="shared" si="56"/>
        <v>250</v>
      </c>
      <c r="O461" s="32">
        <v>10</v>
      </c>
      <c r="P461" s="29">
        <f t="shared" si="57"/>
        <v>445</v>
      </c>
      <c r="Q461" s="31">
        <f t="shared" si="58"/>
        <v>1</v>
      </c>
      <c r="T461" s="3">
        <v>475</v>
      </c>
      <c r="U461" s="4"/>
      <c r="V461" s="4">
        <f t="shared" si="59"/>
        <v>4150</v>
      </c>
    </row>
    <row r="462" spans="2:22" x14ac:dyDescent="0.25">
      <c r="B462" s="1">
        <v>316</v>
      </c>
      <c r="C462" s="7">
        <v>14229584</v>
      </c>
      <c r="D462" s="2" t="s">
        <v>440</v>
      </c>
      <c r="E462" s="2" t="s">
        <v>610</v>
      </c>
      <c r="F462" s="2">
        <v>9095056</v>
      </c>
      <c r="G462" s="2" t="s">
        <v>812</v>
      </c>
      <c r="H462" s="5">
        <v>300</v>
      </c>
      <c r="I462">
        <v>5000</v>
      </c>
      <c r="J462" s="27">
        <f t="shared" si="54"/>
        <v>4700</v>
      </c>
      <c r="K462" s="3">
        <v>500</v>
      </c>
      <c r="L462" s="29">
        <f t="shared" si="55"/>
        <v>4500</v>
      </c>
      <c r="M462" s="30">
        <v>0</v>
      </c>
      <c r="N462" s="31">
        <f t="shared" si="56"/>
        <v>0</v>
      </c>
      <c r="O462" s="32">
        <v>10</v>
      </c>
      <c r="P462" s="29">
        <f t="shared" si="57"/>
        <v>470</v>
      </c>
      <c r="Q462" s="31">
        <f t="shared" si="58"/>
        <v>1</v>
      </c>
      <c r="T462" s="3">
        <v>500</v>
      </c>
      <c r="U462" s="4"/>
      <c r="V462" s="4">
        <f t="shared" si="59"/>
        <v>4400</v>
      </c>
    </row>
    <row r="463" spans="2:22" x14ac:dyDescent="0.25">
      <c r="B463" s="1">
        <v>317</v>
      </c>
      <c r="C463" s="7">
        <v>13787778</v>
      </c>
      <c r="D463" s="2" t="s">
        <v>441</v>
      </c>
      <c r="E463" s="2" t="s">
        <v>611</v>
      </c>
      <c r="F463" s="2">
        <v>2684181014</v>
      </c>
      <c r="G463" s="2" t="s">
        <v>635</v>
      </c>
      <c r="H463" s="5">
        <v>300</v>
      </c>
      <c r="I463">
        <v>5000</v>
      </c>
      <c r="J463" s="27">
        <f t="shared" si="54"/>
        <v>4700</v>
      </c>
      <c r="K463" s="3">
        <v>500</v>
      </c>
      <c r="L463" s="29">
        <f t="shared" si="55"/>
        <v>4500</v>
      </c>
      <c r="M463" s="30">
        <v>0</v>
      </c>
      <c r="N463" s="31">
        <f t="shared" si="56"/>
        <v>0</v>
      </c>
      <c r="O463" s="32">
        <v>10</v>
      </c>
      <c r="P463" s="29">
        <f t="shared" si="57"/>
        <v>470</v>
      </c>
      <c r="Q463" s="31">
        <f t="shared" si="58"/>
        <v>1</v>
      </c>
      <c r="T463" s="3">
        <v>500</v>
      </c>
      <c r="U463" s="4">
        <v>200</v>
      </c>
      <c r="V463" s="4">
        <f t="shared" si="59"/>
        <v>4200</v>
      </c>
    </row>
    <row r="464" spans="2:22" x14ac:dyDescent="0.25">
      <c r="B464" s="1">
        <v>318</v>
      </c>
      <c r="C464" s="7">
        <v>15936654</v>
      </c>
      <c r="D464" s="2" t="s">
        <v>442</v>
      </c>
      <c r="E464" s="2" t="s">
        <v>610</v>
      </c>
      <c r="F464" s="2">
        <v>4750428</v>
      </c>
      <c r="G464" s="2" t="s">
        <v>845</v>
      </c>
      <c r="H464" s="5">
        <v>300</v>
      </c>
      <c r="I464">
        <v>5000</v>
      </c>
      <c r="J464" s="27">
        <f t="shared" si="54"/>
        <v>4700</v>
      </c>
      <c r="K464" s="3">
        <v>500</v>
      </c>
      <c r="L464" s="29">
        <f t="shared" si="55"/>
        <v>4500</v>
      </c>
      <c r="M464" s="30">
        <v>0</v>
      </c>
      <c r="N464" s="31">
        <f t="shared" si="56"/>
        <v>0</v>
      </c>
      <c r="O464" s="32">
        <v>10</v>
      </c>
      <c r="P464" s="29">
        <f t="shared" si="57"/>
        <v>470</v>
      </c>
      <c r="Q464" s="31">
        <f t="shared" si="58"/>
        <v>1</v>
      </c>
      <c r="T464" s="3">
        <v>500</v>
      </c>
      <c r="U464" s="4"/>
      <c r="V464" s="4">
        <f t="shared" si="59"/>
        <v>4400</v>
      </c>
    </row>
    <row r="465" spans="2:22" x14ac:dyDescent="0.25">
      <c r="B465" s="1">
        <v>319</v>
      </c>
      <c r="C465" s="7">
        <v>13692880</v>
      </c>
      <c r="D465" s="2" t="s">
        <v>443</v>
      </c>
      <c r="E465" s="2" t="s">
        <v>609</v>
      </c>
      <c r="F465" s="2">
        <v>4831272</v>
      </c>
      <c r="G465" s="2" t="s">
        <v>830</v>
      </c>
      <c r="H465" s="5"/>
      <c r="I465">
        <v>5000</v>
      </c>
      <c r="J465" s="27">
        <f t="shared" si="54"/>
        <v>5000</v>
      </c>
      <c r="K465" s="3">
        <v>500</v>
      </c>
      <c r="L465" s="29">
        <f t="shared" si="55"/>
        <v>4500</v>
      </c>
      <c r="M465" s="30">
        <v>0</v>
      </c>
      <c r="N465" s="31">
        <f t="shared" si="56"/>
        <v>0</v>
      </c>
      <c r="O465" s="32">
        <v>10</v>
      </c>
      <c r="P465" s="29">
        <f t="shared" si="57"/>
        <v>500</v>
      </c>
      <c r="Q465" s="31">
        <f t="shared" si="58"/>
        <v>1</v>
      </c>
      <c r="T465" s="3">
        <v>500</v>
      </c>
      <c r="U465" s="4"/>
      <c r="V465" s="4">
        <f t="shared" si="59"/>
        <v>5000</v>
      </c>
    </row>
    <row r="466" spans="2:22" x14ac:dyDescent="0.25">
      <c r="B466" s="1">
        <v>320</v>
      </c>
      <c r="C466" s="7">
        <v>15524049</v>
      </c>
      <c r="D466" s="2" t="s">
        <v>444</v>
      </c>
      <c r="E466" s="2" t="s">
        <v>616</v>
      </c>
      <c r="F466" s="2">
        <v>12927272</v>
      </c>
      <c r="G466" s="2" t="s">
        <v>738</v>
      </c>
      <c r="H466" s="5">
        <v>300</v>
      </c>
      <c r="I466">
        <v>5000</v>
      </c>
      <c r="J466" s="27">
        <f t="shared" si="54"/>
        <v>4700</v>
      </c>
      <c r="K466" s="3">
        <v>4750</v>
      </c>
      <c r="L466" s="29">
        <f t="shared" si="55"/>
        <v>250</v>
      </c>
      <c r="M466" s="30">
        <v>0</v>
      </c>
      <c r="N466" s="31">
        <f t="shared" si="56"/>
        <v>0</v>
      </c>
      <c r="O466" s="32">
        <v>10</v>
      </c>
      <c r="P466" s="29">
        <f t="shared" si="57"/>
        <v>470</v>
      </c>
      <c r="Q466" s="31">
        <f t="shared" si="58"/>
        <v>10</v>
      </c>
      <c r="T466" s="3">
        <v>4750</v>
      </c>
      <c r="U466" s="4"/>
      <c r="V466" s="4">
        <f t="shared" si="59"/>
        <v>4400</v>
      </c>
    </row>
    <row r="467" spans="2:22" x14ac:dyDescent="0.25">
      <c r="B467" s="1">
        <v>321</v>
      </c>
      <c r="C467" s="7">
        <v>13922287</v>
      </c>
      <c r="D467" s="2" t="s">
        <v>445</v>
      </c>
      <c r="E467" s="2" t="s">
        <v>611</v>
      </c>
      <c r="F467" s="2">
        <v>4367238</v>
      </c>
      <c r="G467" s="2" t="s">
        <v>638</v>
      </c>
      <c r="H467" s="5"/>
      <c r="I467">
        <v>5000</v>
      </c>
      <c r="J467" s="27">
        <f t="shared" si="54"/>
        <v>5000</v>
      </c>
      <c r="K467" s="3">
        <v>500</v>
      </c>
      <c r="L467" s="29">
        <f t="shared" si="55"/>
        <v>4500</v>
      </c>
      <c r="M467" s="30">
        <v>0</v>
      </c>
      <c r="N467" s="31">
        <f t="shared" si="56"/>
        <v>0</v>
      </c>
      <c r="O467" s="32">
        <v>10</v>
      </c>
      <c r="P467" s="29">
        <f t="shared" si="57"/>
        <v>500</v>
      </c>
      <c r="Q467" s="31">
        <f t="shared" si="58"/>
        <v>1</v>
      </c>
      <c r="T467" s="3">
        <v>500</v>
      </c>
      <c r="U467" s="4"/>
      <c r="V467" s="4">
        <f t="shared" si="59"/>
        <v>5000</v>
      </c>
    </row>
    <row r="468" spans="2:22" x14ac:dyDescent="0.25">
      <c r="B468" s="1">
        <v>321</v>
      </c>
      <c r="C468" s="7">
        <v>15007890</v>
      </c>
      <c r="D468" s="2" t="s">
        <v>446</v>
      </c>
      <c r="E468" s="2" t="s">
        <v>607</v>
      </c>
      <c r="F468" s="2">
        <v>4367238</v>
      </c>
      <c r="G468" s="2" t="s">
        <v>638</v>
      </c>
      <c r="H468" s="5"/>
      <c r="I468">
        <v>5000</v>
      </c>
      <c r="J468" s="27">
        <f t="shared" si="54"/>
        <v>4750</v>
      </c>
      <c r="K468" s="3">
        <v>475</v>
      </c>
      <c r="L468" s="29">
        <f t="shared" si="55"/>
        <v>4275</v>
      </c>
      <c r="M468" s="30">
        <v>0.05</v>
      </c>
      <c r="N468" s="31">
        <f t="shared" si="56"/>
        <v>250</v>
      </c>
      <c r="O468" s="32">
        <v>10</v>
      </c>
      <c r="P468" s="29">
        <f t="shared" si="57"/>
        <v>475</v>
      </c>
      <c r="Q468" s="31">
        <f t="shared" si="58"/>
        <v>1</v>
      </c>
      <c r="T468" s="3">
        <v>475</v>
      </c>
      <c r="U468" s="4"/>
      <c r="V468" s="4">
        <f t="shared" si="59"/>
        <v>4750</v>
      </c>
    </row>
    <row r="469" spans="2:22" x14ac:dyDescent="0.25">
      <c r="B469" s="1">
        <v>322</v>
      </c>
      <c r="C469" s="7">
        <v>13276553</v>
      </c>
      <c r="D469" s="2" t="s">
        <v>447</v>
      </c>
      <c r="E469" s="2" t="s">
        <v>609</v>
      </c>
      <c r="F469" s="2">
        <v>8347172</v>
      </c>
      <c r="G469" s="2" t="s">
        <v>846</v>
      </c>
      <c r="H469" s="5"/>
      <c r="I469">
        <v>5000</v>
      </c>
      <c r="J469" s="27">
        <f t="shared" si="54"/>
        <v>5000</v>
      </c>
      <c r="K469" s="3">
        <v>500</v>
      </c>
      <c r="L469" s="29">
        <f t="shared" si="55"/>
        <v>4500</v>
      </c>
      <c r="M469" s="30">
        <v>0</v>
      </c>
      <c r="N469" s="31">
        <f t="shared" si="56"/>
        <v>0</v>
      </c>
      <c r="O469" s="32">
        <v>10</v>
      </c>
      <c r="P469" s="29">
        <f t="shared" si="57"/>
        <v>500</v>
      </c>
      <c r="Q469" s="31">
        <f t="shared" si="58"/>
        <v>1</v>
      </c>
      <c r="T469" s="3">
        <v>500</v>
      </c>
      <c r="U469" s="4"/>
      <c r="V469" s="4">
        <f t="shared" si="59"/>
        <v>5000</v>
      </c>
    </row>
    <row r="470" spans="2:22" x14ac:dyDescent="0.25">
      <c r="B470" s="1">
        <v>322</v>
      </c>
      <c r="C470" s="7">
        <v>15149030</v>
      </c>
      <c r="D470" s="2" t="s">
        <v>448</v>
      </c>
      <c r="E470" s="2" t="s">
        <v>594</v>
      </c>
      <c r="F470" s="2">
        <v>8347173</v>
      </c>
      <c r="G470" s="2" t="s">
        <v>846</v>
      </c>
      <c r="H470" s="5"/>
      <c r="I470">
        <v>5000</v>
      </c>
      <c r="J470" s="27">
        <f t="shared" si="54"/>
        <v>5000</v>
      </c>
      <c r="K470" s="3">
        <v>500</v>
      </c>
      <c r="L470" s="29">
        <f t="shared" si="55"/>
        <v>4500</v>
      </c>
      <c r="M470" s="30">
        <v>0</v>
      </c>
      <c r="N470" s="31">
        <f t="shared" si="56"/>
        <v>0</v>
      </c>
      <c r="O470" s="32">
        <v>10</v>
      </c>
      <c r="P470" s="29">
        <f t="shared" si="57"/>
        <v>500</v>
      </c>
      <c r="Q470" s="31">
        <f t="shared" si="58"/>
        <v>1</v>
      </c>
      <c r="T470" s="3">
        <v>500</v>
      </c>
      <c r="U470" s="4"/>
      <c r="V470" s="4">
        <f t="shared" si="59"/>
        <v>5000</v>
      </c>
    </row>
    <row r="471" spans="2:22" x14ac:dyDescent="0.25">
      <c r="B471" s="1">
        <v>323</v>
      </c>
      <c r="C471" s="7">
        <v>13961095</v>
      </c>
      <c r="D471" s="2" t="s">
        <v>449</v>
      </c>
      <c r="E471" s="2" t="s">
        <v>610</v>
      </c>
      <c r="F471" s="2">
        <v>9913898</v>
      </c>
      <c r="G471" s="2" t="s">
        <v>847</v>
      </c>
      <c r="H471" s="5"/>
      <c r="I471">
        <v>5000</v>
      </c>
      <c r="J471" s="27">
        <f t="shared" si="54"/>
        <v>5000</v>
      </c>
      <c r="K471" s="3">
        <v>500</v>
      </c>
      <c r="L471" s="29">
        <f t="shared" si="55"/>
        <v>4500</v>
      </c>
      <c r="M471" s="30">
        <v>0</v>
      </c>
      <c r="N471" s="31">
        <f t="shared" si="56"/>
        <v>0</v>
      </c>
      <c r="O471" s="32">
        <v>10</v>
      </c>
      <c r="P471" s="29">
        <f t="shared" si="57"/>
        <v>500</v>
      </c>
      <c r="Q471" s="31">
        <f t="shared" si="58"/>
        <v>1</v>
      </c>
      <c r="T471" s="3">
        <v>500</v>
      </c>
      <c r="U471" s="4"/>
      <c r="V471" s="4">
        <f t="shared" si="59"/>
        <v>5000</v>
      </c>
    </row>
    <row r="472" spans="2:22" x14ac:dyDescent="0.25">
      <c r="B472" s="1">
        <v>324</v>
      </c>
      <c r="C472" s="7">
        <v>15596970</v>
      </c>
      <c r="D472" s="2" t="s">
        <v>450</v>
      </c>
      <c r="E472" s="2" t="s">
        <v>616</v>
      </c>
      <c r="F472" s="2">
        <v>6743608</v>
      </c>
      <c r="G472" s="2" t="s">
        <v>693</v>
      </c>
      <c r="H472" s="5"/>
      <c r="I472">
        <v>5000</v>
      </c>
      <c r="J472" s="27">
        <f t="shared" si="54"/>
        <v>5000</v>
      </c>
      <c r="K472" s="3">
        <v>500</v>
      </c>
      <c r="L472" s="29">
        <f t="shared" si="55"/>
        <v>4500</v>
      </c>
      <c r="M472" s="30">
        <v>0</v>
      </c>
      <c r="N472" s="31">
        <f t="shared" si="56"/>
        <v>0</v>
      </c>
      <c r="O472" s="32">
        <v>10</v>
      </c>
      <c r="P472" s="29">
        <f t="shared" si="57"/>
        <v>500</v>
      </c>
      <c r="Q472" s="31">
        <f t="shared" si="58"/>
        <v>1</v>
      </c>
      <c r="T472" s="3">
        <v>500</v>
      </c>
      <c r="U472" s="4"/>
      <c r="V472" s="4">
        <f t="shared" si="59"/>
        <v>5000</v>
      </c>
    </row>
    <row r="473" spans="2:22" x14ac:dyDescent="0.25">
      <c r="B473" s="1">
        <v>325</v>
      </c>
      <c r="C473" s="7">
        <v>10916332</v>
      </c>
      <c r="D473" s="2" t="s">
        <v>451</v>
      </c>
      <c r="E473" s="2" t="s">
        <v>609</v>
      </c>
      <c r="F473" s="2">
        <v>4272380</v>
      </c>
      <c r="G473" s="2" t="s">
        <v>848</v>
      </c>
      <c r="H473" s="5">
        <v>300</v>
      </c>
      <c r="I473">
        <v>5000</v>
      </c>
      <c r="J473" s="27">
        <f t="shared" si="54"/>
        <v>4700</v>
      </c>
      <c r="K473" s="3">
        <v>500</v>
      </c>
      <c r="L473" s="29">
        <f t="shared" si="55"/>
        <v>4500</v>
      </c>
      <c r="M473" s="30">
        <v>0</v>
      </c>
      <c r="N473" s="31">
        <f t="shared" si="56"/>
        <v>0</v>
      </c>
      <c r="O473" s="32">
        <v>10</v>
      </c>
      <c r="P473" s="29">
        <f t="shared" si="57"/>
        <v>470</v>
      </c>
      <c r="Q473" s="31">
        <f t="shared" si="58"/>
        <v>1</v>
      </c>
      <c r="T473" s="3">
        <v>500</v>
      </c>
      <c r="U473" s="4">
        <v>200</v>
      </c>
      <c r="V473" s="4">
        <f t="shared" si="59"/>
        <v>4200</v>
      </c>
    </row>
    <row r="474" spans="2:22" x14ac:dyDescent="0.25">
      <c r="B474" s="1">
        <v>326</v>
      </c>
      <c r="C474" s="7">
        <v>141847900</v>
      </c>
      <c r="D474" s="2" t="s">
        <v>452</v>
      </c>
      <c r="E474" s="2" t="s">
        <v>612</v>
      </c>
      <c r="F474" s="2">
        <v>5476033017</v>
      </c>
      <c r="G474" s="2" t="s">
        <v>799</v>
      </c>
      <c r="H474" s="5">
        <v>300</v>
      </c>
      <c r="I474">
        <v>5000</v>
      </c>
      <c r="J474" s="27">
        <f t="shared" si="54"/>
        <v>4700</v>
      </c>
      <c r="K474" s="3">
        <v>500</v>
      </c>
      <c r="L474" s="29">
        <f t="shared" si="55"/>
        <v>4500</v>
      </c>
      <c r="M474" s="30">
        <v>0</v>
      </c>
      <c r="N474" s="31">
        <f t="shared" si="56"/>
        <v>0</v>
      </c>
      <c r="O474" s="32">
        <v>10</v>
      </c>
      <c r="P474" s="29">
        <f t="shared" si="57"/>
        <v>470</v>
      </c>
      <c r="Q474" s="31">
        <f t="shared" si="58"/>
        <v>1</v>
      </c>
      <c r="T474" s="3">
        <v>500</v>
      </c>
      <c r="U474" s="4"/>
      <c r="V474" s="4">
        <f t="shared" si="59"/>
        <v>4400</v>
      </c>
    </row>
    <row r="475" spans="2:22" x14ac:dyDescent="0.25">
      <c r="B475" s="1">
        <v>327</v>
      </c>
      <c r="C475" s="7">
        <v>14297005</v>
      </c>
      <c r="D475" s="2" t="s">
        <v>453</v>
      </c>
      <c r="E475" s="2" t="s">
        <v>610</v>
      </c>
      <c r="F475" s="2">
        <v>421442020</v>
      </c>
      <c r="G475" s="2" t="s">
        <v>849</v>
      </c>
      <c r="H475" s="5">
        <v>300</v>
      </c>
      <c r="I475">
        <v>5000</v>
      </c>
      <c r="J475" s="27">
        <f t="shared" si="54"/>
        <v>4700</v>
      </c>
      <c r="K475" s="3">
        <v>4750</v>
      </c>
      <c r="L475" s="29">
        <f t="shared" si="55"/>
        <v>250</v>
      </c>
      <c r="M475" s="30">
        <v>0</v>
      </c>
      <c r="N475" s="31">
        <f t="shared" si="56"/>
        <v>0</v>
      </c>
      <c r="O475" s="32">
        <v>10</v>
      </c>
      <c r="P475" s="29">
        <f t="shared" si="57"/>
        <v>470</v>
      </c>
      <c r="Q475" s="31">
        <f t="shared" si="58"/>
        <v>10</v>
      </c>
      <c r="T475" s="3">
        <v>4750</v>
      </c>
      <c r="U475" s="4">
        <v>4450</v>
      </c>
      <c r="V475" s="4">
        <f t="shared" si="59"/>
        <v>-50</v>
      </c>
    </row>
    <row r="476" spans="2:22" x14ac:dyDescent="0.25">
      <c r="B476" s="1">
        <v>328</v>
      </c>
      <c r="C476" s="7">
        <v>13696178</v>
      </c>
      <c r="D476" s="2" t="s">
        <v>454</v>
      </c>
      <c r="E476" s="2" t="s">
        <v>615</v>
      </c>
      <c r="F476" s="2">
        <v>3492841</v>
      </c>
      <c r="G476" s="2" t="s">
        <v>762</v>
      </c>
      <c r="H476" s="5">
        <v>300</v>
      </c>
      <c r="I476">
        <v>5000</v>
      </c>
      <c r="J476" s="27">
        <f t="shared" si="54"/>
        <v>4700</v>
      </c>
      <c r="K476" s="3">
        <v>500</v>
      </c>
      <c r="L476" s="29">
        <f t="shared" si="55"/>
        <v>4500</v>
      </c>
      <c r="M476" s="30">
        <v>0</v>
      </c>
      <c r="N476" s="31">
        <f t="shared" si="56"/>
        <v>0</v>
      </c>
      <c r="O476" s="32">
        <v>10</v>
      </c>
      <c r="P476" s="29">
        <f t="shared" si="57"/>
        <v>470</v>
      </c>
      <c r="Q476" s="31">
        <f t="shared" si="58"/>
        <v>1</v>
      </c>
      <c r="T476" s="3">
        <v>500</v>
      </c>
      <c r="U476" s="4">
        <v>200</v>
      </c>
      <c r="V476" s="4">
        <f t="shared" si="59"/>
        <v>4200</v>
      </c>
    </row>
    <row r="477" spans="2:22" x14ac:dyDescent="0.25">
      <c r="B477" s="1">
        <v>329</v>
      </c>
      <c r="C477" s="7">
        <v>15267683</v>
      </c>
      <c r="D477" s="2" t="s">
        <v>455</v>
      </c>
      <c r="E477" s="2" t="s">
        <v>610</v>
      </c>
      <c r="F477" s="2">
        <v>6018201</v>
      </c>
      <c r="G477" s="2" t="s">
        <v>850</v>
      </c>
      <c r="H477" s="5">
        <v>300</v>
      </c>
      <c r="I477">
        <v>5000</v>
      </c>
      <c r="J477" s="27">
        <f t="shared" si="54"/>
        <v>4700</v>
      </c>
      <c r="K477" s="3">
        <v>500</v>
      </c>
      <c r="L477" s="29">
        <f t="shared" si="55"/>
        <v>4500</v>
      </c>
      <c r="M477" s="30">
        <v>0</v>
      </c>
      <c r="N477" s="31">
        <f t="shared" si="56"/>
        <v>0</v>
      </c>
      <c r="O477" s="32">
        <v>10</v>
      </c>
      <c r="P477" s="29">
        <f t="shared" si="57"/>
        <v>470</v>
      </c>
      <c r="Q477" s="31">
        <f t="shared" si="58"/>
        <v>1</v>
      </c>
      <c r="T477" s="3">
        <v>500</v>
      </c>
      <c r="U477" s="4"/>
      <c r="V477" s="4">
        <f t="shared" si="59"/>
        <v>4400</v>
      </c>
    </row>
    <row r="478" spans="2:22" x14ac:dyDescent="0.25">
      <c r="B478" s="1">
        <v>330</v>
      </c>
      <c r="C478" s="7">
        <v>13630076</v>
      </c>
      <c r="D478" s="2" t="s">
        <v>456</v>
      </c>
      <c r="E478" s="2" t="s">
        <v>612</v>
      </c>
      <c r="F478" s="2">
        <v>6009408</v>
      </c>
      <c r="G478" s="2" t="s">
        <v>688</v>
      </c>
      <c r="H478" s="5"/>
      <c r="I478">
        <v>5000</v>
      </c>
      <c r="J478" s="27">
        <f t="shared" si="54"/>
        <v>5000</v>
      </c>
      <c r="K478" s="3">
        <v>500</v>
      </c>
      <c r="L478" s="29">
        <f t="shared" si="55"/>
        <v>4500</v>
      </c>
      <c r="M478" s="30">
        <v>0</v>
      </c>
      <c r="N478" s="31">
        <f t="shared" si="56"/>
        <v>0</v>
      </c>
      <c r="O478" s="32">
        <v>10</v>
      </c>
      <c r="P478" s="29">
        <f t="shared" si="57"/>
        <v>500</v>
      </c>
      <c r="Q478" s="31">
        <f t="shared" si="58"/>
        <v>1</v>
      </c>
      <c r="T478" s="3">
        <v>500</v>
      </c>
      <c r="U478" s="4"/>
      <c r="V478" s="4">
        <f t="shared" si="59"/>
        <v>5000</v>
      </c>
    </row>
    <row r="479" spans="2:22" x14ac:dyDescent="0.25">
      <c r="B479" s="1">
        <v>331</v>
      </c>
      <c r="C479" s="7">
        <v>15099971</v>
      </c>
      <c r="D479" s="2" t="s">
        <v>457</v>
      </c>
      <c r="E479" s="2" t="s">
        <v>600</v>
      </c>
      <c r="F479" s="2">
        <v>4938557</v>
      </c>
      <c r="G479" s="2" t="s">
        <v>851</v>
      </c>
      <c r="H479" s="5"/>
      <c r="I479">
        <v>5000</v>
      </c>
      <c r="J479" s="27">
        <f t="shared" si="54"/>
        <v>5000</v>
      </c>
      <c r="K479" s="3">
        <v>500</v>
      </c>
      <c r="L479" s="29">
        <f t="shared" si="55"/>
        <v>4500</v>
      </c>
      <c r="M479" s="30">
        <v>0</v>
      </c>
      <c r="N479" s="31">
        <f t="shared" si="56"/>
        <v>0</v>
      </c>
      <c r="O479" s="32">
        <v>10</v>
      </c>
      <c r="P479" s="29">
        <f t="shared" si="57"/>
        <v>500</v>
      </c>
      <c r="Q479" s="31">
        <f t="shared" si="58"/>
        <v>1</v>
      </c>
      <c r="T479" s="3">
        <v>500</v>
      </c>
      <c r="U479" s="4"/>
      <c r="V479" s="4">
        <f t="shared" si="59"/>
        <v>5000</v>
      </c>
    </row>
    <row r="480" spans="2:22" x14ac:dyDescent="0.25">
      <c r="B480" s="1">
        <v>332</v>
      </c>
      <c r="C480" s="7">
        <v>15904301</v>
      </c>
      <c r="D480" s="2" t="s">
        <v>458</v>
      </c>
      <c r="E480" s="2" t="s">
        <v>606</v>
      </c>
      <c r="F480" s="2">
        <v>8305497010</v>
      </c>
      <c r="G480" s="2" t="s">
        <v>852</v>
      </c>
      <c r="H480" s="5">
        <v>300</v>
      </c>
      <c r="I480">
        <v>5000</v>
      </c>
      <c r="J480" s="27">
        <f t="shared" si="54"/>
        <v>4700</v>
      </c>
      <c r="K480" s="3">
        <v>4750</v>
      </c>
      <c r="L480" s="29">
        <f t="shared" si="55"/>
        <v>250</v>
      </c>
      <c r="M480" s="30">
        <v>0</v>
      </c>
      <c r="N480" s="31">
        <f t="shared" si="56"/>
        <v>0</v>
      </c>
      <c r="O480" s="32">
        <v>10</v>
      </c>
      <c r="P480" s="29">
        <f t="shared" si="57"/>
        <v>470</v>
      </c>
      <c r="Q480" s="31">
        <f t="shared" si="58"/>
        <v>10</v>
      </c>
      <c r="T480" s="3">
        <v>4750</v>
      </c>
      <c r="U480" s="4">
        <v>4450</v>
      </c>
      <c r="V480" s="4">
        <f t="shared" si="59"/>
        <v>-50</v>
      </c>
    </row>
    <row r="481" spans="2:22" x14ac:dyDescent="0.25">
      <c r="B481" s="1">
        <v>333</v>
      </c>
      <c r="C481" s="7">
        <v>17003175</v>
      </c>
      <c r="D481" s="2" t="s">
        <v>459</v>
      </c>
      <c r="E481" s="2" t="s">
        <v>614</v>
      </c>
      <c r="F481" s="2">
        <v>4253474</v>
      </c>
      <c r="G481" s="2" t="s">
        <v>651</v>
      </c>
      <c r="H481" s="5"/>
      <c r="I481">
        <v>5000</v>
      </c>
      <c r="J481" s="27">
        <f t="shared" si="54"/>
        <v>5000</v>
      </c>
      <c r="K481" s="3">
        <v>500</v>
      </c>
      <c r="L481" s="29">
        <f t="shared" si="55"/>
        <v>4500</v>
      </c>
      <c r="M481" s="30">
        <v>0</v>
      </c>
      <c r="N481" s="31">
        <f t="shared" si="56"/>
        <v>0</v>
      </c>
      <c r="O481" s="32">
        <v>10</v>
      </c>
      <c r="P481" s="29">
        <f t="shared" si="57"/>
        <v>500</v>
      </c>
      <c r="Q481" s="31">
        <f t="shared" si="58"/>
        <v>1</v>
      </c>
      <c r="T481" s="3">
        <v>500</v>
      </c>
      <c r="U481" s="4">
        <v>500</v>
      </c>
      <c r="V481" s="4">
        <f t="shared" si="59"/>
        <v>4500</v>
      </c>
    </row>
    <row r="482" spans="2:22" x14ac:dyDescent="0.25">
      <c r="B482" s="1">
        <v>334</v>
      </c>
      <c r="C482" s="7">
        <v>13519393</v>
      </c>
      <c r="D482" s="2" t="s">
        <v>460</v>
      </c>
      <c r="E482" s="2" t="s">
        <v>606</v>
      </c>
      <c r="F482" s="2">
        <v>6072702</v>
      </c>
      <c r="G482" s="2" t="s">
        <v>844</v>
      </c>
      <c r="H482" s="5"/>
      <c r="I482">
        <v>5000</v>
      </c>
      <c r="J482" s="27">
        <f t="shared" si="54"/>
        <v>5000</v>
      </c>
      <c r="K482" s="3">
        <v>500</v>
      </c>
      <c r="L482" s="29">
        <f t="shared" si="55"/>
        <v>4500</v>
      </c>
      <c r="M482" s="30">
        <v>0</v>
      </c>
      <c r="N482" s="31">
        <f t="shared" si="56"/>
        <v>0</v>
      </c>
      <c r="O482" s="32">
        <v>10</v>
      </c>
      <c r="P482" s="29">
        <f t="shared" si="57"/>
        <v>500</v>
      </c>
      <c r="Q482" s="31">
        <f t="shared" si="58"/>
        <v>1</v>
      </c>
      <c r="T482" s="3">
        <v>500</v>
      </c>
      <c r="U482" s="4">
        <v>500</v>
      </c>
      <c r="V482" s="4">
        <f t="shared" si="59"/>
        <v>4500</v>
      </c>
    </row>
    <row r="483" spans="2:22" x14ac:dyDescent="0.25">
      <c r="B483" s="1">
        <v>335</v>
      </c>
      <c r="C483" s="7">
        <v>14182994</v>
      </c>
      <c r="D483" s="2" t="s">
        <v>461</v>
      </c>
      <c r="E483" s="2" t="s">
        <v>609</v>
      </c>
      <c r="F483" s="2">
        <v>4942222</v>
      </c>
      <c r="G483" s="2" t="s">
        <v>853</v>
      </c>
      <c r="H483" s="5">
        <v>300</v>
      </c>
      <c r="I483">
        <v>5000</v>
      </c>
      <c r="J483" s="27">
        <f t="shared" si="54"/>
        <v>4700</v>
      </c>
      <c r="K483" s="3">
        <v>1000</v>
      </c>
      <c r="L483" s="29">
        <f t="shared" si="55"/>
        <v>4000</v>
      </c>
      <c r="M483" s="30">
        <v>0</v>
      </c>
      <c r="N483" s="31">
        <f t="shared" si="56"/>
        <v>0</v>
      </c>
      <c r="O483" s="32">
        <v>10</v>
      </c>
      <c r="P483" s="29">
        <f t="shared" si="57"/>
        <v>470</v>
      </c>
      <c r="Q483" s="31">
        <f t="shared" si="58"/>
        <v>2</v>
      </c>
      <c r="T483" s="3">
        <v>1000</v>
      </c>
      <c r="U483" s="4"/>
      <c r="V483" s="4">
        <f t="shared" si="59"/>
        <v>4400</v>
      </c>
    </row>
    <row r="484" spans="2:22" x14ac:dyDescent="0.25">
      <c r="B484" s="1">
        <v>336</v>
      </c>
      <c r="C484" s="7">
        <v>15923461</v>
      </c>
      <c r="D484" s="2" t="s">
        <v>462</v>
      </c>
      <c r="E484" s="2" t="s">
        <v>617</v>
      </c>
      <c r="F484" s="2">
        <v>6777544</v>
      </c>
      <c r="G484" s="2" t="s">
        <v>854</v>
      </c>
      <c r="H484" s="5">
        <v>300</v>
      </c>
      <c r="I484">
        <v>5000</v>
      </c>
      <c r="J484" s="27">
        <f t="shared" si="54"/>
        <v>4700</v>
      </c>
      <c r="K484" s="3">
        <v>500</v>
      </c>
      <c r="L484" s="29">
        <f t="shared" si="55"/>
        <v>4500</v>
      </c>
      <c r="M484" s="30">
        <v>0</v>
      </c>
      <c r="N484" s="31">
        <f t="shared" si="56"/>
        <v>0</v>
      </c>
      <c r="O484" s="32">
        <v>10</v>
      </c>
      <c r="P484" s="29">
        <f t="shared" si="57"/>
        <v>470</v>
      </c>
      <c r="Q484" s="31">
        <f t="shared" si="58"/>
        <v>1</v>
      </c>
      <c r="T484" s="3">
        <v>500</v>
      </c>
      <c r="U484" s="4"/>
      <c r="V484" s="4">
        <f t="shared" si="59"/>
        <v>4400</v>
      </c>
    </row>
    <row r="485" spans="2:22" x14ac:dyDescent="0.25">
      <c r="B485" s="1">
        <v>336</v>
      </c>
      <c r="C485" s="7">
        <v>15923456</v>
      </c>
      <c r="D485" s="2" t="s">
        <v>463</v>
      </c>
      <c r="E485" s="2" t="s">
        <v>610</v>
      </c>
      <c r="F485" s="2">
        <v>6777545</v>
      </c>
      <c r="G485" s="2" t="s">
        <v>854</v>
      </c>
      <c r="H485" s="5">
        <v>300</v>
      </c>
      <c r="I485">
        <v>5000</v>
      </c>
      <c r="J485" s="27">
        <f t="shared" si="54"/>
        <v>4450</v>
      </c>
      <c r="K485" s="3">
        <v>475</v>
      </c>
      <c r="L485" s="29">
        <f t="shared" si="55"/>
        <v>4275</v>
      </c>
      <c r="M485" s="30">
        <v>0.05</v>
      </c>
      <c r="N485" s="31">
        <f t="shared" si="56"/>
        <v>250</v>
      </c>
      <c r="O485" s="32">
        <v>10</v>
      </c>
      <c r="P485" s="29">
        <f t="shared" si="57"/>
        <v>445</v>
      </c>
      <c r="Q485" s="31">
        <f t="shared" si="58"/>
        <v>1</v>
      </c>
      <c r="T485" s="3">
        <v>475</v>
      </c>
      <c r="U485" s="4"/>
      <c r="V485" s="4">
        <f t="shared" si="59"/>
        <v>4150</v>
      </c>
    </row>
    <row r="486" spans="2:22" x14ac:dyDescent="0.25">
      <c r="B486" s="1">
        <v>337</v>
      </c>
      <c r="C486" s="7">
        <v>12481959</v>
      </c>
      <c r="D486" s="2" t="s">
        <v>464</v>
      </c>
      <c r="E486" s="2" t="s">
        <v>609</v>
      </c>
      <c r="F486" s="2">
        <v>4773410</v>
      </c>
      <c r="G486" s="2" t="s">
        <v>855</v>
      </c>
      <c r="H486" s="5"/>
      <c r="I486">
        <v>5000</v>
      </c>
      <c r="J486" s="27">
        <f t="shared" si="54"/>
        <v>5000</v>
      </c>
      <c r="K486" s="3">
        <v>500</v>
      </c>
      <c r="L486" s="29">
        <f t="shared" si="55"/>
        <v>4500</v>
      </c>
      <c r="M486" s="30">
        <v>0</v>
      </c>
      <c r="N486" s="31">
        <f t="shared" si="56"/>
        <v>0</v>
      </c>
      <c r="O486" s="32">
        <v>10</v>
      </c>
      <c r="P486" s="29">
        <f t="shared" si="57"/>
        <v>500</v>
      </c>
      <c r="Q486" s="31">
        <f t="shared" si="58"/>
        <v>1</v>
      </c>
      <c r="T486" s="3">
        <v>500</v>
      </c>
      <c r="U486" s="4">
        <v>500</v>
      </c>
      <c r="V486" s="4">
        <f t="shared" si="59"/>
        <v>4500</v>
      </c>
    </row>
    <row r="487" spans="2:22" x14ac:dyDescent="0.25">
      <c r="B487" s="1">
        <v>338</v>
      </c>
      <c r="C487" s="7">
        <v>12831713</v>
      </c>
      <c r="D487" s="2" t="s">
        <v>465</v>
      </c>
      <c r="E487" s="2" t="s">
        <v>618</v>
      </c>
      <c r="F487" s="2">
        <v>6829534019</v>
      </c>
      <c r="G487" s="2" t="s">
        <v>856</v>
      </c>
      <c r="H487" s="5"/>
      <c r="I487">
        <v>5000</v>
      </c>
      <c r="J487" s="27">
        <f t="shared" si="54"/>
        <v>5000</v>
      </c>
      <c r="K487" s="3">
        <v>500</v>
      </c>
      <c r="L487" s="29">
        <f t="shared" si="55"/>
        <v>4500</v>
      </c>
      <c r="M487" s="30">
        <v>0</v>
      </c>
      <c r="N487" s="31">
        <f t="shared" si="56"/>
        <v>0</v>
      </c>
      <c r="O487" s="32">
        <v>10</v>
      </c>
      <c r="P487" s="29">
        <f t="shared" si="57"/>
        <v>500</v>
      </c>
      <c r="Q487" s="31">
        <f t="shared" si="58"/>
        <v>1</v>
      </c>
      <c r="T487" s="3">
        <v>500</v>
      </c>
      <c r="U487" s="4"/>
      <c r="V487" s="4">
        <f t="shared" si="59"/>
        <v>5000</v>
      </c>
    </row>
    <row r="488" spans="2:22" x14ac:dyDescent="0.25">
      <c r="B488" s="1">
        <v>339</v>
      </c>
      <c r="C488" s="7">
        <v>15984913</v>
      </c>
      <c r="D488" s="2" t="s">
        <v>466</v>
      </c>
      <c r="E488" s="2" t="s">
        <v>606</v>
      </c>
      <c r="F488" s="2">
        <v>9862163</v>
      </c>
      <c r="G488" s="2" t="s">
        <v>857</v>
      </c>
      <c r="H488" s="5">
        <v>300</v>
      </c>
      <c r="I488">
        <v>5000</v>
      </c>
      <c r="J488" s="27">
        <f t="shared" si="54"/>
        <v>4450</v>
      </c>
      <c r="K488" s="3">
        <v>475</v>
      </c>
      <c r="L488" s="29">
        <f t="shared" si="55"/>
        <v>4275</v>
      </c>
      <c r="M488" s="30">
        <v>0.05</v>
      </c>
      <c r="N488" s="31">
        <f t="shared" si="56"/>
        <v>250</v>
      </c>
      <c r="O488" s="32">
        <v>10</v>
      </c>
      <c r="P488" s="29">
        <f t="shared" si="57"/>
        <v>445</v>
      </c>
      <c r="Q488" s="31">
        <f t="shared" si="58"/>
        <v>1</v>
      </c>
      <c r="T488" s="3">
        <v>475</v>
      </c>
      <c r="U488" s="4"/>
      <c r="V488" s="4">
        <f t="shared" si="59"/>
        <v>4150</v>
      </c>
    </row>
    <row r="489" spans="2:22" x14ac:dyDescent="0.25">
      <c r="B489" s="1">
        <v>339</v>
      </c>
      <c r="C489" s="7">
        <v>12604393</v>
      </c>
      <c r="D489" s="2" t="s">
        <v>467</v>
      </c>
      <c r="E489" s="2" t="s">
        <v>613</v>
      </c>
      <c r="F489" s="2">
        <v>9862164</v>
      </c>
      <c r="G489" s="2" t="s">
        <v>857</v>
      </c>
      <c r="H489" s="5">
        <v>300</v>
      </c>
      <c r="I489">
        <v>5000</v>
      </c>
      <c r="J489" s="27">
        <f t="shared" si="54"/>
        <v>4700</v>
      </c>
      <c r="K489" s="3">
        <v>500</v>
      </c>
      <c r="L489" s="29">
        <f t="shared" si="55"/>
        <v>4500</v>
      </c>
      <c r="M489" s="30">
        <v>0</v>
      </c>
      <c r="N489" s="31">
        <f t="shared" si="56"/>
        <v>0</v>
      </c>
      <c r="O489" s="32">
        <v>10</v>
      </c>
      <c r="P489" s="29">
        <f t="shared" si="57"/>
        <v>470</v>
      </c>
      <c r="Q489" s="31">
        <f t="shared" si="58"/>
        <v>1</v>
      </c>
      <c r="T489" s="3">
        <v>500</v>
      </c>
      <c r="U489" s="4"/>
      <c r="V489" s="4">
        <f t="shared" si="59"/>
        <v>4400</v>
      </c>
    </row>
    <row r="490" spans="2:22" x14ac:dyDescent="0.25">
      <c r="B490" s="1">
        <v>340</v>
      </c>
      <c r="C490" s="7">
        <v>14401103</v>
      </c>
      <c r="D490" s="2" t="s">
        <v>468</v>
      </c>
      <c r="E490" s="2" t="s">
        <v>610</v>
      </c>
      <c r="F490" s="2">
        <v>592567023</v>
      </c>
      <c r="G490" s="2" t="s">
        <v>858</v>
      </c>
      <c r="H490" s="5">
        <v>300</v>
      </c>
      <c r="I490">
        <v>5000</v>
      </c>
      <c r="J490" s="27">
        <f t="shared" si="54"/>
        <v>4700</v>
      </c>
      <c r="K490" s="3">
        <v>4750</v>
      </c>
      <c r="L490" s="29">
        <f t="shared" si="55"/>
        <v>250</v>
      </c>
      <c r="M490" s="30">
        <v>0</v>
      </c>
      <c r="N490" s="31">
        <f t="shared" si="56"/>
        <v>0</v>
      </c>
      <c r="O490" s="32">
        <v>10</v>
      </c>
      <c r="P490" s="29">
        <f t="shared" si="57"/>
        <v>470</v>
      </c>
      <c r="Q490" s="31">
        <f t="shared" si="58"/>
        <v>10</v>
      </c>
      <c r="T490" s="3">
        <v>4750</v>
      </c>
      <c r="U490" s="4">
        <v>4450</v>
      </c>
      <c r="V490" s="4">
        <f t="shared" si="59"/>
        <v>-50</v>
      </c>
    </row>
    <row r="491" spans="2:22" x14ac:dyDescent="0.25">
      <c r="B491" s="1">
        <v>340</v>
      </c>
      <c r="C491" s="7">
        <v>14401102</v>
      </c>
      <c r="D491" s="2" t="s">
        <v>469</v>
      </c>
      <c r="E491" s="2" t="s">
        <v>612</v>
      </c>
      <c r="F491" s="2">
        <v>592567024</v>
      </c>
      <c r="G491" s="2" t="s">
        <v>858</v>
      </c>
      <c r="H491" s="5">
        <v>300</v>
      </c>
      <c r="I491">
        <v>5000</v>
      </c>
      <c r="J491" s="27">
        <f t="shared" si="54"/>
        <v>4700</v>
      </c>
      <c r="K491" s="3">
        <v>4750</v>
      </c>
      <c r="L491" s="29">
        <f t="shared" si="55"/>
        <v>250</v>
      </c>
      <c r="M491" s="30">
        <v>0</v>
      </c>
      <c r="N491" s="31">
        <f t="shared" si="56"/>
        <v>0</v>
      </c>
      <c r="O491" s="32">
        <v>10</v>
      </c>
      <c r="P491" s="29">
        <f t="shared" si="57"/>
        <v>470</v>
      </c>
      <c r="Q491" s="31">
        <f t="shared" si="58"/>
        <v>10</v>
      </c>
      <c r="T491" s="3">
        <v>4750</v>
      </c>
      <c r="U491" s="4">
        <v>4450</v>
      </c>
      <c r="V491" s="4">
        <f t="shared" ref="V491:V513" si="60">J491-H491-U491</f>
        <v>-50</v>
      </c>
    </row>
    <row r="492" spans="2:22" x14ac:dyDescent="0.25">
      <c r="B492" s="1">
        <v>341</v>
      </c>
      <c r="C492" s="7">
        <v>11068205</v>
      </c>
      <c r="D492" s="2" t="s">
        <v>470</v>
      </c>
      <c r="E492" s="2" t="s">
        <v>619</v>
      </c>
      <c r="F492" s="2">
        <v>4775011</v>
      </c>
      <c r="G492" s="2" t="s">
        <v>859</v>
      </c>
      <c r="H492" s="5"/>
      <c r="I492">
        <v>5000</v>
      </c>
      <c r="J492" s="27">
        <f t="shared" si="54"/>
        <v>5000</v>
      </c>
      <c r="K492" s="3">
        <v>500</v>
      </c>
      <c r="L492" s="29">
        <f t="shared" si="55"/>
        <v>4500</v>
      </c>
      <c r="M492" s="30">
        <v>0</v>
      </c>
      <c r="N492" s="31">
        <f t="shared" si="56"/>
        <v>0</v>
      </c>
      <c r="O492" s="32">
        <v>10</v>
      </c>
      <c r="P492" s="29">
        <f t="shared" si="57"/>
        <v>500</v>
      </c>
      <c r="Q492" s="31">
        <f t="shared" si="58"/>
        <v>1</v>
      </c>
      <c r="T492" s="3">
        <v>500</v>
      </c>
      <c r="U492" s="4"/>
      <c r="V492" s="4">
        <f t="shared" si="60"/>
        <v>5000</v>
      </c>
    </row>
    <row r="493" spans="2:22" x14ac:dyDescent="0.25">
      <c r="B493" s="1">
        <v>342</v>
      </c>
      <c r="C493" s="7">
        <v>15319032</v>
      </c>
      <c r="D493" s="2" t="s">
        <v>471</v>
      </c>
      <c r="E493" s="2" t="s">
        <v>610</v>
      </c>
      <c r="F493" s="2">
        <v>8335423</v>
      </c>
      <c r="G493" s="2" t="s">
        <v>829</v>
      </c>
      <c r="H493" s="5">
        <v>300</v>
      </c>
      <c r="I493">
        <v>5000</v>
      </c>
      <c r="J493" s="27">
        <f t="shared" si="54"/>
        <v>4700</v>
      </c>
      <c r="K493" s="3">
        <v>500</v>
      </c>
      <c r="L493" s="29">
        <f t="shared" si="55"/>
        <v>4500</v>
      </c>
      <c r="M493" s="30">
        <v>0</v>
      </c>
      <c r="N493" s="31">
        <f t="shared" si="56"/>
        <v>0</v>
      </c>
      <c r="O493" s="32">
        <v>10</v>
      </c>
      <c r="P493" s="29">
        <f t="shared" si="57"/>
        <v>470</v>
      </c>
      <c r="Q493" s="31">
        <f t="shared" si="58"/>
        <v>1</v>
      </c>
      <c r="T493" s="3">
        <v>500</v>
      </c>
      <c r="U493" s="4"/>
      <c r="V493" s="4">
        <f t="shared" si="60"/>
        <v>4400</v>
      </c>
    </row>
    <row r="494" spans="2:22" x14ac:dyDescent="0.25">
      <c r="B494" s="1">
        <v>343</v>
      </c>
      <c r="C494" s="7">
        <v>16250354</v>
      </c>
      <c r="D494" s="2" t="s">
        <v>472</v>
      </c>
      <c r="E494" s="2" t="s">
        <v>607</v>
      </c>
      <c r="F494" s="2">
        <v>10064584</v>
      </c>
      <c r="G494" s="2" t="s">
        <v>860</v>
      </c>
      <c r="H494" s="5"/>
      <c r="I494">
        <v>5000</v>
      </c>
      <c r="J494" s="27">
        <f t="shared" si="54"/>
        <v>5000</v>
      </c>
      <c r="K494" s="3">
        <v>500</v>
      </c>
      <c r="L494" s="29">
        <f t="shared" si="55"/>
        <v>4500</v>
      </c>
      <c r="M494" s="30">
        <v>0</v>
      </c>
      <c r="N494" s="31">
        <f t="shared" si="56"/>
        <v>0</v>
      </c>
      <c r="O494" s="32">
        <v>10</v>
      </c>
      <c r="P494" s="29">
        <f t="shared" si="57"/>
        <v>500</v>
      </c>
      <c r="Q494" s="31">
        <f t="shared" si="58"/>
        <v>1</v>
      </c>
      <c r="T494" s="3">
        <v>500</v>
      </c>
      <c r="U494" s="4"/>
      <c r="V494" s="4">
        <f t="shared" si="60"/>
        <v>5000</v>
      </c>
    </row>
    <row r="495" spans="2:22" x14ac:dyDescent="0.25">
      <c r="B495" s="1">
        <v>344</v>
      </c>
      <c r="C495" s="7">
        <v>17188325</v>
      </c>
      <c r="D495" s="2" t="s">
        <v>473</v>
      </c>
      <c r="E495" s="2" t="s">
        <v>609</v>
      </c>
      <c r="F495" s="2">
        <v>6091273019</v>
      </c>
      <c r="G495" s="2" t="s">
        <v>689</v>
      </c>
      <c r="H495" s="5">
        <v>300</v>
      </c>
      <c r="I495">
        <v>5000</v>
      </c>
      <c r="J495" s="27">
        <f t="shared" si="54"/>
        <v>4700</v>
      </c>
      <c r="K495" s="3">
        <v>500</v>
      </c>
      <c r="L495" s="29">
        <f t="shared" si="55"/>
        <v>4500</v>
      </c>
      <c r="M495" s="30">
        <v>0</v>
      </c>
      <c r="N495" s="31">
        <f t="shared" si="56"/>
        <v>0</v>
      </c>
      <c r="O495" s="32">
        <v>10</v>
      </c>
      <c r="P495" s="29">
        <f t="shared" si="57"/>
        <v>470</v>
      </c>
      <c r="Q495" s="31">
        <f t="shared" si="58"/>
        <v>1</v>
      </c>
      <c r="T495" s="3">
        <v>500</v>
      </c>
      <c r="U495" s="4">
        <v>200</v>
      </c>
      <c r="V495" s="4">
        <f t="shared" si="60"/>
        <v>4200</v>
      </c>
    </row>
    <row r="496" spans="2:22" x14ac:dyDescent="0.25">
      <c r="B496" s="1">
        <v>344</v>
      </c>
      <c r="C496" s="7">
        <v>17188293</v>
      </c>
      <c r="D496" s="2" t="s">
        <v>474</v>
      </c>
      <c r="E496" s="2" t="s">
        <v>617</v>
      </c>
      <c r="F496" s="2">
        <v>6091273020</v>
      </c>
      <c r="G496" s="2" t="s">
        <v>689</v>
      </c>
      <c r="H496" s="5">
        <v>300</v>
      </c>
      <c r="I496">
        <v>5000</v>
      </c>
      <c r="J496" s="27">
        <f t="shared" si="54"/>
        <v>4450</v>
      </c>
      <c r="K496" s="3">
        <v>475</v>
      </c>
      <c r="L496" s="29">
        <f t="shared" si="55"/>
        <v>4275</v>
      </c>
      <c r="M496" s="30">
        <v>0.05</v>
      </c>
      <c r="N496" s="31">
        <f t="shared" si="56"/>
        <v>250</v>
      </c>
      <c r="O496" s="32">
        <v>10</v>
      </c>
      <c r="P496" s="29">
        <f t="shared" si="57"/>
        <v>445</v>
      </c>
      <c r="Q496" s="31">
        <f t="shared" si="58"/>
        <v>1</v>
      </c>
      <c r="T496" s="3">
        <v>475</v>
      </c>
      <c r="U496" s="4">
        <v>175</v>
      </c>
      <c r="V496" s="4">
        <f t="shared" si="60"/>
        <v>3975</v>
      </c>
    </row>
    <row r="497" spans="2:22" x14ac:dyDescent="0.25">
      <c r="B497" s="1">
        <v>344</v>
      </c>
      <c r="C497" s="7">
        <v>15330023</v>
      </c>
      <c r="D497" s="2" t="s">
        <v>475</v>
      </c>
      <c r="E497" s="2" t="s">
        <v>616</v>
      </c>
      <c r="F497" s="2">
        <v>6091273021</v>
      </c>
      <c r="G497" s="2" t="s">
        <v>689</v>
      </c>
      <c r="H497" s="5">
        <v>300</v>
      </c>
      <c r="I497">
        <v>5000</v>
      </c>
      <c r="J497" s="27">
        <f t="shared" si="54"/>
        <v>4200</v>
      </c>
      <c r="K497" s="3">
        <v>450</v>
      </c>
      <c r="L497" s="29">
        <f t="shared" si="55"/>
        <v>4050</v>
      </c>
      <c r="M497" s="30">
        <v>0.1</v>
      </c>
      <c r="N497" s="31">
        <f t="shared" si="56"/>
        <v>500</v>
      </c>
      <c r="O497" s="32">
        <v>10</v>
      </c>
      <c r="P497" s="29">
        <f t="shared" si="57"/>
        <v>420</v>
      </c>
      <c r="Q497" s="31">
        <f t="shared" si="58"/>
        <v>1</v>
      </c>
      <c r="T497" s="3">
        <v>450</v>
      </c>
      <c r="U497" s="4">
        <v>150</v>
      </c>
      <c r="V497" s="4">
        <f t="shared" si="60"/>
        <v>3750</v>
      </c>
    </row>
    <row r="498" spans="2:22" x14ac:dyDescent="0.25">
      <c r="B498" s="1">
        <v>345</v>
      </c>
      <c r="C498" s="7">
        <v>15291779</v>
      </c>
      <c r="D498" s="2" t="s">
        <v>476</v>
      </c>
      <c r="E498" s="2" t="s">
        <v>611</v>
      </c>
      <c r="F498" s="2">
        <v>6012679</v>
      </c>
      <c r="G498" s="2" t="s">
        <v>638</v>
      </c>
      <c r="H498" s="5"/>
      <c r="I498">
        <v>5000</v>
      </c>
      <c r="J498" s="27">
        <f t="shared" si="54"/>
        <v>5000</v>
      </c>
      <c r="K498" s="3">
        <v>500</v>
      </c>
      <c r="L498" s="29">
        <f t="shared" si="55"/>
        <v>4500</v>
      </c>
      <c r="M498" s="30">
        <v>0</v>
      </c>
      <c r="N498" s="31">
        <f t="shared" si="56"/>
        <v>0</v>
      </c>
      <c r="O498" s="32">
        <v>10</v>
      </c>
      <c r="P498" s="29">
        <f t="shared" si="57"/>
        <v>500</v>
      </c>
      <c r="Q498" s="31">
        <f t="shared" si="58"/>
        <v>1</v>
      </c>
      <c r="T498" s="3">
        <v>500</v>
      </c>
      <c r="U498" s="4"/>
      <c r="V498" s="4">
        <f t="shared" si="60"/>
        <v>5000</v>
      </c>
    </row>
    <row r="499" spans="2:22" x14ac:dyDescent="0.25">
      <c r="B499" s="1">
        <v>346</v>
      </c>
      <c r="C499" s="7">
        <v>15389115</v>
      </c>
      <c r="D499" s="2" t="s">
        <v>477</v>
      </c>
      <c r="E499" s="2" t="s">
        <v>610</v>
      </c>
      <c r="F499" s="2">
        <v>4367527</v>
      </c>
      <c r="G499" s="2" t="s">
        <v>678</v>
      </c>
      <c r="H499" s="5">
        <v>300</v>
      </c>
      <c r="I499">
        <v>5000</v>
      </c>
      <c r="J499" s="27">
        <f t="shared" si="54"/>
        <v>4700</v>
      </c>
      <c r="K499" s="3">
        <v>500</v>
      </c>
      <c r="L499" s="29">
        <f t="shared" si="55"/>
        <v>4500</v>
      </c>
      <c r="M499" s="30">
        <v>0</v>
      </c>
      <c r="N499" s="31">
        <f t="shared" si="56"/>
        <v>0</v>
      </c>
      <c r="O499" s="32">
        <v>10</v>
      </c>
      <c r="P499" s="29">
        <f t="shared" si="57"/>
        <v>470</v>
      </c>
      <c r="Q499" s="31">
        <f t="shared" si="58"/>
        <v>1</v>
      </c>
      <c r="T499" s="3">
        <v>500</v>
      </c>
      <c r="U499" s="4"/>
      <c r="V499" s="4">
        <f t="shared" si="60"/>
        <v>4400</v>
      </c>
    </row>
    <row r="500" spans="2:22" x14ac:dyDescent="0.25">
      <c r="B500" s="1">
        <v>347</v>
      </c>
      <c r="C500" s="7">
        <v>13494549</v>
      </c>
      <c r="D500" s="2" t="s">
        <v>478</v>
      </c>
      <c r="E500" s="2" t="s">
        <v>620</v>
      </c>
      <c r="F500" s="2">
        <v>4839273</v>
      </c>
      <c r="G500" s="2" t="s">
        <v>861</v>
      </c>
      <c r="H500" s="5"/>
      <c r="I500">
        <v>5000</v>
      </c>
      <c r="J500" s="27">
        <f t="shared" si="54"/>
        <v>5000</v>
      </c>
      <c r="K500" s="3">
        <v>500</v>
      </c>
      <c r="L500" s="29">
        <f t="shared" si="55"/>
        <v>4500</v>
      </c>
      <c r="M500" s="30">
        <v>0</v>
      </c>
      <c r="N500" s="31">
        <f t="shared" si="56"/>
        <v>0</v>
      </c>
      <c r="O500" s="32">
        <v>10</v>
      </c>
      <c r="P500" s="29">
        <f t="shared" si="57"/>
        <v>500</v>
      </c>
      <c r="Q500" s="31">
        <f t="shared" si="58"/>
        <v>1</v>
      </c>
      <c r="T500" s="3">
        <v>500</v>
      </c>
      <c r="U500" s="4"/>
      <c r="V500" s="4">
        <f t="shared" si="60"/>
        <v>5000</v>
      </c>
    </row>
    <row r="501" spans="2:22" x14ac:dyDescent="0.25">
      <c r="B501" s="1">
        <v>347</v>
      </c>
      <c r="C501" s="7">
        <v>15124379</v>
      </c>
      <c r="D501" s="2" t="s">
        <v>479</v>
      </c>
      <c r="E501" s="2" t="s">
        <v>621</v>
      </c>
      <c r="F501" s="2">
        <v>4839274</v>
      </c>
      <c r="G501" s="2" t="s">
        <v>861</v>
      </c>
      <c r="H501" s="5"/>
      <c r="I501">
        <v>5000</v>
      </c>
      <c r="J501" s="27">
        <f t="shared" si="54"/>
        <v>4750</v>
      </c>
      <c r="K501" s="3">
        <v>475</v>
      </c>
      <c r="L501" s="29">
        <f t="shared" si="55"/>
        <v>4275</v>
      </c>
      <c r="M501" s="30">
        <v>0.05</v>
      </c>
      <c r="N501" s="31">
        <f t="shared" si="56"/>
        <v>250</v>
      </c>
      <c r="O501" s="32">
        <v>10</v>
      </c>
      <c r="P501" s="29">
        <f t="shared" si="57"/>
        <v>475</v>
      </c>
      <c r="Q501" s="31">
        <f t="shared" si="58"/>
        <v>1</v>
      </c>
      <c r="T501" s="3">
        <v>475</v>
      </c>
      <c r="U501" s="4"/>
      <c r="V501" s="4">
        <f t="shared" si="60"/>
        <v>4750</v>
      </c>
    </row>
    <row r="502" spans="2:22" x14ac:dyDescent="0.25">
      <c r="B502" s="1">
        <v>348</v>
      </c>
      <c r="C502" s="7">
        <v>15547656</v>
      </c>
      <c r="D502" s="2" t="s">
        <v>480</v>
      </c>
      <c r="E502" s="2" t="s">
        <v>616</v>
      </c>
      <c r="F502" s="2">
        <v>7001740</v>
      </c>
      <c r="G502" s="2" t="s">
        <v>862</v>
      </c>
      <c r="H502" s="5"/>
      <c r="I502">
        <v>5000</v>
      </c>
      <c r="J502" s="27">
        <f t="shared" si="54"/>
        <v>5000</v>
      </c>
      <c r="K502" s="3">
        <v>500</v>
      </c>
      <c r="L502" s="29">
        <f t="shared" si="55"/>
        <v>4500</v>
      </c>
      <c r="M502" s="30">
        <v>0</v>
      </c>
      <c r="N502" s="31">
        <f t="shared" si="56"/>
        <v>0</v>
      </c>
      <c r="O502" s="32">
        <v>10</v>
      </c>
      <c r="P502" s="29">
        <f t="shared" si="57"/>
        <v>500</v>
      </c>
      <c r="Q502" s="31">
        <f t="shared" si="58"/>
        <v>1</v>
      </c>
      <c r="T502" s="3">
        <v>500</v>
      </c>
      <c r="U502" s="4"/>
      <c r="V502" s="4">
        <f t="shared" si="60"/>
        <v>5000</v>
      </c>
    </row>
    <row r="503" spans="2:22" x14ac:dyDescent="0.25">
      <c r="B503" s="1">
        <v>348</v>
      </c>
      <c r="C503" s="7">
        <v>16780947</v>
      </c>
      <c r="D503" s="2" t="s">
        <v>481</v>
      </c>
      <c r="E503" s="2" t="s">
        <v>608</v>
      </c>
      <c r="F503" s="2">
        <v>7001741</v>
      </c>
      <c r="G503" s="2" t="s">
        <v>862</v>
      </c>
      <c r="H503" s="5"/>
      <c r="I503">
        <v>5000</v>
      </c>
      <c r="J503" s="27">
        <f t="shared" si="54"/>
        <v>4750</v>
      </c>
      <c r="K503" s="3">
        <v>475</v>
      </c>
      <c r="L503" s="29">
        <f t="shared" si="55"/>
        <v>4275</v>
      </c>
      <c r="M503" s="30">
        <v>0.05</v>
      </c>
      <c r="N503" s="31">
        <f t="shared" si="56"/>
        <v>250</v>
      </c>
      <c r="O503" s="32">
        <v>10</v>
      </c>
      <c r="P503" s="29">
        <f t="shared" si="57"/>
        <v>475</v>
      </c>
      <c r="Q503" s="31">
        <f t="shared" si="58"/>
        <v>1</v>
      </c>
      <c r="T503" s="3">
        <v>475</v>
      </c>
      <c r="U503" s="4"/>
      <c r="V503" s="4">
        <f t="shared" si="60"/>
        <v>4750</v>
      </c>
    </row>
    <row r="504" spans="2:22" x14ac:dyDescent="0.25">
      <c r="B504" s="1">
        <v>349</v>
      </c>
      <c r="C504" s="7">
        <v>13696749</v>
      </c>
      <c r="D504" s="2" t="s">
        <v>482</v>
      </c>
      <c r="E504" s="2" t="s">
        <v>609</v>
      </c>
      <c r="F504" s="2">
        <v>6033831</v>
      </c>
      <c r="G504" s="2" t="s">
        <v>863</v>
      </c>
      <c r="H504" s="5">
        <v>300</v>
      </c>
      <c r="I504">
        <v>5000</v>
      </c>
      <c r="J504" s="27">
        <f t="shared" si="54"/>
        <v>4700</v>
      </c>
      <c r="K504" s="3">
        <v>500</v>
      </c>
      <c r="L504" s="29">
        <f t="shared" si="55"/>
        <v>4500</v>
      </c>
      <c r="M504" s="30">
        <v>0</v>
      </c>
      <c r="N504" s="31">
        <f t="shared" si="56"/>
        <v>0</v>
      </c>
      <c r="O504" s="32">
        <v>10</v>
      </c>
      <c r="P504" s="29">
        <f t="shared" si="57"/>
        <v>470</v>
      </c>
      <c r="Q504" s="31">
        <f t="shared" si="58"/>
        <v>1</v>
      </c>
      <c r="T504" s="3">
        <v>500</v>
      </c>
      <c r="U504" s="4"/>
      <c r="V504" s="4">
        <f t="shared" si="60"/>
        <v>4400</v>
      </c>
    </row>
    <row r="505" spans="2:22" x14ac:dyDescent="0.25">
      <c r="B505" s="1">
        <v>350</v>
      </c>
      <c r="C505" s="7">
        <v>13494519</v>
      </c>
      <c r="D505" s="2" t="s">
        <v>483</v>
      </c>
      <c r="E505" s="2" t="s">
        <v>612</v>
      </c>
      <c r="F505" s="2">
        <v>5983950012</v>
      </c>
      <c r="G505" s="2" t="s">
        <v>864</v>
      </c>
      <c r="H505" s="5"/>
      <c r="I505">
        <v>5000</v>
      </c>
      <c r="J505" s="27">
        <f t="shared" si="54"/>
        <v>5000</v>
      </c>
      <c r="K505" s="3">
        <v>500</v>
      </c>
      <c r="L505" s="29">
        <f t="shared" si="55"/>
        <v>4500</v>
      </c>
      <c r="M505" s="30">
        <v>0</v>
      </c>
      <c r="N505" s="31">
        <f t="shared" si="56"/>
        <v>0</v>
      </c>
      <c r="O505" s="32">
        <v>10</v>
      </c>
      <c r="P505" s="29">
        <f t="shared" si="57"/>
        <v>500</v>
      </c>
      <c r="Q505" s="31">
        <f t="shared" si="58"/>
        <v>1</v>
      </c>
      <c r="T505" s="3">
        <v>500</v>
      </c>
      <c r="U505" s="4">
        <v>500</v>
      </c>
      <c r="V505" s="4">
        <f t="shared" si="60"/>
        <v>4500</v>
      </c>
    </row>
    <row r="506" spans="2:22" x14ac:dyDescent="0.25">
      <c r="B506" s="1">
        <v>351</v>
      </c>
      <c r="C506" s="7">
        <v>14937547</v>
      </c>
      <c r="D506" s="2" t="s">
        <v>484</v>
      </c>
      <c r="E506" s="2" t="s">
        <v>613</v>
      </c>
      <c r="F506" s="2">
        <v>7001235</v>
      </c>
      <c r="G506" s="2" t="s">
        <v>683</v>
      </c>
      <c r="H506" s="5">
        <v>300</v>
      </c>
      <c r="I506">
        <v>5000</v>
      </c>
      <c r="J506" s="27">
        <f t="shared" si="54"/>
        <v>4700</v>
      </c>
      <c r="K506" s="3">
        <v>2500</v>
      </c>
      <c r="L506" s="29">
        <f t="shared" si="55"/>
        <v>2500</v>
      </c>
      <c r="M506" s="30">
        <v>0</v>
      </c>
      <c r="N506" s="31">
        <f t="shared" si="56"/>
        <v>0</v>
      </c>
      <c r="O506" s="32">
        <v>10</v>
      </c>
      <c r="P506" s="29">
        <f t="shared" si="57"/>
        <v>470</v>
      </c>
      <c r="Q506" s="31">
        <f t="shared" si="58"/>
        <v>5</v>
      </c>
      <c r="T506" s="3">
        <v>2500</v>
      </c>
      <c r="U506" s="4"/>
      <c r="V506" s="4">
        <f t="shared" si="60"/>
        <v>4400</v>
      </c>
    </row>
    <row r="507" spans="2:22" x14ac:dyDescent="0.25">
      <c r="B507" s="1">
        <v>351</v>
      </c>
      <c r="C507" s="7">
        <v>15184912</v>
      </c>
      <c r="D507" s="2" t="s">
        <v>485</v>
      </c>
      <c r="E507" s="2" t="s">
        <v>607</v>
      </c>
      <c r="F507" s="2">
        <v>7001235</v>
      </c>
      <c r="G507" s="2" t="s">
        <v>683</v>
      </c>
      <c r="H507" s="5">
        <v>300</v>
      </c>
      <c r="I507">
        <v>5000</v>
      </c>
      <c r="J507" s="27">
        <f t="shared" si="54"/>
        <v>4700</v>
      </c>
      <c r="K507" s="3">
        <v>2375</v>
      </c>
      <c r="L507" s="29">
        <f t="shared" si="55"/>
        <v>2625</v>
      </c>
      <c r="M507" s="30">
        <v>0</v>
      </c>
      <c r="N507" s="31">
        <f t="shared" si="56"/>
        <v>0</v>
      </c>
      <c r="O507" s="32">
        <v>10</v>
      </c>
      <c r="P507" s="29">
        <f t="shared" si="57"/>
        <v>470</v>
      </c>
      <c r="Q507" s="31">
        <f t="shared" si="58"/>
        <v>5</v>
      </c>
      <c r="T507" s="3">
        <v>2375</v>
      </c>
      <c r="U507" s="4"/>
      <c r="V507" s="4">
        <f t="shared" si="60"/>
        <v>4400</v>
      </c>
    </row>
    <row r="508" spans="2:22" x14ac:dyDescent="0.25">
      <c r="B508" s="1">
        <v>352</v>
      </c>
      <c r="C508" s="7">
        <v>13634407</v>
      </c>
      <c r="D508" s="2" t="s">
        <v>486</v>
      </c>
      <c r="E508" s="2" t="s">
        <v>611</v>
      </c>
      <c r="F508" s="2">
        <v>4926591013</v>
      </c>
      <c r="G508" s="2" t="s">
        <v>683</v>
      </c>
      <c r="H508" s="5"/>
      <c r="I508">
        <v>5000</v>
      </c>
      <c r="J508" s="27">
        <f t="shared" si="54"/>
        <v>5000</v>
      </c>
      <c r="K508" s="3">
        <v>500</v>
      </c>
      <c r="L508" s="29">
        <f t="shared" si="55"/>
        <v>4500</v>
      </c>
      <c r="M508" s="30">
        <v>0</v>
      </c>
      <c r="N508" s="31">
        <f t="shared" si="56"/>
        <v>0</v>
      </c>
      <c r="O508" s="32">
        <v>10</v>
      </c>
      <c r="P508" s="29">
        <f t="shared" si="57"/>
        <v>500</v>
      </c>
      <c r="Q508" s="31">
        <f t="shared" si="58"/>
        <v>1</v>
      </c>
      <c r="T508" s="3">
        <v>500</v>
      </c>
      <c r="U508" s="4">
        <v>500</v>
      </c>
      <c r="V508" s="4">
        <f t="shared" si="60"/>
        <v>4500</v>
      </c>
    </row>
    <row r="509" spans="2:22" x14ac:dyDescent="0.25">
      <c r="B509" s="1">
        <v>352</v>
      </c>
      <c r="C509" s="7">
        <v>15230284</v>
      </c>
      <c r="D509" s="2" t="s">
        <v>487</v>
      </c>
      <c r="E509" s="2" t="s">
        <v>622</v>
      </c>
      <c r="F509" s="2">
        <v>4926591014</v>
      </c>
      <c r="G509" s="2" t="s">
        <v>683</v>
      </c>
      <c r="H509" s="5"/>
      <c r="I509">
        <v>5000</v>
      </c>
      <c r="J509" s="27">
        <f t="shared" si="54"/>
        <v>4750</v>
      </c>
      <c r="K509" s="3">
        <v>475</v>
      </c>
      <c r="L509" s="29">
        <f t="shared" si="55"/>
        <v>4275</v>
      </c>
      <c r="M509" s="30">
        <v>0.05</v>
      </c>
      <c r="N509" s="31">
        <f t="shared" si="56"/>
        <v>250</v>
      </c>
      <c r="O509" s="32">
        <v>10</v>
      </c>
      <c r="P509" s="29">
        <f t="shared" si="57"/>
        <v>475</v>
      </c>
      <c r="Q509" s="31">
        <f t="shared" si="58"/>
        <v>1</v>
      </c>
      <c r="T509" s="3">
        <v>475</v>
      </c>
      <c r="U509" s="4">
        <v>475</v>
      </c>
      <c r="V509" s="4">
        <f t="shared" si="60"/>
        <v>4275</v>
      </c>
    </row>
    <row r="510" spans="2:22" x14ac:dyDescent="0.25">
      <c r="B510" s="1">
        <v>353</v>
      </c>
      <c r="C510" s="7">
        <v>14651015</v>
      </c>
      <c r="D510" s="2" t="s">
        <v>488</v>
      </c>
      <c r="E510" s="2" t="s">
        <v>623</v>
      </c>
      <c r="F510" s="2">
        <v>7094493014</v>
      </c>
      <c r="G510" s="2" t="s">
        <v>775</v>
      </c>
      <c r="H510" s="5"/>
      <c r="I510">
        <v>5000</v>
      </c>
      <c r="J510" s="27">
        <f t="shared" si="54"/>
        <v>5000</v>
      </c>
      <c r="K510" s="3">
        <v>500</v>
      </c>
      <c r="L510" s="29">
        <f t="shared" si="55"/>
        <v>4500</v>
      </c>
      <c r="M510" s="30">
        <v>0</v>
      </c>
      <c r="N510" s="31">
        <f t="shared" si="56"/>
        <v>0</v>
      </c>
      <c r="O510" s="32">
        <v>10</v>
      </c>
      <c r="P510" s="29">
        <f t="shared" si="57"/>
        <v>500</v>
      </c>
      <c r="Q510" s="31">
        <f t="shared" si="58"/>
        <v>1</v>
      </c>
      <c r="T510" s="3">
        <v>500</v>
      </c>
      <c r="U510" s="4"/>
      <c r="V510" s="4">
        <f t="shared" si="60"/>
        <v>5000</v>
      </c>
    </row>
    <row r="511" spans="2:22" x14ac:dyDescent="0.25">
      <c r="B511" s="1">
        <v>353</v>
      </c>
      <c r="C511" s="7">
        <v>15171641</v>
      </c>
      <c r="D511" s="2" t="s">
        <v>489</v>
      </c>
      <c r="E511" s="2" t="s">
        <v>607</v>
      </c>
      <c r="F511" s="2">
        <v>7094493015</v>
      </c>
      <c r="G511" s="2" t="s">
        <v>775</v>
      </c>
      <c r="H511" s="5"/>
      <c r="I511">
        <v>5000</v>
      </c>
      <c r="J511" s="27">
        <f t="shared" si="54"/>
        <v>4750</v>
      </c>
      <c r="K511" s="3">
        <v>475</v>
      </c>
      <c r="L511" s="29">
        <f t="shared" si="55"/>
        <v>4275</v>
      </c>
      <c r="M511" s="30">
        <v>0.05</v>
      </c>
      <c r="N511" s="31">
        <f t="shared" si="56"/>
        <v>250</v>
      </c>
      <c r="O511" s="32">
        <v>10</v>
      </c>
      <c r="P511" s="29">
        <f t="shared" si="57"/>
        <v>475</v>
      </c>
      <c r="Q511" s="31">
        <f t="shared" si="58"/>
        <v>1</v>
      </c>
      <c r="T511" s="3">
        <v>475</v>
      </c>
      <c r="U511" s="4"/>
      <c r="V511" s="4">
        <f t="shared" si="60"/>
        <v>4750</v>
      </c>
    </row>
    <row r="512" spans="2:22" x14ac:dyDescent="0.25">
      <c r="B512" s="1">
        <v>354</v>
      </c>
      <c r="C512" s="7">
        <v>15210415</v>
      </c>
      <c r="D512" s="2" t="s">
        <v>490</v>
      </c>
      <c r="E512" s="2" t="s">
        <v>607</v>
      </c>
      <c r="F512" s="2">
        <v>678365</v>
      </c>
      <c r="G512" s="2" t="s">
        <v>683</v>
      </c>
      <c r="H512" s="5">
        <v>300</v>
      </c>
      <c r="I512">
        <v>5000</v>
      </c>
      <c r="J512" s="27">
        <f t="shared" si="54"/>
        <v>4450</v>
      </c>
      <c r="K512" s="3">
        <v>475</v>
      </c>
      <c r="L512" s="29">
        <f t="shared" si="55"/>
        <v>4275</v>
      </c>
      <c r="M512" s="30">
        <v>0.05</v>
      </c>
      <c r="N512" s="31">
        <f t="shared" si="56"/>
        <v>250</v>
      </c>
      <c r="O512" s="32">
        <v>10</v>
      </c>
      <c r="P512" s="29">
        <f t="shared" si="57"/>
        <v>445</v>
      </c>
      <c r="Q512" s="31">
        <f t="shared" si="58"/>
        <v>1</v>
      </c>
      <c r="T512" s="3">
        <v>475</v>
      </c>
      <c r="U512" s="4"/>
      <c r="V512" s="4">
        <f t="shared" si="60"/>
        <v>4150</v>
      </c>
    </row>
    <row r="513" spans="2:22" x14ac:dyDescent="0.25">
      <c r="B513" s="1">
        <v>354</v>
      </c>
      <c r="C513" s="7">
        <v>11542648</v>
      </c>
      <c r="D513" s="2" t="s">
        <v>491</v>
      </c>
      <c r="E513" s="2" t="s">
        <v>615</v>
      </c>
      <c r="F513" s="2">
        <v>678366</v>
      </c>
      <c r="G513" s="2" t="s">
        <v>683</v>
      </c>
      <c r="H513" s="5">
        <v>300</v>
      </c>
      <c r="I513">
        <v>5000</v>
      </c>
      <c r="J513" s="27">
        <f t="shared" si="54"/>
        <v>4700</v>
      </c>
      <c r="K513" s="3">
        <v>500</v>
      </c>
      <c r="L513" s="29">
        <f t="shared" si="55"/>
        <v>4500</v>
      </c>
      <c r="M513" s="30">
        <v>0</v>
      </c>
      <c r="N513" s="31">
        <f t="shared" si="56"/>
        <v>0</v>
      </c>
      <c r="O513" s="32">
        <v>10</v>
      </c>
      <c r="P513" s="29">
        <f t="shared" si="57"/>
        <v>470</v>
      </c>
      <c r="Q513" s="31">
        <f t="shared" si="58"/>
        <v>1</v>
      </c>
      <c r="T513" s="3">
        <v>500</v>
      </c>
      <c r="U513" s="4"/>
      <c r="V513" s="4">
        <f t="shared" si="60"/>
        <v>4400</v>
      </c>
    </row>
    <row r="514" spans="2:22" x14ac:dyDescent="0.25">
      <c r="B514" s="1"/>
      <c r="C514" s="6"/>
      <c r="D514" s="2" t="s">
        <v>492</v>
      </c>
      <c r="E514" s="12" t="s">
        <v>610</v>
      </c>
      <c r="F514" s="12"/>
      <c r="G514" s="12"/>
      <c r="H514" s="5"/>
      <c r="I514">
        <v>5000</v>
      </c>
      <c r="J514" s="27">
        <v>5000</v>
      </c>
      <c r="K514" s="3">
        <v>500</v>
      </c>
      <c r="L514" s="29">
        <f t="shared" si="55"/>
        <v>4500</v>
      </c>
      <c r="M514" s="30">
        <v>0</v>
      </c>
      <c r="N514" s="31">
        <f t="shared" si="56"/>
        <v>0</v>
      </c>
      <c r="O514" s="32">
        <v>10</v>
      </c>
      <c r="P514" s="29">
        <f t="shared" si="57"/>
        <v>500</v>
      </c>
      <c r="Q514" s="31">
        <f t="shared" si="58"/>
        <v>1</v>
      </c>
      <c r="T514" s="3"/>
      <c r="U514" s="4"/>
      <c r="V514" s="4">
        <f>K514-H514-U514</f>
        <v>500</v>
      </c>
    </row>
    <row r="515" spans="2:22" x14ac:dyDescent="0.25">
      <c r="B515" s="1"/>
      <c r="C515" s="6"/>
      <c r="D515" s="2" t="s">
        <v>493</v>
      </c>
      <c r="E515" s="12" t="s">
        <v>606</v>
      </c>
      <c r="F515" s="12"/>
      <c r="G515" s="12"/>
      <c r="H515" s="5"/>
      <c r="I515">
        <v>5000</v>
      </c>
      <c r="J515" s="27">
        <v>5000</v>
      </c>
      <c r="K515" s="3">
        <v>5000</v>
      </c>
      <c r="L515" s="29">
        <f t="shared" ref="L515:L571" si="61">(I515-N515)-K515</f>
        <v>0</v>
      </c>
      <c r="M515" s="30">
        <v>0</v>
      </c>
      <c r="N515" s="31">
        <f t="shared" ref="N515:N571" si="62">I515*M515</f>
        <v>0</v>
      </c>
      <c r="O515" s="32">
        <v>10</v>
      </c>
      <c r="P515" s="29">
        <f t="shared" ref="P515:P571" si="63">J515/O515</f>
        <v>500</v>
      </c>
      <c r="Q515" s="31">
        <f t="shared" ref="Q515:Q571" si="64">INT(K515/P515)</f>
        <v>10</v>
      </c>
      <c r="T515" s="3"/>
      <c r="U515" s="4"/>
      <c r="V515" s="4">
        <f>K515-H515-U515</f>
        <v>5000</v>
      </c>
    </row>
    <row r="516" spans="2:22" x14ac:dyDescent="0.25">
      <c r="B516" s="1"/>
      <c r="C516" s="6"/>
      <c r="D516" s="2" t="s">
        <v>494</v>
      </c>
      <c r="E516" s="12" t="s">
        <v>616</v>
      </c>
      <c r="F516" s="12"/>
      <c r="G516" s="12"/>
      <c r="H516" s="5"/>
      <c r="I516">
        <v>5000</v>
      </c>
      <c r="J516" s="27">
        <v>5000</v>
      </c>
      <c r="K516" s="3">
        <v>5000</v>
      </c>
      <c r="L516" s="29">
        <f t="shared" si="61"/>
        <v>0</v>
      </c>
      <c r="M516" s="30">
        <v>0</v>
      </c>
      <c r="N516" s="31">
        <f t="shared" si="62"/>
        <v>0</v>
      </c>
      <c r="O516" s="32">
        <v>10</v>
      </c>
      <c r="P516" s="29">
        <f t="shared" si="63"/>
        <v>500</v>
      </c>
      <c r="Q516" s="31">
        <f t="shared" si="64"/>
        <v>10</v>
      </c>
      <c r="T516" s="3"/>
      <c r="U516" s="4"/>
      <c r="V516" s="4">
        <f>K516-H516-U516</f>
        <v>5000</v>
      </c>
    </row>
    <row r="517" spans="2:22" x14ac:dyDescent="0.25">
      <c r="B517" s="1"/>
      <c r="C517" s="6"/>
      <c r="D517" s="2" t="s">
        <v>495</v>
      </c>
      <c r="E517" s="12" t="s">
        <v>627</v>
      </c>
      <c r="F517" s="12"/>
      <c r="G517" s="12"/>
      <c r="H517" s="5"/>
      <c r="I517">
        <v>5000</v>
      </c>
      <c r="J517" s="27">
        <v>5000</v>
      </c>
      <c r="K517" s="3">
        <v>5000</v>
      </c>
      <c r="L517" s="29">
        <f t="shared" si="61"/>
        <v>0</v>
      </c>
      <c r="M517" s="30">
        <v>0</v>
      </c>
      <c r="N517" s="31">
        <f t="shared" si="62"/>
        <v>0</v>
      </c>
      <c r="O517" s="32">
        <v>10</v>
      </c>
      <c r="P517" s="29">
        <f t="shared" si="63"/>
        <v>500</v>
      </c>
      <c r="Q517" s="31">
        <f t="shared" si="64"/>
        <v>10</v>
      </c>
      <c r="T517" s="3"/>
      <c r="U517" s="4"/>
      <c r="V517" s="4">
        <f>K517-H517-U517</f>
        <v>5000</v>
      </c>
    </row>
    <row r="518" spans="2:22" x14ac:dyDescent="0.25">
      <c r="B518" s="1">
        <v>355</v>
      </c>
      <c r="C518" s="7">
        <v>13695661</v>
      </c>
      <c r="D518" s="2" t="s">
        <v>496</v>
      </c>
      <c r="E518" s="2" t="s">
        <v>609</v>
      </c>
      <c r="F518" s="2">
        <v>2534800</v>
      </c>
      <c r="G518" s="2" t="s">
        <v>865</v>
      </c>
      <c r="H518" s="5">
        <v>300</v>
      </c>
      <c r="I518">
        <v>5000</v>
      </c>
      <c r="J518" s="27">
        <f t="shared" ref="J518:J570" si="65">I518-H518-N518</f>
        <v>4700</v>
      </c>
      <c r="K518" s="3">
        <v>4750</v>
      </c>
      <c r="L518" s="29">
        <f t="shared" si="61"/>
        <v>250</v>
      </c>
      <c r="M518" s="30">
        <v>0</v>
      </c>
      <c r="N518" s="31">
        <f t="shared" si="62"/>
        <v>0</v>
      </c>
      <c r="O518" s="32">
        <v>10</v>
      </c>
      <c r="P518" s="29">
        <f t="shared" si="63"/>
        <v>470</v>
      </c>
      <c r="Q518" s="31">
        <f t="shared" si="64"/>
        <v>10</v>
      </c>
      <c r="T518" s="3">
        <v>4750</v>
      </c>
      <c r="U518" s="4"/>
      <c r="V518" s="4">
        <f>J518-H518-U518</f>
        <v>4400</v>
      </c>
    </row>
    <row r="519" spans="2:22" x14ac:dyDescent="0.25">
      <c r="B519" s="1">
        <v>356</v>
      </c>
      <c r="C519" s="6"/>
      <c r="D519" s="2" t="s">
        <v>99</v>
      </c>
      <c r="E519" s="12"/>
      <c r="F519" s="12"/>
      <c r="G519" s="12"/>
      <c r="H519" s="5"/>
      <c r="I519">
        <v>5000</v>
      </c>
      <c r="J519" s="27">
        <f t="shared" si="65"/>
        <v>5000</v>
      </c>
      <c r="K519" s="3">
        <v>0</v>
      </c>
      <c r="L519" s="29">
        <f t="shared" si="61"/>
        <v>5000</v>
      </c>
      <c r="M519" s="30">
        <v>0</v>
      </c>
      <c r="N519" s="31">
        <f t="shared" si="62"/>
        <v>0</v>
      </c>
      <c r="O519" s="32">
        <v>10</v>
      </c>
      <c r="P519" s="29">
        <f t="shared" si="63"/>
        <v>500</v>
      </c>
      <c r="Q519" s="31">
        <f t="shared" si="64"/>
        <v>0</v>
      </c>
      <c r="T519" s="3">
        <v>0</v>
      </c>
      <c r="U519" s="4"/>
      <c r="V519" s="4">
        <v>0</v>
      </c>
    </row>
    <row r="520" spans="2:22" x14ac:dyDescent="0.25">
      <c r="B520" s="1">
        <v>357</v>
      </c>
      <c r="C520" s="7">
        <v>15261374</v>
      </c>
      <c r="D520" s="2" t="s">
        <v>497</v>
      </c>
      <c r="E520" s="2" t="s">
        <v>615</v>
      </c>
      <c r="F520" s="2">
        <v>9115522</v>
      </c>
      <c r="G520" s="2" t="s">
        <v>866</v>
      </c>
      <c r="H520" s="5">
        <v>300</v>
      </c>
      <c r="I520">
        <v>5000</v>
      </c>
      <c r="J520" s="27">
        <f t="shared" si="65"/>
        <v>4700</v>
      </c>
      <c r="K520" s="3">
        <v>4750</v>
      </c>
      <c r="L520" s="29">
        <f t="shared" si="61"/>
        <v>250</v>
      </c>
      <c r="M520" s="30">
        <v>0</v>
      </c>
      <c r="N520" s="31">
        <f t="shared" si="62"/>
        <v>0</v>
      </c>
      <c r="O520" s="32">
        <v>10</v>
      </c>
      <c r="P520" s="29">
        <f t="shared" si="63"/>
        <v>470</v>
      </c>
      <c r="Q520" s="31">
        <f t="shared" si="64"/>
        <v>10</v>
      </c>
      <c r="T520" s="3">
        <v>4750</v>
      </c>
      <c r="U520" s="4"/>
      <c r="V520" s="4">
        <f t="shared" ref="V520:V532" si="66">J520-H520-U520</f>
        <v>4400</v>
      </c>
    </row>
    <row r="521" spans="2:22" x14ac:dyDescent="0.25">
      <c r="B521" s="1">
        <v>358</v>
      </c>
      <c r="C521" s="7">
        <v>15502456</v>
      </c>
      <c r="D521" s="2" t="s">
        <v>498</v>
      </c>
      <c r="E521" s="2" t="s">
        <v>616</v>
      </c>
      <c r="F521" s="2">
        <v>10807294</v>
      </c>
      <c r="G521" s="2" t="s">
        <v>867</v>
      </c>
      <c r="H521" s="5"/>
      <c r="I521">
        <v>5000</v>
      </c>
      <c r="J521" s="27">
        <f t="shared" si="65"/>
        <v>5000</v>
      </c>
      <c r="K521" s="3">
        <v>500</v>
      </c>
      <c r="L521" s="29">
        <f t="shared" si="61"/>
        <v>4500</v>
      </c>
      <c r="M521" s="30">
        <v>0</v>
      </c>
      <c r="N521" s="31">
        <f t="shared" si="62"/>
        <v>0</v>
      </c>
      <c r="O521" s="32">
        <v>10</v>
      </c>
      <c r="P521" s="29">
        <f t="shared" si="63"/>
        <v>500</v>
      </c>
      <c r="Q521" s="31">
        <f t="shared" si="64"/>
        <v>1</v>
      </c>
      <c r="T521" s="3">
        <v>500</v>
      </c>
      <c r="U521" s="4"/>
      <c r="V521" s="4">
        <f t="shared" si="66"/>
        <v>5000</v>
      </c>
    </row>
    <row r="522" spans="2:22" x14ac:dyDescent="0.25">
      <c r="B522" s="1">
        <v>359</v>
      </c>
      <c r="C522" s="7">
        <v>14044204</v>
      </c>
      <c r="D522" s="2" t="s">
        <v>499</v>
      </c>
      <c r="E522" s="2" t="s">
        <v>610</v>
      </c>
      <c r="F522" s="2">
        <v>8441090</v>
      </c>
      <c r="G522" s="2" t="s">
        <v>868</v>
      </c>
      <c r="H522" s="5"/>
      <c r="I522">
        <v>5000</v>
      </c>
      <c r="J522" s="27">
        <f t="shared" si="65"/>
        <v>5000</v>
      </c>
      <c r="K522" s="3">
        <v>500</v>
      </c>
      <c r="L522" s="29">
        <f t="shared" si="61"/>
        <v>4500</v>
      </c>
      <c r="M522" s="30">
        <v>0</v>
      </c>
      <c r="N522" s="31">
        <f t="shared" si="62"/>
        <v>0</v>
      </c>
      <c r="O522" s="32">
        <v>10</v>
      </c>
      <c r="P522" s="29">
        <f t="shared" si="63"/>
        <v>500</v>
      </c>
      <c r="Q522" s="31">
        <f t="shared" si="64"/>
        <v>1</v>
      </c>
      <c r="T522" s="3">
        <v>500</v>
      </c>
      <c r="U522" s="4"/>
      <c r="V522" s="4">
        <f t="shared" si="66"/>
        <v>5000</v>
      </c>
    </row>
    <row r="523" spans="2:22" x14ac:dyDescent="0.25">
      <c r="B523" s="1">
        <v>360</v>
      </c>
      <c r="C523" s="6">
        <v>14884437</v>
      </c>
      <c r="D523" s="2" t="s">
        <v>500</v>
      </c>
      <c r="E523" s="2" t="s">
        <v>617</v>
      </c>
      <c r="F523" s="2">
        <v>7067087</v>
      </c>
      <c r="G523" s="2" t="s">
        <v>869</v>
      </c>
      <c r="H523" s="5"/>
      <c r="I523">
        <v>5000</v>
      </c>
      <c r="J523" s="27">
        <f t="shared" si="65"/>
        <v>5000</v>
      </c>
      <c r="K523" s="3">
        <v>500</v>
      </c>
      <c r="L523" s="29">
        <f t="shared" si="61"/>
        <v>4500</v>
      </c>
      <c r="M523" s="30">
        <v>0</v>
      </c>
      <c r="N523" s="31">
        <f t="shared" si="62"/>
        <v>0</v>
      </c>
      <c r="O523" s="32">
        <v>10</v>
      </c>
      <c r="P523" s="29">
        <f t="shared" si="63"/>
        <v>500</v>
      </c>
      <c r="Q523" s="31">
        <f t="shared" si="64"/>
        <v>1</v>
      </c>
      <c r="T523" s="3">
        <v>500</v>
      </c>
      <c r="U523" s="4">
        <v>500</v>
      </c>
      <c r="V523" s="4">
        <f t="shared" si="66"/>
        <v>4500</v>
      </c>
    </row>
    <row r="524" spans="2:22" x14ac:dyDescent="0.25">
      <c r="B524" s="1">
        <v>361</v>
      </c>
      <c r="C524" s="7">
        <v>16277639</v>
      </c>
      <c r="D524" s="2" t="s">
        <v>501</v>
      </c>
      <c r="E524" s="2" t="s">
        <v>592</v>
      </c>
      <c r="F524" s="2">
        <v>6076773</v>
      </c>
      <c r="G524" s="2" t="s">
        <v>870</v>
      </c>
      <c r="H524" s="5"/>
      <c r="I524">
        <v>5000</v>
      </c>
      <c r="J524" s="27">
        <f t="shared" si="65"/>
        <v>5000</v>
      </c>
      <c r="K524" s="3">
        <v>500</v>
      </c>
      <c r="L524" s="29">
        <f t="shared" si="61"/>
        <v>4500</v>
      </c>
      <c r="M524" s="30">
        <v>0</v>
      </c>
      <c r="N524" s="31">
        <f t="shared" si="62"/>
        <v>0</v>
      </c>
      <c r="O524" s="32">
        <v>10</v>
      </c>
      <c r="P524" s="29">
        <f t="shared" si="63"/>
        <v>500</v>
      </c>
      <c r="Q524" s="31">
        <f t="shared" si="64"/>
        <v>1</v>
      </c>
      <c r="T524" s="3">
        <v>500</v>
      </c>
      <c r="U524" s="4"/>
      <c r="V524" s="4">
        <f t="shared" si="66"/>
        <v>5000</v>
      </c>
    </row>
    <row r="525" spans="2:22" x14ac:dyDescent="0.25">
      <c r="B525" s="1">
        <v>362</v>
      </c>
      <c r="C525" s="7">
        <v>15266457</v>
      </c>
      <c r="D525" s="2" t="s">
        <v>502</v>
      </c>
      <c r="E525" s="2" t="s">
        <v>624</v>
      </c>
      <c r="F525" s="2">
        <v>4175853</v>
      </c>
      <c r="G525" s="2" t="s">
        <v>802</v>
      </c>
      <c r="H525" s="5"/>
      <c r="I525">
        <v>5000</v>
      </c>
      <c r="J525" s="27">
        <f t="shared" si="65"/>
        <v>5000</v>
      </c>
      <c r="K525" s="3">
        <v>500</v>
      </c>
      <c r="L525" s="29">
        <f t="shared" si="61"/>
        <v>4500</v>
      </c>
      <c r="M525" s="30">
        <v>0</v>
      </c>
      <c r="N525" s="31">
        <f t="shared" si="62"/>
        <v>0</v>
      </c>
      <c r="O525" s="32">
        <v>10</v>
      </c>
      <c r="P525" s="29">
        <f t="shared" si="63"/>
        <v>500</v>
      </c>
      <c r="Q525" s="31">
        <f t="shared" si="64"/>
        <v>1</v>
      </c>
      <c r="T525" s="3">
        <v>500</v>
      </c>
      <c r="U525" s="4"/>
      <c r="V525" s="4">
        <f t="shared" si="66"/>
        <v>5000</v>
      </c>
    </row>
    <row r="526" spans="2:22" x14ac:dyDescent="0.25">
      <c r="B526" s="1">
        <v>362</v>
      </c>
      <c r="C526" s="7">
        <v>15266491</v>
      </c>
      <c r="D526" s="2" t="s">
        <v>503</v>
      </c>
      <c r="E526" s="2" t="s">
        <v>611</v>
      </c>
      <c r="F526" s="2">
        <v>4175854</v>
      </c>
      <c r="G526" s="2" t="s">
        <v>802</v>
      </c>
      <c r="H526" s="5"/>
      <c r="I526">
        <v>5000</v>
      </c>
      <c r="J526" s="27">
        <f t="shared" si="65"/>
        <v>4750</v>
      </c>
      <c r="K526" s="3">
        <v>475</v>
      </c>
      <c r="L526" s="29">
        <f t="shared" si="61"/>
        <v>4275</v>
      </c>
      <c r="M526" s="30">
        <v>0.05</v>
      </c>
      <c r="N526" s="31">
        <f t="shared" si="62"/>
        <v>250</v>
      </c>
      <c r="O526" s="32">
        <v>10</v>
      </c>
      <c r="P526" s="29">
        <f t="shared" si="63"/>
        <v>475</v>
      </c>
      <c r="Q526" s="31">
        <f t="shared" si="64"/>
        <v>1</v>
      </c>
      <c r="T526" s="3">
        <v>475</v>
      </c>
      <c r="U526" s="4"/>
      <c r="V526" s="4">
        <f t="shared" si="66"/>
        <v>4750</v>
      </c>
    </row>
    <row r="527" spans="2:22" x14ac:dyDescent="0.25">
      <c r="B527" s="1">
        <v>363</v>
      </c>
      <c r="C527" s="6"/>
      <c r="D527" s="2" t="s">
        <v>99</v>
      </c>
      <c r="E527" s="12"/>
      <c r="F527" s="12"/>
      <c r="G527" s="12"/>
      <c r="H527" s="5"/>
      <c r="I527">
        <v>5000</v>
      </c>
      <c r="J527" s="27">
        <f t="shared" si="65"/>
        <v>5000</v>
      </c>
      <c r="K527" s="3">
        <v>0</v>
      </c>
      <c r="L527" s="29">
        <f t="shared" si="61"/>
        <v>5000</v>
      </c>
      <c r="M527" s="30">
        <v>0</v>
      </c>
      <c r="N527" s="31">
        <f t="shared" si="62"/>
        <v>0</v>
      </c>
      <c r="O527" s="32">
        <v>10</v>
      </c>
      <c r="P527" s="29">
        <f t="shared" si="63"/>
        <v>500</v>
      </c>
      <c r="Q527" s="31">
        <f t="shared" si="64"/>
        <v>0</v>
      </c>
      <c r="T527" s="3">
        <v>0</v>
      </c>
      <c r="U527" s="4"/>
      <c r="V527" s="4">
        <f t="shared" si="66"/>
        <v>5000</v>
      </c>
    </row>
    <row r="528" spans="2:22" x14ac:dyDescent="0.25">
      <c r="B528" s="1">
        <v>364</v>
      </c>
      <c r="C528" s="6"/>
      <c r="D528" s="2" t="s">
        <v>99</v>
      </c>
      <c r="E528" s="12"/>
      <c r="F528" s="12"/>
      <c r="G528" s="12"/>
      <c r="H528" s="5"/>
      <c r="I528">
        <v>5000</v>
      </c>
      <c r="J528" s="27">
        <f t="shared" si="65"/>
        <v>5000</v>
      </c>
      <c r="K528" s="3">
        <v>0</v>
      </c>
      <c r="L528" s="29">
        <f t="shared" si="61"/>
        <v>5000</v>
      </c>
      <c r="M528" s="30">
        <v>0</v>
      </c>
      <c r="N528" s="31">
        <f t="shared" si="62"/>
        <v>0</v>
      </c>
      <c r="O528" s="32">
        <v>10</v>
      </c>
      <c r="P528" s="29">
        <f t="shared" si="63"/>
        <v>500</v>
      </c>
      <c r="Q528" s="31">
        <f t="shared" si="64"/>
        <v>0</v>
      </c>
      <c r="T528" s="3">
        <v>0</v>
      </c>
      <c r="U528" s="4"/>
      <c r="V528" s="4">
        <f t="shared" si="66"/>
        <v>5000</v>
      </c>
    </row>
    <row r="529" spans="2:22" x14ac:dyDescent="0.25">
      <c r="B529" s="1">
        <v>365</v>
      </c>
      <c r="C529" s="7">
        <v>14415960</v>
      </c>
      <c r="D529" s="2" t="s">
        <v>504</v>
      </c>
      <c r="E529" s="2" t="s">
        <v>601</v>
      </c>
      <c r="F529" s="2">
        <v>3376405</v>
      </c>
      <c r="G529" s="2" t="s">
        <v>871</v>
      </c>
      <c r="H529" s="5"/>
      <c r="I529">
        <v>5000</v>
      </c>
      <c r="J529" s="27">
        <f t="shared" si="65"/>
        <v>5000</v>
      </c>
      <c r="K529" s="3">
        <v>500</v>
      </c>
      <c r="L529" s="29">
        <f t="shared" si="61"/>
        <v>4500</v>
      </c>
      <c r="M529" s="30">
        <v>0</v>
      </c>
      <c r="N529" s="31">
        <f t="shared" si="62"/>
        <v>0</v>
      </c>
      <c r="O529" s="32">
        <v>10</v>
      </c>
      <c r="P529" s="29">
        <f t="shared" si="63"/>
        <v>500</v>
      </c>
      <c r="Q529" s="31">
        <f t="shared" si="64"/>
        <v>1</v>
      </c>
      <c r="T529" s="3">
        <v>500</v>
      </c>
      <c r="U529" s="4">
        <v>500</v>
      </c>
      <c r="V529" s="4">
        <f t="shared" si="66"/>
        <v>4500</v>
      </c>
    </row>
    <row r="530" spans="2:22" x14ac:dyDescent="0.25">
      <c r="B530" s="1">
        <v>366</v>
      </c>
      <c r="C530" s="7">
        <v>150526530</v>
      </c>
      <c r="D530" s="2" t="s">
        <v>505</v>
      </c>
      <c r="E530" s="2" t="s">
        <v>599</v>
      </c>
      <c r="F530" s="2">
        <v>4249507</v>
      </c>
      <c r="G530" s="2" t="s">
        <v>701</v>
      </c>
      <c r="H530" s="5"/>
      <c r="I530">
        <v>5000</v>
      </c>
      <c r="J530" s="27">
        <f t="shared" si="65"/>
        <v>5000</v>
      </c>
      <c r="K530" s="3">
        <v>4750</v>
      </c>
      <c r="L530" s="29">
        <f t="shared" si="61"/>
        <v>250</v>
      </c>
      <c r="M530" s="30">
        <v>0</v>
      </c>
      <c r="N530" s="31">
        <f t="shared" si="62"/>
        <v>0</v>
      </c>
      <c r="O530" s="32">
        <v>10</v>
      </c>
      <c r="P530" s="29">
        <f t="shared" si="63"/>
        <v>500</v>
      </c>
      <c r="Q530" s="31">
        <f t="shared" si="64"/>
        <v>9</v>
      </c>
      <c r="T530" s="3">
        <v>4750</v>
      </c>
      <c r="U530" s="4"/>
      <c r="V530" s="4">
        <f t="shared" si="66"/>
        <v>5000</v>
      </c>
    </row>
    <row r="531" spans="2:22" x14ac:dyDescent="0.25">
      <c r="B531" s="1">
        <v>367</v>
      </c>
      <c r="C531" s="38">
        <v>16295851</v>
      </c>
      <c r="D531" s="2" t="s">
        <v>506</v>
      </c>
      <c r="E531" s="2" t="s">
        <v>600</v>
      </c>
      <c r="F531" s="2">
        <v>4943036010</v>
      </c>
      <c r="G531" s="2" t="s">
        <v>872</v>
      </c>
      <c r="H531" s="5"/>
      <c r="I531">
        <v>5000</v>
      </c>
      <c r="J531" s="27">
        <f t="shared" si="65"/>
        <v>5000</v>
      </c>
      <c r="K531" s="3">
        <v>4750</v>
      </c>
      <c r="L531" s="29">
        <f t="shared" si="61"/>
        <v>250</v>
      </c>
      <c r="M531" s="30">
        <v>0</v>
      </c>
      <c r="N531" s="31">
        <f t="shared" si="62"/>
        <v>0</v>
      </c>
      <c r="O531" s="32">
        <v>10</v>
      </c>
      <c r="P531" s="29">
        <f t="shared" si="63"/>
        <v>500</v>
      </c>
      <c r="Q531" s="31">
        <f t="shared" si="64"/>
        <v>9</v>
      </c>
      <c r="T531" s="3">
        <v>4750</v>
      </c>
      <c r="U531" s="4">
        <v>4750</v>
      </c>
      <c r="V531" s="4">
        <f t="shared" si="66"/>
        <v>250</v>
      </c>
    </row>
    <row r="532" spans="2:22" x14ac:dyDescent="0.25">
      <c r="B532" s="1">
        <v>367</v>
      </c>
      <c r="C532" s="7">
        <v>16295872</v>
      </c>
      <c r="D532" s="2" t="s">
        <v>507</v>
      </c>
      <c r="E532" s="2" t="s">
        <v>602</v>
      </c>
      <c r="F532" s="2">
        <v>4943036010</v>
      </c>
      <c r="G532" s="2" t="s">
        <v>872</v>
      </c>
      <c r="H532" s="5"/>
      <c r="I532">
        <v>5000</v>
      </c>
      <c r="J532" s="27">
        <f t="shared" si="65"/>
        <v>5000</v>
      </c>
      <c r="K532" s="3">
        <v>4750</v>
      </c>
      <c r="L532" s="29">
        <f t="shared" si="61"/>
        <v>250</v>
      </c>
      <c r="M532" s="30">
        <v>0</v>
      </c>
      <c r="N532" s="31">
        <f t="shared" si="62"/>
        <v>0</v>
      </c>
      <c r="O532" s="32">
        <v>10</v>
      </c>
      <c r="P532" s="29">
        <f t="shared" si="63"/>
        <v>500</v>
      </c>
      <c r="Q532" s="31">
        <f t="shared" si="64"/>
        <v>9</v>
      </c>
      <c r="T532" s="3">
        <v>4750</v>
      </c>
      <c r="U532" s="4">
        <v>4750</v>
      </c>
      <c r="V532" s="4">
        <f t="shared" si="66"/>
        <v>250</v>
      </c>
    </row>
    <row r="533" spans="2:22" x14ac:dyDescent="0.25">
      <c r="B533" s="1">
        <v>368</v>
      </c>
      <c r="C533" s="6"/>
      <c r="D533" s="2" t="s">
        <v>99</v>
      </c>
      <c r="E533" s="12"/>
      <c r="F533" s="12"/>
      <c r="G533" s="12"/>
      <c r="H533" s="5"/>
      <c r="I533">
        <v>5000</v>
      </c>
      <c r="J533" s="27">
        <f t="shared" si="65"/>
        <v>5000</v>
      </c>
      <c r="K533" s="3">
        <v>0</v>
      </c>
      <c r="L533" s="29">
        <f t="shared" si="61"/>
        <v>5000</v>
      </c>
      <c r="M533" s="30">
        <v>0</v>
      </c>
      <c r="N533" s="31">
        <f t="shared" si="62"/>
        <v>0</v>
      </c>
      <c r="O533" s="32">
        <v>10</v>
      </c>
      <c r="P533" s="29">
        <f t="shared" si="63"/>
        <v>500</v>
      </c>
      <c r="Q533" s="31">
        <f t="shared" si="64"/>
        <v>0</v>
      </c>
      <c r="T533" s="3">
        <v>0</v>
      </c>
      <c r="U533" s="4"/>
      <c r="V533" s="4">
        <v>0</v>
      </c>
    </row>
    <row r="534" spans="2:22" x14ac:dyDescent="0.25">
      <c r="B534" s="1">
        <v>369</v>
      </c>
      <c r="C534" s="7">
        <v>15730817</v>
      </c>
      <c r="D534" s="2" t="s">
        <v>508</v>
      </c>
      <c r="E534" s="2" t="s">
        <v>596</v>
      </c>
      <c r="F534" s="2">
        <v>9971491011</v>
      </c>
      <c r="G534" s="2" t="s">
        <v>768</v>
      </c>
      <c r="H534" s="5"/>
      <c r="I534">
        <v>5000</v>
      </c>
      <c r="J534" s="27">
        <f t="shared" si="65"/>
        <v>5000</v>
      </c>
      <c r="K534" s="3">
        <v>4750</v>
      </c>
      <c r="L534" s="29">
        <f t="shared" si="61"/>
        <v>250</v>
      </c>
      <c r="M534" s="30">
        <v>0</v>
      </c>
      <c r="N534" s="31">
        <f t="shared" si="62"/>
        <v>0</v>
      </c>
      <c r="O534" s="32">
        <v>10</v>
      </c>
      <c r="P534" s="29">
        <f t="shared" si="63"/>
        <v>500</v>
      </c>
      <c r="Q534" s="31">
        <f t="shared" si="64"/>
        <v>9</v>
      </c>
      <c r="T534" s="3">
        <v>4750</v>
      </c>
      <c r="U534" s="4">
        <v>4750</v>
      </c>
      <c r="V534" s="4">
        <f t="shared" ref="V534:V552" si="67">J534-H534-U534</f>
        <v>250</v>
      </c>
    </row>
    <row r="535" spans="2:22" x14ac:dyDescent="0.25">
      <c r="B535" s="1">
        <v>370</v>
      </c>
      <c r="C535" s="7">
        <v>13552526</v>
      </c>
      <c r="D535" s="2" t="s">
        <v>509</v>
      </c>
      <c r="E535" s="2" t="s">
        <v>605</v>
      </c>
      <c r="F535" s="2">
        <v>3395036</v>
      </c>
      <c r="G535" s="2" t="s">
        <v>873</v>
      </c>
      <c r="H535" s="5"/>
      <c r="I535">
        <v>5000</v>
      </c>
      <c r="J535" s="27">
        <f t="shared" si="65"/>
        <v>5000</v>
      </c>
      <c r="K535" s="3">
        <v>500</v>
      </c>
      <c r="L535" s="29">
        <f t="shared" si="61"/>
        <v>4500</v>
      </c>
      <c r="M535" s="30">
        <v>0</v>
      </c>
      <c r="N535" s="31">
        <f t="shared" si="62"/>
        <v>0</v>
      </c>
      <c r="O535" s="32">
        <v>10</v>
      </c>
      <c r="P535" s="29">
        <f t="shared" si="63"/>
        <v>500</v>
      </c>
      <c r="Q535" s="31">
        <f t="shared" si="64"/>
        <v>1</v>
      </c>
      <c r="T535" s="3">
        <v>500</v>
      </c>
      <c r="U535" s="4"/>
      <c r="V535" s="4">
        <f t="shared" si="67"/>
        <v>5000</v>
      </c>
    </row>
    <row r="536" spans="2:22" x14ac:dyDescent="0.25">
      <c r="B536" s="1">
        <v>371</v>
      </c>
      <c r="C536" s="7">
        <v>14918457</v>
      </c>
      <c r="D536" s="2" t="s">
        <v>510</v>
      </c>
      <c r="E536" s="2" t="s">
        <v>600</v>
      </c>
      <c r="F536" s="2">
        <v>9242820</v>
      </c>
      <c r="G536" s="2" t="s">
        <v>644</v>
      </c>
      <c r="H536" s="5"/>
      <c r="I536">
        <v>5000</v>
      </c>
      <c r="J536" s="27">
        <f t="shared" si="65"/>
        <v>5000</v>
      </c>
      <c r="K536" s="3">
        <v>500</v>
      </c>
      <c r="L536" s="29">
        <f t="shared" si="61"/>
        <v>4500</v>
      </c>
      <c r="M536" s="30">
        <v>0</v>
      </c>
      <c r="N536" s="31">
        <f t="shared" si="62"/>
        <v>0</v>
      </c>
      <c r="O536" s="32">
        <v>10</v>
      </c>
      <c r="P536" s="29">
        <f t="shared" si="63"/>
        <v>500</v>
      </c>
      <c r="Q536" s="31">
        <f t="shared" si="64"/>
        <v>1</v>
      </c>
      <c r="T536" s="3">
        <v>500</v>
      </c>
      <c r="U536" s="4">
        <v>500</v>
      </c>
      <c r="V536" s="4">
        <f t="shared" si="67"/>
        <v>4500</v>
      </c>
    </row>
    <row r="537" spans="2:22" x14ac:dyDescent="0.25">
      <c r="B537" s="1">
        <v>372</v>
      </c>
      <c r="C537" s="7">
        <v>14044204</v>
      </c>
      <c r="D537" s="2" t="s">
        <v>499</v>
      </c>
      <c r="E537" s="2" t="s">
        <v>602</v>
      </c>
      <c r="F537" s="2">
        <v>8441090</v>
      </c>
      <c r="G537" s="2" t="s">
        <v>868</v>
      </c>
      <c r="H537" s="5"/>
      <c r="I537">
        <v>5000</v>
      </c>
      <c r="J537" s="27">
        <f t="shared" si="65"/>
        <v>5000</v>
      </c>
      <c r="K537" s="3">
        <v>4500</v>
      </c>
      <c r="L537" s="29">
        <f t="shared" si="61"/>
        <v>500</v>
      </c>
      <c r="M537" s="30">
        <v>0</v>
      </c>
      <c r="N537" s="31">
        <f t="shared" si="62"/>
        <v>0</v>
      </c>
      <c r="O537" s="32">
        <v>10</v>
      </c>
      <c r="P537" s="29">
        <f t="shared" si="63"/>
        <v>500</v>
      </c>
      <c r="Q537" s="31">
        <f t="shared" si="64"/>
        <v>9</v>
      </c>
      <c r="T537" s="3">
        <v>4500</v>
      </c>
      <c r="U537" s="4"/>
      <c r="V537" s="4">
        <f t="shared" si="67"/>
        <v>5000</v>
      </c>
    </row>
    <row r="538" spans="2:22" x14ac:dyDescent="0.25">
      <c r="B538" s="1">
        <v>373</v>
      </c>
      <c r="C538" s="7">
        <v>13317315</v>
      </c>
      <c r="D538" s="2" t="s">
        <v>511</v>
      </c>
      <c r="E538" s="2" t="s">
        <v>605</v>
      </c>
      <c r="F538" s="2">
        <v>5568239</v>
      </c>
      <c r="G538" s="2" t="s">
        <v>874</v>
      </c>
      <c r="H538" s="5"/>
      <c r="I538">
        <v>5000</v>
      </c>
      <c r="J538" s="27">
        <f t="shared" si="65"/>
        <v>5000</v>
      </c>
      <c r="K538" s="3">
        <v>1000</v>
      </c>
      <c r="L538" s="29">
        <f t="shared" si="61"/>
        <v>4000</v>
      </c>
      <c r="M538" s="30">
        <v>0</v>
      </c>
      <c r="N538" s="31">
        <f t="shared" si="62"/>
        <v>0</v>
      </c>
      <c r="O538" s="32">
        <v>10</v>
      </c>
      <c r="P538" s="29">
        <f t="shared" si="63"/>
        <v>500</v>
      </c>
      <c r="Q538" s="31">
        <f t="shared" si="64"/>
        <v>2</v>
      </c>
      <c r="T538" s="3">
        <v>1000</v>
      </c>
      <c r="U538" s="4">
        <v>1000</v>
      </c>
      <c r="V538" s="4">
        <f t="shared" si="67"/>
        <v>4000</v>
      </c>
    </row>
    <row r="539" spans="2:22" x14ac:dyDescent="0.25">
      <c r="B539" s="1">
        <v>374</v>
      </c>
      <c r="C539" s="7">
        <v>15493977</v>
      </c>
      <c r="D539" s="2" t="s">
        <v>512</v>
      </c>
      <c r="E539" s="2" t="s">
        <v>597</v>
      </c>
      <c r="F539" s="2">
        <v>3411076015</v>
      </c>
      <c r="G539" s="2" t="s">
        <v>875</v>
      </c>
      <c r="H539" s="5"/>
      <c r="I539">
        <v>5000</v>
      </c>
      <c r="J539" s="27">
        <f t="shared" si="65"/>
        <v>4750</v>
      </c>
      <c r="K539" s="3">
        <v>475</v>
      </c>
      <c r="L539" s="29">
        <f t="shared" si="61"/>
        <v>4275</v>
      </c>
      <c r="M539" s="30">
        <v>0.05</v>
      </c>
      <c r="N539" s="31">
        <f t="shared" si="62"/>
        <v>250</v>
      </c>
      <c r="O539" s="32">
        <v>10</v>
      </c>
      <c r="P539" s="29">
        <f t="shared" si="63"/>
        <v>475</v>
      </c>
      <c r="Q539" s="31">
        <f t="shared" si="64"/>
        <v>1</v>
      </c>
      <c r="T539" s="3">
        <v>475</v>
      </c>
      <c r="U539" s="4"/>
      <c r="V539" s="4">
        <f t="shared" si="67"/>
        <v>4750</v>
      </c>
    </row>
    <row r="540" spans="2:22" x14ac:dyDescent="0.25">
      <c r="B540" s="1">
        <v>374</v>
      </c>
      <c r="C540" s="7">
        <v>15285286</v>
      </c>
      <c r="D540" s="2" t="s">
        <v>513</v>
      </c>
      <c r="E540" s="2" t="s">
        <v>604</v>
      </c>
      <c r="F540" s="2">
        <v>3411076015</v>
      </c>
      <c r="G540" s="2" t="s">
        <v>875</v>
      </c>
      <c r="H540" s="5"/>
      <c r="I540">
        <v>5000</v>
      </c>
      <c r="J540" s="27">
        <f t="shared" si="65"/>
        <v>5000</v>
      </c>
      <c r="K540" s="3">
        <v>500</v>
      </c>
      <c r="L540" s="29">
        <f t="shared" si="61"/>
        <v>4500</v>
      </c>
      <c r="M540" s="30">
        <v>0</v>
      </c>
      <c r="N540" s="31">
        <f t="shared" si="62"/>
        <v>0</v>
      </c>
      <c r="O540" s="32">
        <v>10</v>
      </c>
      <c r="P540" s="29">
        <f t="shared" si="63"/>
        <v>500</v>
      </c>
      <c r="Q540" s="31">
        <f t="shared" si="64"/>
        <v>1</v>
      </c>
      <c r="T540" s="3">
        <v>500</v>
      </c>
      <c r="U540" s="4"/>
      <c r="V540" s="4">
        <f t="shared" si="67"/>
        <v>5000</v>
      </c>
    </row>
    <row r="541" spans="2:22" x14ac:dyDescent="0.25">
      <c r="B541" s="1">
        <v>375</v>
      </c>
      <c r="C541" s="7">
        <v>17249502</v>
      </c>
      <c r="D541" s="2" t="s">
        <v>514</v>
      </c>
      <c r="E541" s="2" t="s">
        <v>592</v>
      </c>
      <c r="F541" s="2">
        <v>4804603017</v>
      </c>
      <c r="G541" s="2" t="s">
        <v>876</v>
      </c>
      <c r="H541" s="5"/>
      <c r="I541">
        <v>5000</v>
      </c>
      <c r="J541" s="27">
        <f t="shared" si="65"/>
        <v>5000</v>
      </c>
      <c r="K541" s="3">
        <v>500</v>
      </c>
      <c r="L541" s="29">
        <f t="shared" si="61"/>
        <v>4500</v>
      </c>
      <c r="M541" s="30">
        <v>0</v>
      </c>
      <c r="N541" s="31">
        <f t="shared" si="62"/>
        <v>0</v>
      </c>
      <c r="O541" s="32">
        <v>10</v>
      </c>
      <c r="P541" s="29">
        <f t="shared" si="63"/>
        <v>500</v>
      </c>
      <c r="Q541" s="31">
        <f t="shared" si="64"/>
        <v>1</v>
      </c>
      <c r="T541" s="3">
        <v>500</v>
      </c>
      <c r="U541" s="4"/>
      <c r="V541" s="4">
        <f t="shared" si="67"/>
        <v>5000</v>
      </c>
    </row>
    <row r="542" spans="2:22" x14ac:dyDescent="0.25">
      <c r="B542" s="1">
        <v>376</v>
      </c>
      <c r="C542" s="7">
        <v>14801601</v>
      </c>
      <c r="D542" s="2" t="s">
        <v>515</v>
      </c>
      <c r="E542" s="2" t="s">
        <v>605</v>
      </c>
      <c r="F542" s="2">
        <v>4793908</v>
      </c>
      <c r="G542" s="2" t="s">
        <v>877</v>
      </c>
      <c r="H542" s="5"/>
      <c r="I542">
        <v>5000</v>
      </c>
      <c r="J542" s="27">
        <f t="shared" si="65"/>
        <v>5000</v>
      </c>
      <c r="K542" s="3">
        <v>500</v>
      </c>
      <c r="L542" s="29">
        <f t="shared" si="61"/>
        <v>4500</v>
      </c>
      <c r="M542" s="30">
        <v>0</v>
      </c>
      <c r="N542" s="31">
        <f t="shared" si="62"/>
        <v>0</v>
      </c>
      <c r="O542" s="32">
        <v>10</v>
      </c>
      <c r="P542" s="29">
        <f t="shared" si="63"/>
        <v>500</v>
      </c>
      <c r="Q542" s="31">
        <f t="shared" si="64"/>
        <v>1</v>
      </c>
      <c r="T542" s="3">
        <v>500</v>
      </c>
      <c r="U542" s="4"/>
      <c r="V542" s="4">
        <f t="shared" si="67"/>
        <v>5000</v>
      </c>
    </row>
    <row r="543" spans="2:22" x14ac:dyDescent="0.25">
      <c r="B543" s="1">
        <v>377</v>
      </c>
      <c r="C543" s="7">
        <v>14153601</v>
      </c>
      <c r="D543" s="2" t="s">
        <v>516</v>
      </c>
      <c r="E543" s="2" t="s">
        <v>625</v>
      </c>
      <c r="F543" s="2">
        <v>4992411</v>
      </c>
      <c r="G543" s="2" t="s">
        <v>878</v>
      </c>
      <c r="H543" s="5">
        <v>300</v>
      </c>
      <c r="I543">
        <v>5000</v>
      </c>
      <c r="J543" s="27">
        <f t="shared" si="65"/>
        <v>4700</v>
      </c>
      <c r="K543" s="3">
        <v>500</v>
      </c>
      <c r="L543" s="29">
        <f t="shared" si="61"/>
        <v>4500</v>
      </c>
      <c r="M543" s="30">
        <v>0</v>
      </c>
      <c r="N543" s="31">
        <f t="shared" si="62"/>
        <v>0</v>
      </c>
      <c r="O543" s="32">
        <v>10</v>
      </c>
      <c r="P543" s="29">
        <f t="shared" si="63"/>
        <v>470</v>
      </c>
      <c r="Q543" s="31">
        <f t="shared" si="64"/>
        <v>1</v>
      </c>
      <c r="T543" s="3">
        <v>500</v>
      </c>
      <c r="U543" s="4"/>
      <c r="V543" s="4">
        <f t="shared" si="67"/>
        <v>4400</v>
      </c>
    </row>
    <row r="544" spans="2:22" x14ac:dyDescent="0.25">
      <c r="B544" s="1">
        <v>378</v>
      </c>
      <c r="C544" s="7" t="s">
        <v>590</v>
      </c>
      <c r="D544" s="2" t="s">
        <v>517</v>
      </c>
      <c r="E544" s="2" t="s">
        <v>612</v>
      </c>
      <c r="F544" s="2">
        <v>4836255</v>
      </c>
      <c r="G544" s="2" t="s">
        <v>879</v>
      </c>
      <c r="H544" s="5"/>
      <c r="I544">
        <v>5000</v>
      </c>
      <c r="J544" s="27">
        <f t="shared" si="65"/>
        <v>5000</v>
      </c>
      <c r="K544" s="3">
        <v>4750</v>
      </c>
      <c r="L544" s="29">
        <f t="shared" si="61"/>
        <v>250</v>
      </c>
      <c r="M544" s="30">
        <v>0</v>
      </c>
      <c r="N544" s="31">
        <f t="shared" si="62"/>
        <v>0</v>
      </c>
      <c r="O544" s="32">
        <v>10</v>
      </c>
      <c r="P544" s="29">
        <f t="shared" si="63"/>
        <v>500</v>
      </c>
      <c r="Q544" s="31">
        <f t="shared" si="64"/>
        <v>9</v>
      </c>
      <c r="T544" s="3">
        <v>4750</v>
      </c>
      <c r="U544" s="4"/>
      <c r="V544" s="4">
        <f t="shared" si="67"/>
        <v>5000</v>
      </c>
    </row>
    <row r="545" spans="2:22" ht="18" x14ac:dyDescent="0.35">
      <c r="B545" s="1">
        <v>378</v>
      </c>
      <c r="C545" s="39" t="s">
        <v>591</v>
      </c>
      <c r="D545" s="2" t="s">
        <v>518</v>
      </c>
      <c r="E545" s="2" t="s">
        <v>613</v>
      </c>
      <c r="F545" s="2">
        <v>4836256</v>
      </c>
      <c r="G545" s="2" t="s">
        <v>879</v>
      </c>
      <c r="H545" s="5"/>
      <c r="I545">
        <v>5000</v>
      </c>
      <c r="J545" s="27">
        <f t="shared" si="65"/>
        <v>4750</v>
      </c>
      <c r="K545" s="3">
        <v>475</v>
      </c>
      <c r="L545" s="29">
        <f t="shared" si="61"/>
        <v>4275</v>
      </c>
      <c r="M545" s="30">
        <v>0.05</v>
      </c>
      <c r="N545" s="31">
        <f t="shared" si="62"/>
        <v>250</v>
      </c>
      <c r="O545" s="32">
        <v>10</v>
      </c>
      <c r="P545" s="29">
        <f t="shared" si="63"/>
        <v>475</v>
      </c>
      <c r="Q545" s="31">
        <f t="shared" si="64"/>
        <v>1</v>
      </c>
      <c r="T545" s="3">
        <v>475</v>
      </c>
      <c r="U545" s="4"/>
      <c r="V545" s="4">
        <f t="shared" si="67"/>
        <v>4750</v>
      </c>
    </row>
    <row r="546" spans="2:22" x14ac:dyDescent="0.25">
      <c r="B546" s="1">
        <v>379</v>
      </c>
      <c r="C546" s="7">
        <v>13248834</v>
      </c>
      <c r="D546" s="2" t="s">
        <v>519</v>
      </c>
      <c r="E546" s="2" t="s">
        <v>626</v>
      </c>
      <c r="F546" s="2">
        <v>13248834</v>
      </c>
      <c r="G546" s="2" t="s">
        <v>880</v>
      </c>
      <c r="H546" s="5"/>
      <c r="I546">
        <v>5000</v>
      </c>
      <c r="J546" s="27">
        <f t="shared" si="65"/>
        <v>5000</v>
      </c>
      <c r="K546" s="3">
        <v>4750</v>
      </c>
      <c r="L546" s="29">
        <f t="shared" si="61"/>
        <v>250</v>
      </c>
      <c r="M546" s="30">
        <v>0</v>
      </c>
      <c r="N546" s="31">
        <f t="shared" si="62"/>
        <v>0</v>
      </c>
      <c r="O546" s="32">
        <v>10</v>
      </c>
      <c r="P546" s="29">
        <f t="shared" si="63"/>
        <v>500</v>
      </c>
      <c r="Q546" s="31">
        <f t="shared" si="64"/>
        <v>9</v>
      </c>
      <c r="T546" s="3">
        <v>4750</v>
      </c>
      <c r="U546" s="4"/>
      <c r="V546" s="4">
        <f t="shared" si="67"/>
        <v>5000</v>
      </c>
    </row>
    <row r="547" spans="2:22" x14ac:dyDescent="0.25">
      <c r="B547" s="1">
        <v>380</v>
      </c>
      <c r="C547" s="7">
        <v>16254609</v>
      </c>
      <c r="D547" s="2" t="s">
        <v>520</v>
      </c>
      <c r="E547" s="2" t="s">
        <v>597</v>
      </c>
      <c r="F547" s="2">
        <v>676644</v>
      </c>
      <c r="G547" s="2" t="s">
        <v>847</v>
      </c>
      <c r="H547" s="5"/>
      <c r="I547">
        <v>5000</v>
      </c>
      <c r="J547" s="27">
        <f t="shared" si="65"/>
        <v>5000</v>
      </c>
      <c r="K547" s="3">
        <v>500</v>
      </c>
      <c r="L547" s="29">
        <f t="shared" si="61"/>
        <v>4500</v>
      </c>
      <c r="M547" s="30">
        <v>0</v>
      </c>
      <c r="N547" s="31">
        <f t="shared" si="62"/>
        <v>0</v>
      </c>
      <c r="O547" s="32">
        <v>10</v>
      </c>
      <c r="P547" s="29">
        <f t="shared" si="63"/>
        <v>500</v>
      </c>
      <c r="Q547" s="31">
        <f t="shared" si="64"/>
        <v>1</v>
      </c>
      <c r="T547" s="3">
        <v>500</v>
      </c>
      <c r="U547" s="4">
        <v>500</v>
      </c>
      <c r="V547" s="4">
        <f t="shared" si="67"/>
        <v>4500</v>
      </c>
    </row>
    <row r="548" spans="2:22" x14ac:dyDescent="0.25">
      <c r="B548" s="1">
        <v>381</v>
      </c>
      <c r="C548" s="7">
        <v>14152922</v>
      </c>
      <c r="D548" s="2" t="s">
        <v>521</v>
      </c>
      <c r="E548" s="2" t="s">
        <v>617</v>
      </c>
      <c r="F548" s="2">
        <v>6162760</v>
      </c>
      <c r="G548" s="2" t="s">
        <v>881</v>
      </c>
      <c r="H548" s="5"/>
      <c r="I548">
        <v>5000</v>
      </c>
      <c r="J548" s="27">
        <f t="shared" si="65"/>
        <v>5000</v>
      </c>
      <c r="K548" s="3">
        <v>500</v>
      </c>
      <c r="L548" s="29">
        <f t="shared" si="61"/>
        <v>4500</v>
      </c>
      <c r="M548" s="30">
        <v>0</v>
      </c>
      <c r="N548" s="31">
        <f t="shared" si="62"/>
        <v>0</v>
      </c>
      <c r="O548" s="32">
        <v>10</v>
      </c>
      <c r="P548" s="29">
        <f t="shared" si="63"/>
        <v>500</v>
      </c>
      <c r="Q548" s="31">
        <f t="shared" si="64"/>
        <v>1</v>
      </c>
      <c r="T548" s="3">
        <v>500</v>
      </c>
      <c r="U548" s="4">
        <v>75</v>
      </c>
      <c r="V548" s="4">
        <f t="shared" si="67"/>
        <v>4925</v>
      </c>
    </row>
    <row r="549" spans="2:22" x14ac:dyDescent="0.25">
      <c r="B549" s="1">
        <v>382</v>
      </c>
      <c r="C549" s="7">
        <v>13959393</v>
      </c>
      <c r="D549" s="2" t="s">
        <v>522</v>
      </c>
      <c r="E549" s="2" t="s">
        <v>613</v>
      </c>
      <c r="F549" s="2">
        <v>4962257011</v>
      </c>
      <c r="G549" s="2" t="s">
        <v>882</v>
      </c>
      <c r="H549" s="5"/>
      <c r="I549">
        <v>5000</v>
      </c>
      <c r="J549" s="27">
        <f t="shared" si="65"/>
        <v>5000</v>
      </c>
      <c r="K549" s="3">
        <v>1500</v>
      </c>
      <c r="L549" s="29">
        <f t="shared" si="61"/>
        <v>3500</v>
      </c>
      <c r="M549" s="30">
        <v>0</v>
      </c>
      <c r="N549" s="31">
        <f t="shared" si="62"/>
        <v>0</v>
      </c>
      <c r="O549" s="32">
        <v>10</v>
      </c>
      <c r="P549" s="29">
        <f t="shared" si="63"/>
        <v>500</v>
      </c>
      <c r="Q549" s="31">
        <f t="shared" si="64"/>
        <v>3</v>
      </c>
      <c r="T549" s="3">
        <v>1500</v>
      </c>
      <c r="U549" s="4">
        <v>1500</v>
      </c>
      <c r="V549" s="4">
        <f t="shared" si="67"/>
        <v>3500</v>
      </c>
    </row>
    <row r="550" spans="2:22" x14ac:dyDescent="0.25">
      <c r="B550" s="1">
        <v>382</v>
      </c>
      <c r="C550" s="7">
        <v>13959394</v>
      </c>
      <c r="D550" s="2" t="s">
        <v>523</v>
      </c>
      <c r="E550" s="2" t="s">
        <v>611</v>
      </c>
      <c r="F550" s="2">
        <v>4962257012</v>
      </c>
      <c r="G550" s="2" t="s">
        <v>882</v>
      </c>
      <c r="H550" s="5"/>
      <c r="I550">
        <v>5000</v>
      </c>
      <c r="J550" s="27">
        <f t="shared" si="65"/>
        <v>5000</v>
      </c>
      <c r="K550" s="3">
        <v>1425</v>
      </c>
      <c r="L550" s="29">
        <f t="shared" si="61"/>
        <v>3575</v>
      </c>
      <c r="M550" s="30">
        <v>0</v>
      </c>
      <c r="N550" s="31">
        <f t="shared" si="62"/>
        <v>0</v>
      </c>
      <c r="O550" s="32">
        <v>10</v>
      </c>
      <c r="P550" s="29">
        <f t="shared" si="63"/>
        <v>500</v>
      </c>
      <c r="Q550" s="31">
        <f t="shared" si="64"/>
        <v>2</v>
      </c>
      <c r="T550" s="3">
        <v>1425</v>
      </c>
      <c r="U550" s="4">
        <v>1425</v>
      </c>
      <c r="V550" s="4">
        <f t="shared" si="67"/>
        <v>3575</v>
      </c>
    </row>
    <row r="551" spans="2:22" x14ac:dyDescent="0.25">
      <c r="B551" s="1">
        <v>383</v>
      </c>
      <c r="C551" s="7">
        <v>16837269</v>
      </c>
      <c r="D551" s="2" t="s">
        <v>524</v>
      </c>
      <c r="E551" s="2" t="s">
        <v>627</v>
      </c>
      <c r="F551" s="2">
        <v>6848085017</v>
      </c>
      <c r="G551" s="2" t="s">
        <v>883</v>
      </c>
      <c r="H551" s="5"/>
      <c r="I551">
        <v>5000</v>
      </c>
      <c r="J551" s="27">
        <f t="shared" si="65"/>
        <v>4750</v>
      </c>
      <c r="K551" s="3">
        <v>475</v>
      </c>
      <c r="L551" s="29">
        <f t="shared" si="61"/>
        <v>4275</v>
      </c>
      <c r="M551" s="30">
        <v>0.05</v>
      </c>
      <c r="N551" s="31">
        <f t="shared" si="62"/>
        <v>250</v>
      </c>
      <c r="O551" s="32">
        <v>10</v>
      </c>
      <c r="P551" s="29">
        <f t="shared" si="63"/>
        <v>475</v>
      </c>
      <c r="Q551" s="31">
        <f t="shared" si="64"/>
        <v>1</v>
      </c>
      <c r="T551" s="3">
        <v>475</v>
      </c>
      <c r="U551" s="4">
        <v>475</v>
      </c>
      <c r="V551" s="4">
        <f t="shared" si="67"/>
        <v>4275</v>
      </c>
    </row>
    <row r="552" spans="2:22" x14ac:dyDescent="0.25">
      <c r="B552" s="1">
        <v>383</v>
      </c>
      <c r="C552" s="7">
        <v>12658431</v>
      </c>
      <c r="D552" s="2" t="s">
        <v>525</v>
      </c>
      <c r="E552" s="2" t="s">
        <v>615</v>
      </c>
      <c r="F552" s="2">
        <v>6848085018</v>
      </c>
      <c r="G552" s="2" t="s">
        <v>883</v>
      </c>
      <c r="H552" s="5"/>
      <c r="I552">
        <v>5000</v>
      </c>
      <c r="J552" s="27">
        <f t="shared" si="65"/>
        <v>5000</v>
      </c>
      <c r="K552" s="3">
        <v>500</v>
      </c>
      <c r="L552" s="29">
        <f t="shared" si="61"/>
        <v>4500</v>
      </c>
      <c r="M552" s="30">
        <v>0</v>
      </c>
      <c r="N552" s="31">
        <f t="shared" si="62"/>
        <v>0</v>
      </c>
      <c r="O552" s="32">
        <v>10</v>
      </c>
      <c r="P552" s="29">
        <f t="shared" si="63"/>
        <v>500</v>
      </c>
      <c r="Q552" s="31">
        <f t="shared" si="64"/>
        <v>1</v>
      </c>
      <c r="T552" s="3">
        <v>500</v>
      </c>
      <c r="U552" s="4">
        <v>500</v>
      </c>
      <c r="V552" s="4">
        <f t="shared" si="67"/>
        <v>4500</v>
      </c>
    </row>
    <row r="553" spans="2:22" x14ac:dyDescent="0.25">
      <c r="B553" s="1"/>
      <c r="C553" s="6"/>
      <c r="D553" s="2" t="s">
        <v>526</v>
      </c>
      <c r="E553" s="12" t="s">
        <v>622</v>
      </c>
      <c r="F553" s="12"/>
      <c r="G553" s="12"/>
      <c r="H553" s="5"/>
      <c r="I553">
        <v>5000</v>
      </c>
      <c r="J553" s="27">
        <v>4185</v>
      </c>
      <c r="K553" s="3">
        <v>465</v>
      </c>
      <c r="L553" s="29">
        <f t="shared" si="61"/>
        <v>4535</v>
      </c>
      <c r="M553" s="30">
        <v>0</v>
      </c>
      <c r="N553" s="31">
        <f t="shared" si="62"/>
        <v>0</v>
      </c>
      <c r="O553" s="32">
        <v>10</v>
      </c>
      <c r="P553" s="29">
        <f t="shared" si="63"/>
        <v>418.5</v>
      </c>
      <c r="Q553" s="31">
        <f t="shared" si="64"/>
        <v>1</v>
      </c>
      <c r="T553" s="3"/>
      <c r="U553" s="4"/>
      <c r="V553" s="4">
        <f>K553-H553-U553</f>
        <v>465</v>
      </c>
    </row>
    <row r="554" spans="2:22" x14ac:dyDescent="0.25">
      <c r="B554" s="1"/>
      <c r="C554" s="6"/>
      <c r="D554" s="2" t="s">
        <v>527</v>
      </c>
      <c r="E554" s="12" t="s">
        <v>610</v>
      </c>
      <c r="F554" s="12"/>
      <c r="G554" s="12"/>
      <c r="H554" s="5"/>
      <c r="I554">
        <v>5000</v>
      </c>
      <c r="J554" s="27">
        <v>4050</v>
      </c>
      <c r="K554" s="3">
        <v>450</v>
      </c>
      <c r="L554" s="29">
        <f t="shared" si="61"/>
        <v>4550</v>
      </c>
      <c r="M554" s="30">
        <v>0</v>
      </c>
      <c r="N554" s="31">
        <f t="shared" si="62"/>
        <v>0</v>
      </c>
      <c r="O554" s="32">
        <v>10</v>
      </c>
      <c r="P554" s="29">
        <f t="shared" si="63"/>
        <v>405</v>
      </c>
      <c r="Q554" s="31">
        <f t="shared" si="64"/>
        <v>1</v>
      </c>
      <c r="T554" s="3"/>
      <c r="U554" s="4">
        <v>250</v>
      </c>
      <c r="V554" s="4">
        <f>K554-H554-U554</f>
        <v>200</v>
      </c>
    </row>
    <row r="555" spans="2:22" x14ac:dyDescent="0.25">
      <c r="B555" s="1">
        <v>384</v>
      </c>
      <c r="C555" s="7">
        <v>14184801</v>
      </c>
      <c r="D555" s="2" t="s">
        <v>528</v>
      </c>
      <c r="E555" s="2" t="s">
        <v>628</v>
      </c>
      <c r="F555" s="2">
        <v>4941620</v>
      </c>
      <c r="G555" s="2" t="s">
        <v>884</v>
      </c>
      <c r="H555" s="5"/>
      <c r="I555">
        <v>5000</v>
      </c>
      <c r="J555" s="27">
        <f t="shared" si="65"/>
        <v>5000</v>
      </c>
      <c r="K555" s="3">
        <v>4750</v>
      </c>
      <c r="L555" s="29">
        <f t="shared" si="61"/>
        <v>250</v>
      </c>
      <c r="M555" s="30">
        <v>0</v>
      </c>
      <c r="N555" s="31">
        <f t="shared" si="62"/>
        <v>0</v>
      </c>
      <c r="O555" s="32">
        <v>10</v>
      </c>
      <c r="P555" s="29">
        <f t="shared" si="63"/>
        <v>500</v>
      </c>
      <c r="Q555" s="31">
        <f t="shared" si="64"/>
        <v>9</v>
      </c>
      <c r="T555" s="3">
        <v>4750</v>
      </c>
      <c r="U555" s="4"/>
      <c r="V555" s="4">
        <f t="shared" ref="V555:V570" si="68">J555-H555-U555</f>
        <v>5000</v>
      </c>
    </row>
    <row r="556" spans="2:22" x14ac:dyDescent="0.25">
      <c r="B556" s="1">
        <v>385</v>
      </c>
      <c r="C556" s="7">
        <v>15127412</v>
      </c>
      <c r="D556" s="2" t="s">
        <v>529</v>
      </c>
      <c r="E556" s="2" t="s">
        <v>607</v>
      </c>
      <c r="F556" s="2">
        <v>6995420</v>
      </c>
      <c r="G556" s="2" t="s">
        <v>885</v>
      </c>
      <c r="H556" s="5">
        <v>300</v>
      </c>
      <c r="I556">
        <v>5000</v>
      </c>
      <c r="J556" s="27">
        <f t="shared" si="65"/>
        <v>4700</v>
      </c>
      <c r="K556" s="3">
        <v>500</v>
      </c>
      <c r="L556" s="29">
        <f t="shared" si="61"/>
        <v>4500</v>
      </c>
      <c r="M556" s="30">
        <v>0</v>
      </c>
      <c r="N556" s="31">
        <f t="shared" si="62"/>
        <v>0</v>
      </c>
      <c r="O556" s="32">
        <v>10</v>
      </c>
      <c r="P556" s="29">
        <f t="shared" si="63"/>
        <v>470</v>
      </c>
      <c r="Q556" s="31">
        <f t="shared" si="64"/>
        <v>1</v>
      </c>
      <c r="T556" s="3">
        <v>500</v>
      </c>
      <c r="U556" s="4"/>
      <c r="V556" s="4">
        <f t="shared" si="68"/>
        <v>4400</v>
      </c>
    </row>
    <row r="557" spans="2:22" x14ac:dyDescent="0.25">
      <c r="B557" s="1">
        <v>385</v>
      </c>
      <c r="C557" s="7">
        <v>16486462</v>
      </c>
      <c r="D557" s="2" t="s">
        <v>530</v>
      </c>
      <c r="E557" s="2" t="s">
        <v>608</v>
      </c>
      <c r="F557" s="2">
        <v>6995421</v>
      </c>
      <c r="G557" s="2" t="s">
        <v>885</v>
      </c>
      <c r="H557" s="5">
        <v>300</v>
      </c>
      <c r="I557">
        <v>5000</v>
      </c>
      <c r="J557" s="27">
        <f t="shared" si="65"/>
        <v>4450</v>
      </c>
      <c r="K557" s="3">
        <v>475</v>
      </c>
      <c r="L557" s="29">
        <f t="shared" si="61"/>
        <v>4275</v>
      </c>
      <c r="M557" s="30">
        <v>0.05</v>
      </c>
      <c r="N557" s="31">
        <f t="shared" si="62"/>
        <v>250</v>
      </c>
      <c r="O557" s="32">
        <v>10</v>
      </c>
      <c r="P557" s="29">
        <f t="shared" si="63"/>
        <v>445</v>
      </c>
      <c r="Q557" s="31">
        <f t="shared" si="64"/>
        <v>1</v>
      </c>
      <c r="T557" s="3">
        <v>475</v>
      </c>
      <c r="U557" s="4"/>
      <c r="V557" s="4">
        <f t="shared" si="68"/>
        <v>4150</v>
      </c>
    </row>
    <row r="558" spans="2:22" x14ac:dyDescent="0.25">
      <c r="B558" s="1">
        <v>386</v>
      </c>
      <c r="C558" s="7">
        <v>13922792</v>
      </c>
      <c r="D558" s="2" t="s">
        <v>531</v>
      </c>
      <c r="E558" s="2" t="s">
        <v>611</v>
      </c>
      <c r="F558" s="2">
        <v>4249507</v>
      </c>
      <c r="G558" s="2" t="s">
        <v>635</v>
      </c>
      <c r="H558" s="5"/>
      <c r="I558">
        <v>5000</v>
      </c>
      <c r="J558" s="27">
        <f t="shared" si="65"/>
        <v>5000</v>
      </c>
      <c r="K558" s="3">
        <v>4750</v>
      </c>
      <c r="L558" s="29">
        <f t="shared" si="61"/>
        <v>250</v>
      </c>
      <c r="M558" s="30">
        <v>0</v>
      </c>
      <c r="N558" s="31">
        <f t="shared" si="62"/>
        <v>0</v>
      </c>
      <c r="O558" s="32">
        <v>10</v>
      </c>
      <c r="P558" s="29">
        <f t="shared" si="63"/>
        <v>500</v>
      </c>
      <c r="Q558" s="31">
        <f t="shared" si="64"/>
        <v>9</v>
      </c>
      <c r="T558" s="3">
        <v>4750</v>
      </c>
      <c r="U558" s="4">
        <v>4750</v>
      </c>
      <c r="V558" s="4">
        <f t="shared" si="68"/>
        <v>250</v>
      </c>
    </row>
    <row r="559" spans="2:22" x14ac:dyDescent="0.25">
      <c r="B559" s="1">
        <v>387</v>
      </c>
      <c r="C559" s="7">
        <v>15358505</v>
      </c>
      <c r="D559" s="2" t="s">
        <v>532</v>
      </c>
      <c r="E559" s="2" t="s">
        <v>616</v>
      </c>
      <c r="F559" s="2">
        <v>15358505</v>
      </c>
      <c r="G559" s="2" t="s">
        <v>743</v>
      </c>
      <c r="H559" s="5"/>
      <c r="I559">
        <v>5000</v>
      </c>
      <c r="J559" s="27">
        <f t="shared" si="65"/>
        <v>5000</v>
      </c>
      <c r="K559" s="3">
        <v>500</v>
      </c>
      <c r="L559" s="29">
        <f t="shared" si="61"/>
        <v>4500</v>
      </c>
      <c r="M559" s="30">
        <v>0</v>
      </c>
      <c r="N559" s="31">
        <f t="shared" si="62"/>
        <v>0</v>
      </c>
      <c r="O559" s="32">
        <v>10</v>
      </c>
      <c r="P559" s="29">
        <f t="shared" si="63"/>
        <v>500</v>
      </c>
      <c r="Q559" s="31">
        <f t="shared" si="64"/>
        <v>1</v>
      </c>
      <c r="T559" s="3">
        <v>500</v>
      </c>
      <c r="U559" s="4"/>
      <c r="V559" s="4">
        <f t="shared" si="68"/>
        <v>5000</v>
      </c>
    </row>
    <row r="560" spans="2:22" x14ac:dyDescent="0.25">
      <c r="B560" s="1">
        <v>388</v>
      </c>
      <c r="C560" s="7">
        <v>15936118</v>
      </c>
      <c r="D560" s="2" t="s">
        <v>533</v>
      </c>
      <c r="E560" s="2" t="s">
        <v>616</v>
      </c>
      <c r="F560" s="2">
        <v>6771380</v>
      </c>
      <c r="G560" s="2" t="s">
        <v>635</v>
      </c>
      <c r="H560" s="5"/>
      <c r="I560">
        <v>5000</v>
      </c>
      <c r="J560" s="27">
        <f t="shared" si="65"/>
        <v>5000</v>
      </c>
      <c r="K560" s="3">
        <v>500</v>
      </c>
      <c r="L560" s="29">
        <f t="shared" si="61"/>
        <v>4500</v>
      </c>
      <c r="M560" s="30">
        <v>0</v>
      </c>
      <c r="N560" s="31">
        <f t="shared" si="62"/>
        <v>0</v>
      </c>
      <c r="O560" s="32">
        <v>10</v>
      </c>
      <c r="P560" s="29">
        <f t="shared" si="63"/>
        <v>500</v>
      </c>
      <c r="Q560" s="31">
        <f t="shared" si="64"/>
        <v>1</v>
      </c>
      <c r="T560" s="3">
        <v>500</v>
      </c>
      <c r="U560" s="4"/>
      <c r="V560" s="4">
        <f t="shared" si="68"/>
        <v>5000</v>
      </c>
    </row>
    <row r="561" spans="2:22" x14ac:dyDescent="0.25">
      <c r="B561" s="1">
        <v>389</v>
      </c>
      <c r="C561" s="7">
        <v>14484192</v>
      </c>
      <c r="D561" s="2" t="s">
        <v>534</v>
      </c>
      <c r="E561" s="2" t="s">
        <v>613</v>
      </c>
      <c r="F561" s="2">
        <v>4942472016</v>
      </c>
      <c r="G561" s="2" t="s">
        <v>886</v>
      </c>
      <c r="H561" s="5"/>
      <c r="I561">
        <v>5000</v>
      </c>
      <c r="J561" s="27">
        <f t="shared" si="65"/>
        <v>5000</v>
      </c>
      <c r="K561" s="3">
        <v>4750</v>
      </c>
      <c r="L561" s="29">
        <f t="shared" si="61"/>
        <v>250</v>
      </c>
      <c r="M561" s="30">
        <v>0</v>
      </c>
      <c r="N561" s="31">
        <f t="shared" si="62"/>
        <v>0</v>
      </c>
      <c r="O561" s="32">
        <v>10</v>
      </c>
      <c r="P561" s="29">
        <f t="shared" si="63"/>
        <v>500</v>
      </c>
      <c r="Q561" s="31">
        <f t="shared" si="64"/>
        <v>9</v>
      </c>
      <c r="T561" s="3">
        <v>4750</v>
      </c>
      <c r="U561" s="4"/>
      <c r="V561" s="4">
        <f t="shared" si="68"/>
        <v>5000</v>
      </c>
    </row>
    <row r="562" spans="2:22" x14ac:dyDescent="0.25">
      <c r="B562" s="1">
        <v>390</v>
      </c>
      <c r="C562" s="7">
        <v>16545472</v>
      </c>
      <c r="D562" s="2" t="s">
        <v>535</v>
      </c>
      <c r="E562" s="2" t="s">
        <v>622</v>
      </c>
      <c r="F562" s="2">
        <v>6954495</v>
      </c>
      <c r="G562" s="2" t="s">
        <v>689</v>
      </c>
      <c r="H562" s="5"/>
      <c r="I562">
        <v>5000</v>
      </c>
      <c r="J562" s="27">
        <f t="shared" si="65"/>
        <v>5000</v>
      </c>
      <c r="K562" s="3">
        <v>500</v>
      </c>
      <c r="L562" s="29">
        <f t="shared" si="61"/>
        <v>4500</v>
      </c>
      <c r="M562" s="30">
        <v>0</v>
      </c>
      <c r="N562" s="31">
        <f t="shared" si="62"/>
        <v>0</v>
      </c>
      <c r="O562" s="32">
        <v>10</v>
      </c>
      <c r="P562" s="29">
        <f t="shared" si="63"/>
        <v>500</v>
      </c>
      <c r="Q562" s="31">
        <f t="shared" si="64"/>
        <v>1</v>
      </c>
      <c r="T562" s="3">
        <v>500</v>
      </c>
      <c r="U562" s="4"/>
      <c r="V562" s="4">
        <f t="shared" si="68"/>
        <v>5000</v>
      </c>
    </row>
    <row r="563" spans="2:22" x14ac:dyDescent="0.25">
      <c r="B563" s="1">
        <v>390</v>
      </c>
      <c r="C563" s="7">
        <v>15458051</v>
      </c>
      <c r="D563" s="2" t="s">
        <v>536</v>
      </c>
      <c r="E563" s="2" t="s">
        <v>616</v>
      </c>
      <c r="F563" s="2">
        <v>6954496</v>
      </c>
      <c r="G563" s="2" t="s">
        <v>689</v>
      </c>
      <c r="H563" s="5"/>
      <c r="I563">
        <v>5000</v>
      </c>
      <c r="J563" s="27">
        <f t="shared" si="65"/>
        <v>4750</v>
      </c>
      <c r="K563" s="3">
        <v>475</v>
      </c>
      <c r="L563" s="29">
        <f t="shared" si="61"/>
        <v>4275</v>
      </c>
      <c r="M563" s="30">
        <v>0.05</v>
      </c>
      <c r="N563" s="31">
        <f t="shared" si="62"/>
        <v>250</v>
      </c>
      <c r="O563" s="32">
        <v>10</v>
      </c>
      <c r="P563" s="29">
        <f t="shared" si="63"/>
        <v>475</v>
      </c>
      <c r="Q563" s="31">
        <f t="shared" si="64"/>
        <v>1</v>
      </c>
      <c r="T563" s="3">
        <v>475</v>
      </c>
      <c r="U563" s="4"/>
      <c r="V563" s="4">
        <f t="shared" si="68"/>
        <v>4750</v>
      </c>
    </row>
    <row r="564" spans="2:22" x14ac:dyDescent="0.25">
      <c r="B564" s="1">
        <v>391</v>
      </c>
      <c r="C564" s="7">
        <v>17139784</v>
      </c>
      <c r="D564" s="2" t="s">
        <v>537</v>
      </c>
      <c r="E564" s="2" t="s">
        <v>606</v>
      </c>
      <c r="F564" s="2">
        <v>9109140</v>
      </c>
      <c r="G564" s="2" t="s">
        <v>817</v>
      </c>
      <c r="H564" s="5">
        <v>300</v>
      </c>
      <c r="I564">
        <v>5000</v>
      </c>
      <c r="J564" s="27">
        <f t="shared" si="65"/>
        <v>4700</v>
      </c>
      <c r="K564" s="3">
        <v>500</v>
      </c>
      <c r="L564" s="29">
        <f t="shared" si="61"/>
        <v>4500</v>
      </c>
      <c r="M564" s="30">
        <v>0</v>
      </c>
      <c r="N564" s="31">
        <f t="shared" si="62"/>
        <v>0</v>
      </c>
      <c r="O564" s="32">
        <v>10</v>
      </c>
      <c r="P564" s="29">
        <f t="shared" si="63"/>
        <v>470</v>
      </c>
      <c r="Q564" s="31">
        <f t="shared" si="64"/>
        <v>1</v>
      </c>
      <c r="T564" s="3">
        <v>500</v>
      </c>
      <c r="U564" s="4"/>
      <c r="V564" s="4">
        <f t="shared" si="68"/>
        <v>4400</v>
      </c>
    </row>
    <row r="565" spans="2:22" x14ac:dyDescent="0.25">
      <c r="B565" s="1">
        <v>392</v>
      </c>
      <c r="C565" s="7">
        <v>12894935</v>
      </c>
      <c r="D565" s="2" t="s">
        <v>538</v>
      </c>
      <c r="E565" s="2" t="s">
        <v>615</v>
      </c>
      <c r="F565" s="2">
        <v>2698076</v>
      </c>
      <c r="G565" s="2" t="s">
        <v>887</v>
      </c>
      <c r="H565" s="5"/>
      <c r="I565">
        <v>5000</v>
      </c>
      <c r="J565" s="27">
        <f t="shared" si="65"/>
        <v>5000</v>
      </c>
      <c r="K565" s="3">
        <v>4750</v>
      </c>
      <c r="L565" s="29">
        <f t="shared" si="61"/>
        <v>250</v>
      </c>
      <c r="M565" s="30">
        <v>0</v>
      </c>
      <c r="N565" s="31">
        <f t="shared" si="62"/>
        <v>0</v>
      </c>
      <c r="O565" s="32">
        <v>10</v>
      </c>
      <c r="P565" s="29">
        <f t="shared" si="63"/>
        <v>500</v>
      </c>
      <c r="Q565" s="31">
        <f t="shared" si="64"/>
        <v>9</v>
      </c>
      <c r="T565" s="3">
        <v>4750</v>
      </c>
      <c r="U565" s="4"/>
      <c r="V565" s="4">
        <f t="shared" si="68"/>
        <v>5000</v>
      </c>
    </row>
    <row r="566" spans="2:22" x14ac:dyDescent="0.25">
      <c r="B566" s="1">
        <v>392</v>
      </c>
      <c r="C566" s="7">
        <v>15398577</v>
      </c>
      <c r="D566" s="2" t="s">
        <v>539</v>
      </c>
      <c r="E566" s="2" t="s">
        <v>607</v>
      </c>
      <c r="F566" s="2">
        <v>2698077</v>
      </c>
      <c r="G566" s="2" t="s">
        <v>887</v>
      </c>
      <c r="H566" s="5"/>
      <c r="I566">
        <v>5000</v>
      </c>
      <c r="J566" s="27">
        <f t="shared" si="65"/>
        <v>5000</v>
      </c>
      <c r="K566" s="3">
        <v>4750</v>
      </c>
      <c r="L566" s="29">
        <f t="shared" si="61"/>
        <v>250</v>
      </c>
      <c r="M566" s="30">
        <v>0</v>
      </c>
      <c r="N566" s="31">
        <f t="shared" si="62"/>
        <v>0</v>
      </c>
      <c r="O566" s="32">
        <v>10</v>
      </c>
      <c r="P566" s="29">
        <f t="shared" si="63"/>
        <v>500</v>
      </c>
      <c r="Q566" s="31">
        <f t="shared" si="64"/>
        <v>9</v>
      </c>
      <c r="T566" s="3">
        <v>4750</v>
      </c>
      <c r="U566" s="4"/>
      <c r="V566" s="4">
        <f t="shared" si="68"/>
        <v>5000</v>
      </c>
    </row>
    <row r="567" spans="2:22" x14ac:dyDescent="0.25">
      <c r="B567" s="1">
        <v>393</v>
      </c>
      <c r="C567" s="7">
        <v>15592808</v>
      </c>
      <c r="D567" s="2" t="s">
        <v>540</v>
      </c>
      <c r="E567" s="2" t="s">
        <v>610</v>
      </c>
      <c r="F567" s="2">
        <v>2623049016</v>
      </c>
      <c r="G567" s="2" t="s">
        <v>888</v>
      </c>
      <c r="H567" s="5"/>
      <c r="I567">
        <v>5000</v>
      </c>
      <c r="J567" s="27">
        <f t="shared" si="65"/>
        <v>5000</v>
      </c>
      <c r="K567" s="3">
        <v>500</v>
      </c>
      <c r="L567" s="29">
        <f t="shared" si="61"/>
        <v>4500</v>
      </c>
      <c r="M567" s="30">
        <v>0</v>
      </c>
      <c r="N567" s="31">
        <f t="shared" si="62"/>
        <v>0</v>
      </c>
      <c r="O567" s="32">
        <v>10</v>
      </c>
      <c r="P567" s="29">
        <f t="shared" si="63"/>
        <v>500</v>
      </c>
      <c r="Q567" s="31">
        <f t="shared" si="64"/>
        <v>1</v>
      </c>
      <c r="T567" s="3">
        <v>500</v>
      </c>
      <c r="U567" s="4"/>
      <c r="V567" s="4">
        <f t="shared" si="68"/>
        <v>5000</v>
      </c>
    </row>
    <row r="568" spans="2:22" x14ac:dyDescent="0.25">
      <c r="B568" s="1">
        <v>393</v>
      </c>
      <c r="C568" s="7">
        <v>16668288</v>
      </c>
      <c r="D568" s="2" t="s">
        <v>541</v>
      </c>
      <c r="E568" s="2" t="s">
        <v>622</v>
      </c>
      <c r="F568" s="2">
        <v>2623049017</v>
      </c>
      <c r="G568" s="2" t="s">
        <v>888</v>
      </c>
      <c r="H568" s="5"/>
      <c r="I568">
        <v>5000</v>
      </c>
      <c r="J568" s="27">
        <f t="shared" si="65"/>
        <v>4750</v>
      </c>
      <c r="K568" s="3">
        <v>475</v>
      </c>
      <c r="L568" s="29">
        <f t="shared" si="61"/>
        <v>4275</v>
      </c>
      <c r="M568" s="30">
        <v>0.05</v>
      </c>
      <c r="N568" s="31">
        <f t="shared" si="62"/>
        <v>250</v>
      </c>
      <c r="O568" s="32">
        <v>10</v>
      </c>
      <c r="P568" s="29">
        <f t="shared" si="63"/>
        <v>475</v>
      </c>
      <c r="Q568" s="31">
        <f t="shared" si="64"/>
        <v>1</v>
      </c>
      <c r="T568" s="3">
        <v>475</v>
      </c>
      <c r="U568" s="4"/>
      <c r="V568" s="4">
        <f t="shared" si="68"/>
        <v>4750</v>
      </c>
    </row>
    <row r="569" spans="2:22" x14ac:dyDescent="0.25">
      <c r="B569" s="1">
        <v>394</v>
      </c>
      <c r="C569" s="7">
        <v>16404278</v>
      </c>
      <c r="D569" s="2" t="s">
        <v>542</v>
      </c>
      <c r="E569" s="2" t="s">
        <v>629</v>
      </c>
      <c r="F569" s="2">
        <v>12483507</v>
      </c>
      <c r="G569" s="2" t="s">
        <v>889</v>
      </c>
      <c r="H569" s="5"/>
      <c r="I569">
        <v>5000</v>
      </c>
      <c r="J569" s="27">
        <f t="shared" si="65"/>
        <v>5000</v>
      </c>
      <c r="K569" s="3">
        <v>500</v>
      </c>
      <c r="L569" s="29">
        <f t="shared" si="61"/>
        <v>4500</v>
      </c>
      <c r="M569" s="30">
        <v>0</v>
      </c>
      <c r="N569" s="31">
        <f t="shared" si="62"/>
        <v>0</v>
      </c>
      <c r="O569" s="32">
        <v>10</v>
      </c>
      <c r="P569" s="29">
        <f t="shared" si="63"/>
        <v>500</v>
      </c>
      <c r="Q569" s="31">
        <f t="shared" si="64"/>
        <v>1</v>
      </c>
      <c r="T569" s="3">
        <v>500</v>
      </c>
      <c r="U569" s="4">
        <v>500</v>
      </c>
      <c r="V569" s="4">
        <f t="shared" si="68"/>
        <v>4500</v>
      </c>
    </row>
    <row r="570" spans="2:22" x14ac:dyDescent="0.25">
      <c r="B570" s="1">
        <v>395</v>
      </c>
      <c r="C570" s="7">
        <v>16946817</v>
      </c>
      <c r="D570" s="2" t="s">
        <v>543</v>
      </c>
      <c r="E570" s="2" t="s">
        <v>622</v>
      </c>
      <c r="F570" s="2">
        <v>16946817</v>
      </c>
      <c r="G570" s="2" t="s">
        <v>641</v>
      </c>
      <c r="H570" s="5"/>
      <c r="I570">
        <v>5000</v>
      </c>
      <c r="J570" s="27">
        <f t="shared" si="65"/>
        <v>5000</v>
      </c>
      <c r="K570" s="3">
        <v>500</v>
      </c>
      <c r="L570" s="29">
        <f t="shared" si="61"/>
        <v>4500</v>
      </c>
      <c r="M570" s="30">
        <v>0</v>
      </c>
      <c r="N570" s="31">
        <f t="shared" si="62"/>
        <v>0</v>
      </c>
      <c r="O570" s="32">
        <v>10</v>
      </c>
      <c r="P570" s="29">
        <f t="shared" si="63"/>
        <v>500</v>
      </c>
      <c r="Q570" s="31">
        <f t="shared" si="64"/>
        <v>1</v>
      </c>
      <c r="T570" s="3">
        <v>500</v>
      </c>
      <c r="U570" s="4"/>
      <c r="V570" s="4">
        <f t="shared" si="68"/>
        <v>5000</v>
      </c>
    </row>
    <row r="571" spans="2:22" x14ac:dyDescent="0.25">
      <c r="B571" s="1"/>
      <c r="C571" s="6"/>
      <c r="D571" s="2" t="s">
        <v>544</v>
      </c>
      <c r="E571" s="2" t="s">
        <v>614</v>
      </c>
      <c r="F571" s="2"/>
      <c r="G571" s="2"/>
      <c r="H571" s="5">
        <v>300</v>
      </c>
      <c r="I571">
        <v>5000</v>
      </c>
      <c r="J571" s="27">
        <v>4050</v>
      </c>
      <c r="K571" s="4">
        <v>450</v>
      </c>
      <c r="L571" s="29">
        <f t="shared" si="61"/>
        <v>4550</v>
      </c>
      <c r="M571" s="30">
        <v>0</v>
      </c>
      <c r="N571" s="31">
        <f t="shared" si="62"/>
        <v>0</v>
      </c>
      <c r="O571" s="32">
        <v>10</v>
      </c>
      <c r="P571" s="29">
        <f t="shared" si="63"/>
        <v>405</v>
      </c>
      <c r="Q571" s="31">
        <f t="shared" si="64"/>
        <v>1</v>
      </c>
      <c r="T571" s="4"/>
      <c r="U571" s="4">
        <v>150</v>
      </c>
      <c r="V571" s="4">
        <f>K571-H571-U571</f>
        <v>0</v>
      </c>
    </row>
    <row r="572" spans="2:22" x14ac:dyDescent="0.25">
      <c r="B572" s="7"/>
      <c r="C572" s="7"/>
      <c r="D572" s="2"/>
      <c r="E572" s="2"/>
      <c r="F572" s="2"/>
      <c r="G572" s="2"/>
      <c r="J572" s="27"/>
      <c r="K572" s="4"/>
      <c r="L572" s="29"/>
      <c r="M572" s="30"/>
      <c r="N572" s="31"/>
      <c r="O572" s="32"/>
      <c r="P572" s="29"/>
      <c r="Q572" s="31"/>
    </row>
    <row r="573" spans="2:22" x14ac:dyDescent="0.25">
      <c r="B573" s="7"/>
      <c r="C573" s="7"/>
      <c r="D573" s="2"/>
      <c r="E573" s="2"/>
      <c r="F573" s="2"/>
      <c r="G573" s="2"/>
      <c r="J573" s="27"/>
      <c r="K573" s="4"/>
      <c r="L573" s="29"/>
      <c r="M573" s="30"/>
      <c r="N573" s="31"/>
      <c r="O573" s="32"/>
      <c r="P573" s="29"/>
      <c r="Q573" s="31"/>
    </row>
    <row r="574" spans="2:22" x14ac:dyDescent="0.25">
      <c r="B574" s="7"/>
      <c r="C574" s="7"/>
      <c r="D574" s="2"/>
      <c r="E574" s="2"/>
      <c r="F574" s="2"/>
      <c r="G574" s="2"/>
      <c r="J574" s="27"/>
      <c r="K574" s="4"/>
      <c r="L574" s="29"/>
      <c r="M574" s="30"/>
      <c r="N574" s="31"/>
      <c r="O574" s="32"/>
      <c r="P574" s="29"/>
      <c r="Q574" s="31"/>
    </row>
    <row r="575" spans="2:22" x14ac:dyDescent="0.25">
      <c r="B575" s="7"/>
      <c r="C575" s="7"/>
      <c r="D575" s="2"/>
      <c r="E575" s="2"/>
      <c r="F575" s="2"/>
      <c r="G575" s="2"/>
      <c r="J575" s="27"/>
      <c r="K575" s="4"/>
      <c r="L575" s="29"/>
      <c r="M575" s="30"/>
      <c r="N575" s="31"/>
      <c r="O575" s="32"/>
      <c r="P575" s="29"/>
      <c r="Q575" s="31"/>
    </row>
    <row r="576" spans="2:22" x14ac:dyDescent="0.25">
      <c r="B576" s="7"/>
      <c r="C576" s="7"/>
      <c r="D576" s="2"/>
      <c r="E576" s="2"/>
      <c r="F576" s="2"/>
      <c r="G576" s="2"/>
      <c r="J576" s="27"/>
      <c r="K576" s="4"/>
      <c r="L576" s="29"/>
      <c r="M576" s="30"/>
      <c r="N576" s="31"/>
      <c r="O576" s="32"/>
      <c r="P576" s="29"/>
      <c r="Q576" s="31"/>
    </row>
    <row r="577" spans="2:17" x14ac:dyDescent="0.25">
      <c r="B577" s="7"/>
      <c r="C577" s="7"/>
      <c r="D577" s="2"/>
      <c r="E577" s="2"/>
      <c r="F577" s="2"/>
      <c r="G577" s="2"/>
      <c r="J577" s="27"/>
      <c r="K577" s="4"/>
      <c r="L577" s="29"/>
      <c r="M577" s="30"/>
      <c r="N577" s="31"/>
      <c r="O577" s="32"/>
      <c r="P577" s="29"/>
      <c r="Q577" s="31"/>
    </row>
    <row r="578" spans="2:17" x14ac:dyDescent="0.25">
      <c r="K578" s="4"/>
    </row>
    <row r="579" spans="2:17" x14ac:dyDescent="0.25">
      <c r="K579" s="4"/>
    </row>
    <row r="580" spans="2:17" x14ac:dyDescent="0.25">
      <c r="K580" s="4"/>
    </row>
  </sheetData>
  <autoFilter ref="B1:Q577" xr:uid="{1C5E4103-B4C0-4772-BC77-2ACE07DFF9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6DD2-7453-42A3-B7C4-83B0BECA2125}">
  <dimension ref="B1:V120"/>
  <sheetViews>
    <sheetView workbookViewId="0">
      <selection activeCell="E19" sqref="E19"/>
    </sheetView>
  </sheetViews>
  <sheetFormatPr baseColWidth="10" defaultRowHeight="15" x14ac:dyDescent="0.25"/>
  <cols>
    <col min="2" max="2" width="9.7109375" bestFit="1" customWidth="1"/>
    <col min="3" max="3" width="15.5703125" customWidth="1"/>
    <col min="4" max="4" width="46.140625" bestFit="1" customWidth="1"/>
    <col min="5" max="7" width="24.140625" customWidth="1"/>
    <col min="8" max="11" width="11.42578125" customWidth="1"/>
    <col min="12" max="16" width="11.140625" customWidth="1"/>
  </cols>
  <sheetData>
    <row r="1" spans="2:22" ht="15.75" thickBot="1" x14ac:dyDescent="0.3"/>
    <row r="2" spans="2:22" ht="45" x14ac:dyDescent="0.25">
      <c r="B2" s="13" t="s">
        <v>574</v>
      </c>
      <c r="C2" s="14" t="s">
        <v>575</v>
      </c>
      <c r="D2" s="14" t="s">
        <v>576</v>
      </c>
      <c r="E2" s="15" t="s">
        <v>577</v>
      </c>
      <c r="F2" s="15" t="s">
        <v>578</v>
      </c>
      <c r="G2" s="15" t="s">
        <v>579</v>
      </c>
      <c r="H2" s="15" t="s">
        <v>580</v>
      </c>
      <c r="I2" s="15"/>
      <c r="J2" s="15" t="s">
        <v>581</v>
      </c>
      <c r="K2" s="15" t="s">
        <v>582</v>
      </c>
      <c r="L2" s="15" t="s">
        <v>583</v>
      </c>
      <c r="M2" s="16" t="s">
        <v>584</v>
      </c>
      <c r="N2" s="17" t="s">
        <v>585</v>
      </c>
      <c r="O2" s="17" t="s">
        <v>586</v>
      </c>
      <c r="P2" s="17" t="s">
        <v>587</v>
      </c>
      <c r="Q2" s="18" t="s">
        <v>588</v>
      </c>
      <c r="R2" s="17" t="s">
        <v>589</v>
      </c>
    </row>
    <row r="3" spans="2:22" x14ac:dyDescent="0.25">
      <c r="B3" s="7">
        <v>396</v>
      </c>
      <c r="C3" s="2">
        <v>15176633</v>
      </c>
      <c r="D3" s="2" t="s">
        <v>545</v>
      </c>
      <c r="E3" s="2" t="s">
        <v>607</v>
      </c>
      <c r="F3" s="2">
        <v>5476033017</v>
      </c>
      <c r="G3" s="2" t="s">
        <v>799</v>
      </c>
      <c r="I3">
        <v>5000</v>
      </c>
      <c r="J3" s="3">
        <v>500</v>
      </c>
      <c r="K3" s="4"/>
      <c r="T3" s="5"/>
      <c r="U3" s="4"/>
      <c r="V3" s="4">
        <f t="shared" ref="V3:V28" si="0">J3-T3-U3</f>
        <v>500</v>
      </c>
    </row>
    <row r="4" spans="2:22" x14ac:dyDescent="0.25">
      <c r="B4" s="7">
        <v>397</v>
      </c>
      <c r="C4" s="2">
        <v>13790452</v>
      </c>
      <c r="D4" s="2" t="s">
        <v>546</v>
      </c>
      <c r="E4" s="2" t="s">
        <v>613</v>
      </c>
      <c r="F4" s="2">
        <v>7029614</v>
      </c>
      <c r="G4" s="2" t="s">
        <v>890</v>
      </c>
      <c r="H4">
        <v>300</v>
      </c>
      <c r="I4">
        <v>5000</v>
      </c>
      <c r="J4" s="3">
        <v>500</v>
      </c>
      <c r="K4" s="4"/>
      <c r="T4" s="5">
        <v>300</v>
      </c>
      <c r="U4" s="4"/>
      <c r="V4" s="4">
        <f t="shared" si="0"/>
        <v>200</v>
      </c>
    </row>
    <row r="5" spans="2:22" x14ac:dyDescent="0.25">
      <c r="B5" s="7">
        <v>397</v>
      </c>
      <c r="C5" s="2">
        <v>15942592</v>
      </c>
      <c r="D5" s="2" t="s">
        <v>547</v>
      </c>
      <c r="E5" s="2" t="s">
        <v>607</v>
      </c>
      <c r="F5" s="2">
        <v>7029615</v>
      </c>
      <c r="G5" s="2" t="s">
        <v>890</v>
      </c>
      <c r="H5">
        <v>300</v>
      </c>
      <c r="I5">
        <v>5000</v>
      </c>
      <c r="J5" s="3">
        <v>475</v>
      </c>
      <c r="K5" s="4"/>
      <c r="T5" s="5">
        <v>300</v>
      </c>
      <c r="U5" s="4"/>
      <c r="V5" s="4">
        <f t="shared" si="0"/>
        <v>175</v>
      </c>
    </row>
    <row r="6" spans="2:22" x14ac:dyDescent="0.25">
      <c r="B6" s="7">
        <v>398</v>
      </c>
      <c r="C6" s="2">
        <v>17038601</v>
      </c>
      <c r="D6" s="2" t="s">
        <v>548</v>
      </c>
      <c r="E6" s="2" t="s">
        <v>607</v>
      </c>
      <c r="F6" s="2">
        <v>6146162</v>
      </c>
      <c r="G6" s="2" t="s">
        <v>891</v>
      </c>
      <c r="I6">
        <v>5000</v>
      </c>
      <c r="J6" s="3">
        <v>500</v>
      </c>
      <c r="K6" s="4"/>
      <c r="T6" s="5"/>
      <c r="U6" s="4">
        <v>500</v>
      </c>
      <c r="V6" s="4">
        <f t="shared" si="0"/>
        <v>0</v>
      </c>
    </row>
    <row r="7" spans="2:22" x14ac:dyDescent="0.25">
      <c r="B7" s="7">
        <v>399</v>
      </c>
      <c r="C7" s="2">
        <v>15103900</v>
      </c>
      <c r="D7" s="2" t="s">
        <v>549</v>
      </c>
      <c r="E7" s="2" t="s">
        <v>611</v>
      </c>
      <c r="F7" s="2">
        <v>136621020</v>
      </c>
      <c r="G7" s="2" t="s">
        <v>733</v>
      </c>
      <c r="I7">
        <v>5000</v>
      </c>
      <c r="J7" s="3">
        <v>500</v>
      </c>
      <c r="K7" s="4"/>
      <c r="T7" s="5"/>
      <c r="U7" s="4"/>
      <c r="V7" s="4">
        <f t="shared" si="0"/>
        <v>500</v>
      </c>
    </row>
    <row r="8" spans="2:22" x14ac:dyDescent="0.25">
      <c r="B8" s="7">
        <v>399</v>
      </c>
      <c r="C8" s="2">
        <v>16174528</v>
      </c>
      <c r="D8" s="2" t="s">
        <v>550</v>
      </c>
      <c r="E8" s="2" t="s">
        <v>629</v>
      </c>
      <c r="F8" s="2">
        <v>136621021</v>
      </c>
      <c r="G8" s="2" t="s">
        <v>733</v>
      </c>
      <c r="I8">
        <v>5000</v>
      </c>
      <c r="J8" s="3">
        <v>475</v>
      </c>
      <c r="K8" s="4"/>
      <c r="T8" s="5"/>
      <c r="U8" s="4">
        <v>450</v>
      </c>
      <c r="V8" s="4">
        <f t="shared" si="0"/>
        <v>25</v>
      </c>
    </row>
    <row r="9" spans="2:22" x14ac:dyDescent="0.25">
      <c r="B9" s="1">
        <v>400</v>
      </c>
      <c r="C9" s="6"/>
      <c r="D9" s="2" t="s">
        <v>551</v>
      </c>
      <c r="E9" s="12"/>
      <c r="F9" s="12"/>
      <c r="G9" s="12"/>
      <c r="H9" s="12"/>
      <c r="I9" s="12"/>
      <c r="J9" s="3">
        <v>4750</v>
      </c>
      <c r="K9" s="4"/>
      <c r="T9" s="5"/>
      <c r="U9" s="4">
        <v>4750</v>
      </c>
      <c r="V9" s="4">
        <f t="shared" si="0"/>
        <v>0</v>
      </c>
    </row>
    <row r="10" spans="2:22" x14ac:dyDescent="0.25">
      <c r="B10" s="1">
        <v>400</v>
      </c>
      <c r="C10" s="6"/>
      <c r="D10" s="2" t="s">
        <v>552</v>
      </c>
      <c r="E10" s="12"/>
      <c r="F10" s="12"/>
      <c r="G10" s="12"/>
      <c r="H10" s="12"/>
      <c r="I10" s="12"/>
      <c r="J10" s="3">
        <v>4750</v>
      </c>
      <c r="K10" s="4"/>
      <c r="T10" s="5"/>
      <c r="U10" s="4">
        <v>4750</v>
      </c>
      <c r="V10" s="4">
        <f t="shared" si="0"/>
        <v>0</v>
      </c>
    </row>
    <row r="11" spans="2:22" x14ac:dyDescent="0.25">
      <c r="B11" s="1">
        <v>401</v>
      </c>
      <c r="C11" s="6"/>
      <c r="D11" s="2" t="s">
        <v>553</v>
      </c>
      <c r="E11" s="12"/>
      <c r="F11" s="12"/>
      <c r="G11" s="12"/>
      <c r="H11" s="12"/>
      <c r="I11" s="12"/>
      <c r="J11" s="3">
        <v>500</v>
      </c>
      <c r="K11" s="4"/>
      <c r="T11" s="5"/>
      <c r="U11" s="4"/>
      <c r="V11" s="4">
        <f t="shared" si="0"/>
        <v>500</v>
      </c>
    </row>
    <row r="12" spans="2:22" x14ac:dyDescent="0.25">
      <c r="B12" s="1">
        <v>401</v>
      </c>
      <c r="C12" s="6"/>
      <c r="D12" s="2" t="s">
        <v>554</v>
      </c>
      <c r="E12" s="12"/>
      <c r="F12" s="12"/>
      <c r="G12" s="12"/>
      <c r="H12" s="12"/>
      <c r="I12" s="12"/>
      <c r="J12" s="3">
        <v>475</v>
      </c>
      <c r="K12" s="4"/>
      <c r="T12" s="5"/>
      <c r="U12" s="4">
        <v>200</v>
      </c>
      <c r="V12" s="4">
        <f t="shared" si="0"/>
        <v>275</v>
      </c>
    </row>
    <row r="13" spans="2:22" x14ac:dyDescent="0.25">
      <c r="B13" s="1">
        <v>401</v>
      </c>
      <c r="C13" s="6"/>
      <c r="D13" s="2" t="s">
        <v>555</v>
      </c>
      <c r="E13" s="12"/>
      <c r="F13" s="12"/>
      <c r="G13" s="12"/>
      <c r="H13" s="12"/>
      <c r="I13" s="12"/>
      <c r="J13" s="3">
        <v>450</v>
      </c>
      <c r="K13" s="4"/>
      <c r="T13" s="5"/>
      <c r="U13" s="4"/>
      <c r="V13" s="4">
        <f t="shared" si="0"/>
        <v>450</v>
      </c>
    </row>
    <row r="14" spans="2:22" x14ac:dyDescent="0.25">
      <c r="B14" s="1">
        <v>402</v>
      </c>
      <c r="C14" s="6"/>
      <c r="D14" s="2" t="s">
        <v>556</v>
      </c>
      <c r="E14" s="12"/>
      <c r="F14" s="12"/>
      <c r="G14" s="12"/>
      <c r="H14" s="12"/>
      <c r="I14" s="12"/>
      <c r="J14" s="3">
        <v>450</v>
      </c>
      <c r="K14" s="4"/>
      <c r="T14" s="5"/>
      <c r="U14" s="4"/>
      <c r="V14" s="4">
        <f t="shared" si="0"/>
        <v>450</v>
      </c>
    </row>
    <row r="15" spans="2:22" x14ac:dyDescent="0.25">
      <c r="B15" s="1">
        <v>402</v>
      </c>
      <c r="C15" s="6"/>
      <c r="D15" s="2" t="s">
        <v>557</v>
      </c>
      <c r="E15" s="12"/>
      <c r="F15" s="12"/>
      <c r="G15" s="12"/>
      <c r="H15" s="12"/>
      <c r="I15" s="12"/>
      <c r="J15" s="3">
        <v>475</v>
      </c>
      <c r="K15" s="4"/>
      <c r="T15" s="5"/>
      <c r="U15" s="4"/>
      <c r="V15" s="4">
        <f t="shared" si="0"/>
        <v>475</v>
      </c>
    </row>
    <row r="16" spans="2:22" x14ac:dyDescent="0.25">
      <c r="B16" s="1">
        <v>403</v>
      </c>
      <c r="C16" s="6"/>
      <c r="D16" s="2" t="s">
        <v>562</v>
      </c>
      <c r="E16" s="12"/>
      <c r="F16" s="12"/>
      <c r="G16" s="12"/>
      <c r="H16" s="12">
        <v>300</v>
      </c>
      <c r="I16" s="12"/>
      <c r="J16" s="3">
        <v>4750</v>
      </c>
      <c r="K16" s="4"/>
      <c r="T16" s="5">
        <v>300</v>
      </c>
      <c r="U16" s="4"/>
      <c r="V16" s="4">
        <f t="shared" si="0"/>
        <v>4450</v>
      </c>
    </row>
    <row r="17" spans="2:22" x14ac:dyDescent="0.25">
      <c r="B17" s="1">
        <v>404</v>
      </c>
      <c r="C17" s="6"/>
      <c r="D17" s="2" t="s">
        <v>563</v>
      </c>
      <c r="E17" s="12"/>
      <c r="F17" s="12"/>
      <c r="G17" s="12"/>
      <c r="H17" s="12"/>
      <c r="I17" s="12"/>
      <c r="J17" s="3">
        <v>500</v>
      </c>
      <c r="K17" s="4"/>
      <c r="T17" s="5"/>
      <c r="U17" s="4"/>
      <c r="V17" s="4">
        <f t="shared" si="0"/>
        <v>500</v>
      </c>
    </row>
    <row r="18" spans="2:22" x14ac:dyDescent="0.25">
      <c r="B18" s="1">
        <v>405</v>
      </c>
      <c r="C18" s="6"/>
      <c r="D18" s="2" t="s">
        <v>564</v>
      </c>
      <c r="E18" s="12"/>
      <c r="F18" s="12"/>
      <c r="G18" s="12"/>
      <c r="H18" s="12"/>
      <c r="I18" s="12"/>
      <c r="J18" s="3">
        <v>500</v>
      </c>
      <c r="K18" s="4"/>
      <c r="T18" s="5"/>
      <c r="U18" s="4"/>
      <c r="V18" s="4">
        <f t="shared" si="0"/>
        <v>500</v>
      </c>
    </row>
    <row r="19" spans="2:22" x14ac:dyDescent="0.25">
      <c r="B19" s="1">
        <v>405</v>
      </c>
      <c r="C19" s="6"/>
      <c r="D19" s="2" t="s">
        <v>565</v>
      </c>
      <c r="E19" s="12"/>
      <c r="F19" s="12"/>
      <c r="G19" s="12"/>
      <c r="H19" s="12"/>
      <c r="I19" s="12"/>
      <c r="J19" s="3">
        <v>475</v>
      </c>
      <c r="K19" s="4"/>
      <c r="T19" s="5"/>
      <c r="U19" s="4"/>
      <c r="V19" s="4">
        <f t="shared" si="0"/>
        <v>475</v>
      </c>
    </row>
    <row r="20" spans="2:22" x14ac:dyDescent="0.25">
      <c r="B20" s="1">
        <v>406</v>
      </c>
      <c r="C20" s="6"/>
      <c r="D20" s="2" t="s">
        <v>548</v>
      </c>
      <c r="E20" s="12"/>
      <c r="F20" s="12"/>
      <c r="G20" s="12"/>
      <c r="H20" s="12"/>
      <c r="I20" s="12"/>
      <c r="J20" s="3">
        <v>500</v>
      </c>
      <c r="K20" s="4"/>
      <c r="T20" s="5"/>
      <c r="U20" s="4">
        <v>500</v>
      </c>
      <c r="V20" s="4">
        <f t="shared" si="0"/>
        <v>0</v>
      </c>
    </row>
    <row r="21" spans="2:22" x14ac:dyDescent="0.25">
      <c r="B21" s="1">
        <v>407</v>
      </c>
      <c r="C21" s="6"/>
      <c r="D21" s="2" t="s">
        <v>566</v>
      </c>
      <c r="E21" s="12"/>
      <c r="F21" s="12"/>
      <c r="G21" s="12"/>
      <c r="H21" s="12"/>
      <c r="I21" s="12"/>
      <c r="J21" s="3">
        <v>4750</v>
      </c>
      <c r="K21" s="4"/>
      <c r="T21" s="5"/>
      <c r="U21" s="4"/>
      <c r="V21" s="4">
        <f t="shared" si="0"/>
        <v>4750</v>
      </c>
    </row>
    <row r="22" spans="2:22" x14ac:dyDescent="0.25">
      <c r="B22" s="1">
        <v>408</v>
      </c>
      <c r="C22" s="6"/>
      <c r="D22" s="2" t="s">
        <v>567</v>
      </c>
      <c r="E22" s="12"/>
      <c r="F22" s="12"/>
      <c r="G22" s="12"/>
      <c r="H22" s="12"/>
      <c r="I22" s="12"/>
      <c r="J22" s="3">
        <v>500</v>
      </c>
      <c r="K22" s="4"/>
      <c r="T22" s="5"/>
      <c r="U22" s="4">
        <v>500</v>
      </c>
      <c r="V22" s="4">
        <f t="shared" si="0"/>
        <v>0</v>
      </c>
    </row>
    <row r="23" spans="2:22" x14ac:dyDescent="0.25">
      <c r="B23" s="1">
        <v>409</v>
      </c>
      <c r="C23" s="6"/>
      <c r="D23" s="2" t="s">
        <v>568</v>
      </c>
      <c r="E23" s="12"/>
      <c r="F23" s="12"/>
      <c r="G23" s="12"/>
      <c r="H23" s="12"/>
      <c r="I23" s="12"/>
      <c r="J23" s="3">
        <v>500</v>
      </c>
      <c r="K23" s="4"/>
      <c r="T23" s="5"/>
      <c r="U23" s="4"/>
      <c r="V23" s="4">
        <f t="shared" si="0"/>
        <v>500</v>
      </c>
    </row>
    <row r="24" spans="2:22" x14ac:dyDescent="0.25">
      <c r="B24" s="1">
        <v>409</v>
      </c>
      <c r="C24" s="6"/>
      <c r="D24" s="2" t="s">
        <v>569</v>
      </c>
      <c r="E24" s="12"/>
      <c r="F24" s="12"/>
      <c r="G24" s="12"/>
      <c r="H24" s="12"/>
      <c r="I24" s="12"/>
      <c r="J24" s="3">
        <v>475</v>
      </c>
      <c r="K24" s="4"/>
      <c r="T24" s="5"/>
      <c r="U24" s="4"/>
      <c r="V24" s="4">
        <f t="shared" si="0"/>
        <v>475</v>
      </c>
    </row>
    <row r="25" spans="2:22" x14ac:dyDescent="0.25">
      <c r="B25" s="1"/>
      <c r="C25" s="6"/>
      <c r="D25" s="2" t="s">
        <v>570</v>
      </c>
      <c r="E25" s="12"/>
      <c r="F25" s="12"/>
      <c r="G25" s="12"/>
      <c r="H25" s="12"/>
      <c r="I25" s="12"/>
      <c r="J25" s="3"/>
      <c r="K25" s="4"/>
      <c r="T25" s="5"/>
      <c r="U25" s="4"/>
      <c r="V25" s="4">
        <f t="shared" si="0"/>
        <v>0</v>
      </c>
    </row>
    <row r="26" spans="2:22" x14ac:dyDescent="0.25">
      <c r="B26" s="1">
        <v>410</v>
      </c>
      <c r="C26" s="6"/>
      <c r="D26" s="2" t="s">
        <v>571</v>
      </c>
      <c r="E26" s="12"/>
      <c r="F26" s="12"/>
      <c r="G26" s="12"/>
      <c r="H26" s="12"/>
      <c r="I26" s="12"/>
      <c r="J26" s="3">
        <v>500</v>
      </c>
      <c r="K26" s="4"/>
      <c r="T26" s="5"/>
      <c r="U26" s="4"/>
      <c r="V26" s="4">
        <f t="shared" si="0"/>
        <v>500</v>
      </c>
    </row>
    <row r="27" spans="2:22" x14ac:dyDescent="0.25">
      <c r="B27" s="1">
        <v>411</v>
      </c>
      <c r="C27" s="6"/>
      <c r="D27" s="2" t="s">
        <v>572</v>
      </c>
      <c r="E27" s="12"/>
      <c r="F27" s="12"/>
      <c r="G27" s="12"/>
      <c r="H27" s="12"/>
      <c r="I27" s="12"/>
      <c r="J27" s="3">
        <v>500</v>
      </c>
      <c r="K27" s="4"/>
      <c r="T27" s="5"/>
      <c r="U27" s="4"/>
      <c r="V27" s="4">
        <f t="shared" si="0"/>
        <v>500</v>
      </c>
    </row>
    <row r="28" spans="2:22" x14ac:dyDescent="0.25">
      <c r="B28" s="1">
        <v>412</v>
      </c>
      <c r="C28" s="6"/>
      <c r="D28" s="2" t="s">
        <v>573</v>
      </c>
      <c r="E28" s="12"/>
      <c r="F28" s="12"/>
      <c r="G28" s="12"/>
      <c r="H28" s="12"/>
      <c r="I28" s="12"/>
      <c r="J28" s="3">
        <v>500</v>
      </c>
      <c r="K28" s="4"/>
      <c r="T28" s="5"/>
      <c r="U28" s="4"/>
      <c r="V28" s="4">
        <f t="shared" si="0"/>
        <v>500</v>
      </c>
    </row>
    <row r="29" spans="2:22" x14ac:dyDescent="0.25">
      <c r="B29" s="1"/>
      <c r="C29" s="6"/>
      <c r="D29" s="2"/>
      <c r="E29" s="12"/>
      <c r="F29" s="12"/>
      <c r="G29" s="12"/>
      <c r="H29" s="12"/>
      <c r="I29" s="12"/>
      <c r="J29" s="12"/>
      <c r="K29" s="12"/>
      <c r="L29" s="3"/>
      <c r="M29" s="4"/>
      <c r="N29" s="5"/>
      <c r="O29" s="4"/>
      <c r="P29" s="4"/>
    </row>
    <row r="30" spans="2:22" x14ac:dyDescent="0.25">
      <c r="B30" s="1"/>
      <c r="C30" s="6"/>
      <c r="D30" s="2"/>
      <c r="E30" s="12"/>
      <c r="F30" s="12"/>
      <c r="G30" s="12"/>
      <c r="H30" s="12"/>
      <c r="I30" s="12"/>
      <c r="J30" s="12"/>
      <c r="K30" s="12"/>
      <c r="L30" s="3"/>
      <c r="M30" s="4"/>
      <c r="N30" s="5"/>
      <c r="O30" s="4"/>
      <c r="P30" s="4"/>
    </row>
    <row r="31" spans="2:22" x14ac:dyDescent="0.25">
      <c r="B31" s="1"/>
      <c r="C31" s="6"/>
      <c r="D31" s="2"/>
      <c r="E31" s="12"/>
      <c r="F31" s="12"/>
      <c r="G31" s="12"/>
      <c r="H31" s="12"/>
      <c r="I31" s="12"/>
      <c r="J31" s="12"/>
      <c r="K31" s="12"/>
      <c r="L31" s="3"/>
      <c r="M31" s="4"/>
      <c r="N31" s="5"/>
      <c r="O31" s="4"/>
      <c r="P31" s="4"/>
    </row>
    <row r="32" spans="2:22" x14ac:dyDescent="0.25">
      <c r="B32" s="1"/>
      <c r="C32" s="6"/>
      <c r="D32" s="2"/>
      <c r="E32" s="12"/>
      <c r="F32" s="12"/>
      <c r="G32" s="12"/>
      <c r="H32" s="12"/>
      <c r="I32" s="12"/>
      <c r="J32" s="12"/>
      <c r="K32" s="12"/>
      <c r="L32" s="3"/>
      <c r="M32" s="4"/>
      <c r="N32" s="5"/>
      <c r="O32" s="4"/>
      <c r="P32" s="4"/>
    </row>
    <row r="33" spans="2:16" x14ac:dyDescent="0.25">
      <c r="B33" s="1"/>
      <c r="C33" s="6"/>
      <c r="D33" s="2"/>
      <c r="E33" s="12"/>
      <c r="F33" s="12"/>
      <c r="G33" s="12"/>
      <c r="H33" s="12"/>
      <c r="I33" s="12"/>
      <c r="J33" s="12"/>
      <c r="K33" s="12"/>
      <c r="L33" s="3"/>
      <c r="M33" s="4"/>
      <c r="N33" s="5"/>
      <c r="O33" s="4"/>
      <c r="P33" s="4"/>
    </row>
    <row r="34" spans="2:16" x14ac:dyDescent="0.25">
      <c r="B34" s="1"/>
      <c r="C34" s="6"/>
      <c r="D34" s="2"/>
      <c r="E34" s="12"/>
      <c r="F34" s="12"/>
      <c r="G34" s="12"/>
      <c r="H34" s="12"/>
      <c r="I34" s="12"/>
      <c r="J34" s="12"/>
      <c r="K34" s="12"/>
      <c r="L34" s="3"/>
      <c r="M34" s="4"/>
      <c r="N34" s="5"/>
      <c r="O34" s="4"/>
      <c r="P34" s="4"/>
    </row>
    <row r="35" spans="2:16" x14ac:dyDescent="0.25">
      <c r="B35" s="1"/>
      <c r="C35" s="6"/>
      <c r="D35" s="2"/>
      <c r="E35" s="12"/>
      <c r="F35" s="12"/>
      <c r="G35" s="12"/>
      <c r="H35" s="12"/>
      <c r="I35" s="12"/>
      <c r="J35" s="12"/>
      <c r="K35" s="12"/>
      <c r="L35" s="3"/>
      <c r="M35" s="4"/>
      <c r="N35" s="5"/>
      <c r="O35" s="4"/>
      <c r="P35" s="4"/>
    </row>
    <row r="36" spans="2:16" x14ac:dyDescent="0.25">
      <c r="B36" s="1"/>
      <c r="C36" s="6"/>
      <c r="D36" s="2"/>
      <c r="E36" s="12"/>
      <c r="F36" s="12"/>
      <c r="G36" s="12"/>
      <c r="H36" s="12"/>
      <c r="I36" s="12"/>
      <c r="J36" s="12"/>
      <c r="K36" s="12"/>
      <c r="L36" s="3"/>
      <c r="M36" s="4"/>
      <c r="N36" s="5"/>
      <c r="O36" s="4"/>
      <c r="P36" s="4"/>
    </row>
    <row r="37" spans="2:16" x14ac:dyDescent="0.25">
      <c r="B37" s="1"/>
      <c r="C37" s="6"/>
      <c r="D37" s="2"/>
      <c r="E37" s="12"/>
      <c r="F37" s="12"/>
      <c r="G37" s="12"/>
      <c r="H37" s="12"/>
      <c r="I37" s="12"/>
      <c r="J37" s="12"/>
      <c r="K37" s="12"/>
      <c r="L37" s="3"/>
      <c r="M37" s="4"/>
      <c r="N37" s="5"/>
      <c r="O37" s="4"/>
      <c r="P37" s="4"/>
    </row>
    <row r="38" spans="2:16" x14ac:dyDescent="0.25">
      <c r="B38" s="1"/>
      <c r="C38" s="6"/>
      <c r="D38" s="2"/>
      <c r="E38" s="12"/>
      <c r="F38" s="12"/>
      <c r="G38" s="12"/>
      <c r="H38" s="12"/>
      <c r="I38" s="12"/>
      <c r="J38" s="12"/>
      <c r="K38" s="12"/>
      <c r="L38" s="3"/>
      <c r="M38" s="4"/>
      <c r="N38" s="5"/>
      <c r="O38" s="4"/>
      <c r="P38" s="4"/>
    </row>
    <row r="39" spans="2:16" x14ac:dyDescent="0.25">
      <c r="B39" s="1"/>
      <c r="C39" s="6"/>
      <c r="D39" s="2"/>
      <c r="E39" s="12"/>
      <c r="F39" s="12"/>
      <c r="G39" s="12"/>
      <c r="H39" s="12"/>
      <c r="I39" s="12"/>
      <c r="J39" s="12"/>
      <c r="K39" s="12"/>
      <c r="L39" s="3"/>
      <c r="M39" s="4"/>
      <c r="N39" s="5"/>
      <c r="O39" s="4"/>
      <c r="P39" s="4"/>
    </row>
    <row r="40" spans="2:16" x14ac:dyDescent="0.25">
      <c r="B40" s="1"/>
      <c r="C40" s="6"/>
      <c r="D40" s="2"/>
      <c r="E40" s="12"/>
      <c r="F40" s="12"/>
      <c r="G40" s="12"/>
      <c r="H40" s="12"/>
      <c r="I40" s="12"/>
      <c r="J40" s="12"/>
      <c r="K40" s="12"/>
      <c r="L40" s="3"/>
      <c r="M40" s="4"/>
      <c r="N40" s="5"/>
      <c r="O40" s="4"/>
      <c r="P40" s="4"/>
    </row>
    <row r="41" spans="2:16" x14ac:dyDescent="0.25">
      <c r="B41" s="1"/>
      <c r="C41" s="6"/>
      <c r="D41" s="2"/>
      <c r="E41" s="12"/>
      <c r="F41" s="12"/>
      <c r="G41" s="12"/>
      <c r="H41" s="12"/>
      <c r="I41" s="12"/>
      <c r="J41" s="12"/>
      <c r="K41" s="12"/>
      <c r="L41" s="3"/>
      <c r="M41" s="4"/>
      <c r="N41" s="5"/>
      <c r="O41" s="4"/>
      <c r="P41" s="4"/>
    </row>
    <row r="42" spans="2:16" x14ac:dyDescent="0.25">
      <c r="B42" s="1"/>
      <c r="C42" s="6"/>
      <c r="D42" s="2"/>
      <c r="E42" s="12"/>
      <c r="F42" s="12"/>
      <c r="G42" s="12"/>
      <c r="H42" s="12"/>
      <c r="I42" s="12"/>
      <c r="J42" s="12"/>
      <c r="K42" s="12"/>
      <c r="L42" s="3"/>
      <c r="M42" s="4"/>
      <c r="N42" s="5"/>
      <c r="O42" s="4"/>
      <c r="P42" s="4"/>
    </row>
    <row r="43" spans="2:16" x14ac:dyDescent="0.25">
      <c r="B43" s="1"/>
      <c r="C43" s="6"/>
      <c r="D43" s="2"/>
      <c r="E43" s="12"/>
      <c r="F43" s="12"/>
      <c r="G43" s="12"/>
      <c r="H43" s="12"/>
      <c r="I43" s="12"/>
      <c r="J43" s="12"/>
      <c r="K43" s="12"/>
      <c r="L43" s="3"/>
      <c r="M43" s="4"/>
      <c r="N43" s="5"/>
      <c r="O43" s="4"/>
      <c r="P43" s="4"/>
    </row>
    <row r="44" spans="2:16" x14ac:dyDescent="0.25">
      <c r="B44" s="1"/>
      <c r="C44" s="6"/>
      <c r="D44" s="2"/>
      <c r="E44" s="12"/>
      <c r="F44" s="12"/>
      <c r="G44" s="12"/>
      <c r="H44" s="12"/>
      <c r="I44" s="12"/>
      <c r="J44" s="12"/>
      <c r="K44" s="12"/>
      <c r="L44" s="3"/>
      <c r="M44" s="4"/>
      <c r="N44" s="5"/>
      <c r="O44" s="4"/>
      <c r="P44" s="4"/>
    </row>
    <row r="45" spans="2:16" x14ac:dyDescent="0.25">
      <c r="B45" s="1"/>
      <c r="C45" s="6"/>
      <c r="D45" s="2"/>
      <c r="E45" s="12"/>
      <c r="F45" s="12"/>
      <c r="G45" s="12"/>
      <c r="H45" s="12"/>
      <c r="I45" s="12"/>
      <c r="J45" s="12"/>
      <c r="K45" s="12"/>
      <c r="L45" s="3"/>
      <c r="M45" s="4"/>
      <c r="N45" s="5"/>
      <c r="O45" s="4"/>
      <c r="P45" s="4"/>
    </row>
    <row r="46" spans="2:16" x14ac:dyDescent="0.25">
      <c r="B46" s="1"/>
      <c r="C46" s="6"/>
      <c r="D46" s="2"/>
      <c r="E46" s="12"/>
      <c r="F46" s="12"/>
      <c r="G46" s="12"/>
      <c r="H46" s="12"/>
      <c r="I46" s="12"/>
      <c r="J46" s="12"/>
      <c r="K46" s="12"/>
      <c r="L46" s="3"/>
      <c r="M46" s="4"/>
      <c r="N46" s="5"/>
      <c r="O46" s="4"/>
      <c r="P46" s="4"/>
    </row>
    <row r="47" spans="2:16" x14ac:dyDescent="0.25">
      <c r="B47" s="1"/>
      <c r="C47" s="6"/>
      <c r="D47" s="2"/>
      <c r="E47" s="12"/>
      <c r="F47" s="12"/>
      <c r="G47" s="12"/>
      <c r="H47" s="12"/>
      <c r="I47" s="12"/>
      <c r="J47" s="12"/>
      <c r="K47" s="12"/>
      <c r="L47" s="3"/>
      <c r="M47" s="4"/>
      <c r="N47" s="5"/>
      <c r="O47" s="4"/>
      <c r="P47" s="4"/>
    </row>
    <row r="48" spans="2:16" x14ac:dyDescent="0.25">
      <c r="B48" s="1"/>
      <c r="C48" s="6"/>
      <c r="D48" s="2"/>
      <c r="E48" s="12"/>
      <c r="F48" s="12"/>
      <c r="G48" s="12"/>
      <c r="H48" s="12"/>
      <c r="I48" s="12"/>
      <c r="J48" s="12"/>
      <c r="K48" s="12"/>
      <c r="L48" s="3"/>
      <c r="M48" s="4"/>
      <c r="N48" s="5"/>
      <c r="O48" s="4"/>
      <c r="P48" s="4"/>
    </row>
    <row r="49" spans="2:16" x14ac:dyDescent="0.25">
      <c r="B49" s="1"/>
      <c r="C49" s="6"/>
      <c r="D49" s="2"/>
      <c r="E49" s="12"/>
      <c r="F49" s="12"/>
      <c r="G49" s="12"/>
      <c r="H49" s="12"/>
      <c r="I49" s="12"/>
      <c r="J49" s="12"/>
      <c r="K49" s="12"/>
      <c r="L49" s="3"/>
      <c r="M49" s="4"/>
      <c r="N49" s="5"/>
      <c r="O49" s="4"/>
      <c r="P49" s="4"/>
    </row>
    <row r="50" spans="2:16" x14ac:dyDescent="0.25">
      <c r="B50" s="1"/>
      <c r="C50" s="6"/>
      <c r="D50" s="2"/>
      <c r="E50" s="12"/>
      <c r="F50" s="12"/>
      <c r="G50" s="12"/>
      <c r="H50" s="12"/>
      <c r="I50" s="12"/>
      <c r="J50" s="12"/>
      <c r="K50" s="12"/>
      <c r="L50" s="3"/>
      <c r="M50" s="4"/>
      <c r="N50" s="5"/>
      <c r="O50" s="4"/>
      <c r="P50" s="4"/>
    </row>
    <row r="51" spans="2:16" x14ac:dyDescent="0.25">
      <c r="B51" s="1"/>
      <c r="C51" s="6"/>
      <c r="D51" s="2"/>
      <c r="E51" s="12"/>
      <c r="F51" s="12"/>
      <c r="G51" s="12"/>
      <c r="H51" s="12"/>
      <c r="I51" s="12"/>
      <c r="J51" s="12"/>
      <c r="K51" s="12"/>
      <c r="L51" s="3"/>
      <c r="M51" s="4"/>
      <c r="N51" s="5"/>
      <c r="O51" s="4"/>
      <c r="P51" s="4"/>
    </row>
    <row r="52" spans="2:16" x14ac:dyDescent="0.25">
      <c r="B52" s="1"/>
      <c r="C52" s="6"/>
      <c r="D52" s="2"/>
      <c r="E52" s="12"/>
      <c r="F52" s="12"/>
      <c r="G52" s="12"/>
      <c r="H52" s="12"/>
      <c r="I52" s="12"/>
      <c r="J52" s="12"/>
      <c r="K52" s="12"/>
      <c r="L52" s="3"/>
      <c r="M52" s="4"/>
      <c r="N52" s="5"/>
      <c r="O52" s="4"/>
      <c r="P52" s="4"/>
    </row>
    <row r="53" spans="2:16" x14ac:dyDescent="0.25">
      <c r="B53" s="1"/>
      <c r="C53" s="6"/>
      <c r="D53" s="2"/>
      <c r="E53" s="12"/>
      <c r="F53" s="12"/>
      <c r="G53" s="12"/>
      <c r="H53" s="12"/>
      <c r="I53" s="12"/>
      <c r="J53" s="12"/>
      <c r="K53" s="12"/>
      <c r="L53" s="3"/>
      <c r="M53" s="4"/>
      <c r="N53" s="5"/>
      <c r="O53" s="4"/>
      <c r="P53" s="4"/>
    </row>
    <row r="54" spans="2:16" x14ac:dyDescent="0.25">
      <c r="B54" s="1"/>
      <c r="C54" s="6"/>
      <c r="D54" s="2"/>
      <c r="E54" s="12"/>
      <c r="F54" s="12"/>
      <c r="G54" s="12"/>
      <c r="H54" s="12"/>
      <c r="I54" s="12"/>
      <c r="J54" s="12"/>
      <c r="K54" s="12"/>
      <c r="L54" s="3"/>
      <c r="M54" s="4"/>
      <c r="N54" s="5"/>
      <c r="O54" s="4"/>
      <c r="P54" s="4"/>
    </row>
    <row r="55" spans="2:16" x14ac:dyDescent="0.25">
      <c r="B55" s="1"/>
      <c r="C55" s="6"/>
      <c r="D55" s="2"/>
      <c r="E55" s="12"/>
      <c r="F55" s="12"/>
      <c r="G55" s="12"/>
      <c r="H55" s="12"/>
      <c r="I55" s="12"/>
      <c r="J55" s="12"/>
      <c r="K55" s="12"/>
      <c r="L55" s="3"/>
      <c r="M55" s="4"/>
      <c r="N55" s="5"/>
      <c r="O55" s="4"/>
      <c r="P55" s="4"/>
    </row>
    <row r="56" spans="2:16" x14ac:dyDescent="0.25">
      <c r="B56" s="1"/>
      <c r="C56" s="6"/>
      <c r="D56" s="2"/>
      <c r="E56" s="12"/>
      <c r="F56" s="12"/>
      <c r="G56" s="12"/>
      <c r="H56" s="12"/>
      <c r="I56" s="12"/>
      <c r="J56" s="12"/>
      <c r="K56" s="12"/>
      <c r="L56" s="3"/>
      <c r="M56" s="4"/>
      <c r="N56" s="5"/>
      <c r="O56" s="4"/>
      <c r="P56" s="4"/>
    </row>
    <row r="57" spans="2:16" x14ac:dyDescent="0.25">
      <c r="B57" s="1"/>
      <c r="C57" s="6"/>
      <c r="D57" s="2"/>
      <c r="E57" s="12"/>
      <c r="F57" s="12"/>
      <c r="G57" s="12"/>
      <c r="H57" s="12"/>
      <c r="I57" s="12"/>
      <c r="J57" s="12"/>
      <c r="K57" s="12"/>
      <c r="L57" s="3"/>
      <c r="M57" s="4"/>
      <c r="N57" s="5"/>
      <c r="O57" s="4"/>
      <c r="P57" s="4"/>
    </row>
    <row r="58" spans="2:16" x14ac:dyDescent="0.25">
      <c r="B58" s="1"/>
      <c r="C58" s="6"/>
      <c r="D58" s="2"/>
      <c r="E58" s="12"/>
      <c r="F58" s="12"/>
      <c r="G58" s="12"/>
      <c r="H58" s="12"/>
      <c r="I58" s="12"/>
      <c r="J58" s="12"/>
      <c r="K58" s="12"/>
      <c r="L58" s="3"/>
      <c r="M58" s="4"/>
      <c r="N58" s="5"/>
      <c r="O58" s="4"/>
      <c r="P58" s="4"/>
    </row>
    <row r="59" spans="2:16" x14ac:dyDescent="0.25">
      <c r="B59" s="1"/>
      <c r="C59" s="6"/>
      <c r="D59" s="2"/>
      <c r="E59" s="12"/>
      <c r="F59" s="12"/>
      <c r="G59" s="12"/>
      <c r="H59" s="12"/>
      <c r="I59" s="12"/>
      <c r="J59" s="12"/>
      <c r="K59" s="12"/>
      <c r="L59" s="3"/>
      <c r="M59" s="4"/>
      <c r="N59" s="5"/>
      <c r="O59" s="4"/>
      <c r="P59" s="4"/>
    </row>
    <row r="60" spans="2:16" x14ac:dyDescent="0.25">
      <c r="B60" s="1"/>
      <c r="C60" s="6"/>
      <c r="D60" s="2"/>
      <c r="E60" s="12"/>
      <c r="F60" s="12"/>
      <c r="G60" s="12"/>
      <c r="H60" s="12"/>
      <c r="I60" s="12"/>
      <c r="J60" s="12"/>
      <c r="K60" s="12"/>
      <c r="L60" s="3"/>
      <c r="M60" s="4"/>
      <c r="N60" s="5"/>
      <c r="O60" s="4"/>
      <c r="P60" s="4"/>
    </row>
    <row r="61" spans="2:16" x14ac:dyDescent="0.25">
      <c r="B61" s="1"/>
      <c r="C61" s="6"/>
      <c r="D61" s="2"/>
      <c r="E61" s="12"/>
      <c r="F61" s="12"/>
      <c r="G61" s="12"/>
      <c r="H61" s="12"/>
      <c r="I61" s="12"/>
      <c r="J61" s="12"/>
      <c r="K61" s="12"/>
      <c r="L61" s="3"/>
      <c r="M61" s="4"/>
      <c r="N61" s="5"/>
      <c r="O61" s="4"/>
      <c r="P61" s="4"/>
    </row>
    <row r="62" spans="2:16" x14ac:dyDescent="0.25">
      <c r="B62" s="1"/>
      <c r="C62" s="6"/>
      <c r="D62" s="2"/>
      <c r="E62" s="12"/>
      <c r="F62" s="12"/>
      <c r="G62" s="12"/>
      <c r="H62" s="12"/>
      <c r="I62" s="12"/>
      <c r="J62" s="12"/>
      <c r="K62" s="12"/>
      <c r="L62" s="3"/>
      <c r="M62" s="4"/>
      <c r="N62" s="5"/>
      <c r="O62" s="4"/>
      <c r="P62" s="4"/>
    </row>
    <row r="63" spans="2:16" x14ac:dyDescent="0.25">
      <c r="B63" s="1"/>
      <c r="C63" s="6"/>
      <c r="D63" s="2"/>
      <c r="E63" s="12"/>
      <c r="F63" s="12"/>
      <c r="G63" s="12"/>
      <c r="H63" s="12"/>
      <c r="I63" s="12"/>
      <c r="J63" s="12"/>
      <c r="K63" s="12"/>
      <c r="L63" s="3"/>
      <c r="M63" s="4"/>
      <c r="N63" s="5"/>
      <c r="O63" s="4"/>
      <c r="P63" s="4"/>
    </row>
    <row r="64" spans="2:16" x14ac:dyDescent="0.25">
      <c r="B64" s="1"/>
      <c r="C64" s="6"/>
      <c r="D64" s="2"/>
      <c r="E64" s="12"/>
      <c r="F64" s="12"/>
      <c r="G64" s="12"/>
      <c r="H64" s="12"/>
      <c r="I64" s="12"/>
      <c r="J64" s="12"/>
      <c r="K64" s="12"/>
      <c r="L64" s="3"/>
      <c r="M64" s="4"/>
      <c r="N64" s="5"/>
      <c r="O64" s="4"/>
      <c r="P64" s="4"/>
    </row>
    <row r="65" spans="2:16" x14ac:dyDescent="0.25">
      <c r="B65" s="1"/>
      <c r="C65" s="6"/>
      <c r="D65" s="2"/>
      <c r="E65" s="12"/>
      <c r="F65" s="12"/>
      <c r="G65" s="12"/>
      <c r="H65" s="12"/>
      <c r="I65" s="12"/>
      <c r="J65" s="12"/>
      <c r="K65" s="12"/>
      <c r="L65" s="3"/>
      <c r="M65" s="4"/>
      <c r="N65" s="5"/>
      <c r="O65" s="4"/>
      <c r="P65" s="4"/>
    </row>
    <row r="66" spans="2:16" x14ac:dyDescent="0.25">
      <c r="B66" s="1"/>
      <c r="C66" s="6"/>
      <c r="D66" s="2"/>
      <c r="E66" s="12"/>
      <c r="F66" s="12"/>
      <c r="G66" s="12"/>
      <c r="H66" s="12"/>
      <c r="I66" s="12"/>
      <c r="J66" s="12"/>
      <c r="K66" s="12"/>
      <c r="L66" s="3"/>
      <c r="M66" s="4"/>
      <c r="N66" s="5"/>
      <c r="O66" s="4"/>
      <c r="P66" s="4"/>
    </row>
    <row r="67" spans="2:16" x14ac:dyDescent="0.25">
      <c r="B67" s="1"/>
      <c r="C67" s="6"/>
      <c r="D67" s="2"/>
      <c r="E67" s="12"/>
      <c r="F67" s="12"/>
      <c r="G67" s="12"/>
      <c r="H67" s="12"/>
      <c r="I67" s="12"/>
      <c r="J67" s="12"/>
      <c r="K67" s="12"/>
      <c r="L67" s="3"/>
      <c r="M67" s="4"/>
      <c r="N67" s="5"/>
      <c r="O67" s="4"/>
      <c r="P67" s="4"/>
    </row>
    <row r="68" spans="2:16" x14ac:dyDescent="0.25">
      <c r="B68" s="1"/>
      <c r="C68" s="6"/>
      <c r="D68" s="2"/>
      <c r="E68" s="12"/>
      <c r="F68" s="12"/>
      <c r="G68" s="12"/>
      <c r="H68" s="12"/>
      <c r="I68" s="12"/>
      <c r="J68" s="12"/>
      <c r="K68" s="12"/>
      <c r="L68" s="3"/>
      <c r="M68" s="4"/>
      <c r="N68" s="5"/>
      <c r="O68" s="4"/>
      <c r="P68" s="4"/>
    </row>
    <row r="69" spans="2:16" x14ac:dyDescent="0.25">
      <c r="B69" s="1"/>
      <c r="C69" s="6"/>
      <c r="D69" s="2"/>
      <c r="E69" s="12"/>
      <c r="F69" s="12"/>
      <c r="G69" s="12"/>
      <c r="H69" s="12"/>
      <c r="I69" s="12"/>
      <c r="J69" s="12"/>
      <c r="K69" s="12"/>
      <c r="L69" s="3"/>
      <c r="M69" s="4"/>
      <c r="N69" s="5"/>
      <c r="O69" s="4"/>
      <c r="P69" s="4"/>
    </row>
    <row r="70" spans="2:16" x14ac:dyDescent="0.25">
      <c r="B70" s="1"/>
      <c r="C70" s="6"/>
      <c r="D70" s="2"/>
      <c r="E70" s="12"/>
      <c r="F70" s="12"/>
      <c r="G70" s="12"/>
      <c r="H70" s="12"/>
      <c r="I70" s="12"/>
      <c r="J70" s="12"/>
      <c r="K70" s="12"/>
      <c r="L70" s="3"/>
      <c r="M70" s="4"/>
      <c r="N70" s="5"/>
      <c r="O70" s="4"/>
      <c r="P70" s="4"/>
    </row>
    <row r="71" spans="2:16" x14ac:dyDescent="0.25">
      <c r="B71" s="1"/>
      <c r="C71" s="6"/>
      <c r="D71" s="2"/>
      <c r="E71" s="12"/>
      <c r="F71" s="12"/>
      <c r="G71" s="12"/>
      <c r="H71" s="12"/>
      <c r="I71" s="12"/>
      <c r="J71" s="12"/>
      <c r="K71" s="12"/>
      <c r="L71" s="3"/>
      <c r="M71" s="4"/>
      <c r="N71" s="5"/>
      <c r="O71" s="4"/>
      <c r="P71" s="4"/>
    </row>
    <row r="72" spans="2:16" x14ac:dyDescent="0.25">
      <c r="B72" s="1"/>
      <c r="C72" s="6"/>
      <c r="D72" s="2"/>
      <c r="E72" s="12"/>
      <c r="F72" s="12"/>
      <c r="G72" s="12"/>
      <c r="H72" s="12"/>
      <c r="I72" s="12"/>
      <c r="J72" s="12"/>
      <c r="K72" s="12"/>
      <c r="L72" s="3"/>
      <c r="M72" s="4"/>
      <c r="N72" s="5"/>
      <c r="O72" s="4"/>
      <c r="P72" s="4"/>
    </row>
    <row r="73" spans="2:16" x14ac:dyDescent="0.25">
      <c r="B73" s="1"/>
      <c r="C73" s="6"/>
      <c r="D73" s="2"/>
      <c r="E73" s="12"/>
      <c r="F73" s="12"/>
      <c r="G73" s="12"/>
      <c r="H73" s="12"/>
      <c r="I73" s="12"/>
      <c r="J73" s="12"/>
      <c r="K73" s="12"/>
      <c r="L73" s="3"/>
      <c r="M73" s="4"/>
      <c r="N73" s="5"/>
      <c r="O73" s="4"/>
      <c r="P73" s="4"/>
    </row>
    <row r="74" spans="2:16" x14ac:dyDescent="0.25">
      <c r="B74" s="1"/>
      <c r="C74" s="6"/>
      <c r="D74" s="2"/>
      <c r="E74" s="12"/>
      <c r="F74" s="12"/>
      <c r="G74" s="12"/>
      <c r="H74" s="12"/>
      <c r="I74" s="12"/>
      <c r="J74" s="12"/>
      <c r="K74" s="12"/>
      <c r="L74" s="3"/>
      <c r="M74" s="4"/>
      <c r="N74" s="5"/>
      <c r="O74" s="4"/>
      <c r="P74" s="4"/>
    </row>
    <row r="75" spans="2:16" x14ac:dyDescent="0.25">
      <c r="B75" s="1"/>
      <c r="C75" s="6"/>
      <c r="D75" s="2"/>
      <c r="E75" s="12"/>
      <c r="F75" s="12"/>
      <c r="G75" s="12"/>
      <c r="H75" s="12"/>
      <c r="I75" s="12"/>
      <c r="J75" s="12"/>
      <c r="K75" s="12"/>
      <c r="L75" s="3"/>
      <c r="M75" s="4"/>
      <c r="N75" s="5"/>
      <c r="O75" s="4"/>
      <c r="P75" s="4"/>
    </row>
    <row r="76" spans="2:16" x14ac:dyDescent="0.25">
      <c r="B76" s="1"/>
      <c r="C76" s="6"/>
      <c r="D76" s="2"/>
      <c r="E76" s="12"/>
      <c r="F76" s="12"/>
      <c r="G76" s="12"/>
      <c r="H76" s="12"/>
      <c r="I76" s="12"/>
      <c r="J76" s="12"/>
      <c r="K76" s="12"/>
      <c r="L76" s="3"/>
      <c r="M76" s="4"/>
      <c r="N76" s="5"/>
      <c r="O76" s="4"/>
      <c r="P76" s="4"/>
    </row>
    <row r="77" spans="2:16" x14ac:dyDescent="0.25">
      <c r="B77" s="1"/>
      <c r="C77" s="6"/>
      <c r="D77" s="2"/>
      <c r="E77" s="12"/>
      <c r="F77" s="12"/>
      <c r="G77" s="12"/>
      <c r="H77" s="12"/>
      <c r="I77" s="12"/>
      <c r="J77" s="12"/>
      <c r="K77" s="12"/>
      <c r="L77" s="3"/>
      <c r="M77" s="4"/>
      <c r="N77" s="5"/>
      <c r="O77" s="4"/>
      <c r="P77" s="4"/>
    </row>
    <row r="78" spans="2:16" x14ac:dyDescent="0.25">
      <c r="B78" s="1"/>
      <c r="C78" s="6"/>
      <c r="D78" s="2"/>
      <c r="E78" s="12"/>
      <c r="F78" s="12"/>
      <c r="G78" s="12"/>
      <c r="H78" s="12"/>
      <c r="I78" s="12"/>
      <c r="J78" s="12"/>
      <c r="K78" s="12"/>
      <c r="L78" s="3"/>
      <c r="M78" s="4"/>
      <c r="N78" s="5"/>
      <c r="O78" s="4"/>
      <c r="P78" s="4"/>
    </row>
    <row r="79" spans="2:16" x14ac:dyDescent="0.25">
      <c r="B79" s="1"/>
      <c r="C79" s="6"/>
      <c r="D79" s="2"/>
      <c r="E79" s="12"/>
      <c r="F79" s="12"/>
      <c r="G79" s="12"/>
      <c r="H79" s="12"/>
      <c r="I79" s="12"/>
      <c r="J79" s="12"/>
      <c r="K79" s="12"/>
      <c r="L79" s="3"/>
      <c r="M79" s="4"/>
      <c r="N79" s="5"/>
      <c r="O79" s="4"/>
      <c r="P79" s="4"/>
    </row>
    <row r="80" spans="2:16" x14ac:dyDescent="0.25">
      <c r="B80" s="1"/>
      <c r="C80" s="6"/>
      <c r="D80" s="2"/>
      <c r="E80" s="12"/>
      <c r="F80" s="12"/>
      <c r="G80" s="12"/>
      <c r="H80" s="12"/>
      <c r="I80" s="12"/>
      <c r="J80" s="12"/>
      <c r="K80" s="12"/>
      <c r="L80" s="3"/>
      <c r="M80" s="4"/>
      <c r="N80" s="5"/>
      <c r="O80" s="4"/>
      <c r="P80" s="4"/>
    </row>
    <row r="81" spans="2:16" x14ac:dyDescent="0.25">
      <c r="B81" s="1"/>
      <c r="C81" s="6"/>
      <c r="D81" s="2"/>
      <c r="E81" s="12"/>
      <c r="F81" s="12"/>
      <c r="G81" s="12"/>
      <c r="H81" s="12"/>
      <c r="I81" s="12"/>
      <c r="J81" s="12"/>
      <c r="K81" s="12"/>
      <c r="L81" s="3"/>
      <c r="M81" s="4"/>
      <c r="N81" s="5"/>
      <c r="O81" s="4"/>
      <c r="P81" s="4"/>
    </row>
    <row r="82" spans="2:16" x14ac:dyDescent="0.25">
      <c r="B82" s="1"/>
      <c r="C82" s="6"/>
      <c r="D82" s="2"/>
      <c r="E82" s="12"/>
      <c r="F82" s="12"/>
      <c r="G82" s="12"/>
      <c r="H82" s="12"/>
      <c r="I82" s="12"/>
      <c r="J82" s="12"/>
      <c r="K82" s="12"/>
      <c r="L82" s="3"/>
      <c r="M82" s="4"/>
      <c r="N82" s="5"/>
      <c r="O82" s="4"/>
      <c r="P82" s="4"/>
    </row>
    <row r="83" spans="2:16" x14ac:dyDescent="0.25">
      <c r="B83" s="1"/>
      <c r="C83" s="6"/>
      <c r="D83" s="2"/>
      <c r="E83" s="12"/>
      <c r="F83" s="12"/>
      <c r="G83" s="12"/>
      <c r="H83" s="12"/>
      <c r="I83" s="12"/>
      <c r="J83" s="12"/>
      <c r="K83" s="12"/>
      <c r="L83" s="3"/>
      <c r="M83" s="4"/>
      <c r="N83" s="5"/>
      <c r="O83" s="4"/>
      <c r="P83" s="4"/>
    </row>
    <row r="84" spans="2:16" x14ac:dyDescent="0.25">
      <c r="B84" s="1"/>
      <c r="C84" s="6"/>
      <c r="D84" s="2"/>
      <c r="E84" s="12"/>
      <c r="F84" s="12"/>
      <c r="G84" s="12"/>
      <c r="H84" s="12"/>
      <c r="I84" s="12"/>
      <c r="J84" s="12"/>
      <c r="K84" s="12"/>
      <c r="L84" s="3"/>
      <c r="M84" s="4"/>
      <c r="N84" s="5"/>
      <c r="O84" s="4"/>
      <c r="P84" s="4"/>
    </row>
    <row r="85" spans="2:16" x14ac:dyDescent="0.25">
      <c r="B85" s="1"/>
      <c r="C85" s="6"/>
      <c r="D85" s="2"/>
      <c r="E85" s="12"/>
      <c r="F85" s="12"/>
      <c r="G85" s="12"/>
      <c r="H85" s="12"/>
      <c r="I85" s="12"/>
      <c r="J85" s="12"/>
      <c r="K85" s="12"/>
      <c r="L85" s="3"/>
      <c r="M85" s="4"/>
      <c r="N85" s="5"/>
      <c r="O85" s="4"/>
      <c r="P85" s="4"/>
    </row>
    <row r="86" spans="2:16" x14ac:dyDescent="0.25">
      <c r="B86" s="1"/>
      <c r="C86" s="6"/>
      <c r="D86" s="2"/>
      <c r="E86" s="12"/>
      <c r="F86" s="12"/>
      <c r="G86" s="12"/>
      <c r="H86" s="12"/>
      <c r="I86" s="12"/>
      <c r="J86" s="12"/>
      <c r="K86" s="12"/>
      <c r="L86" s="3"/>
      <c r="M86" s="4"/>
      <c r="N86" s="5"/>
      <c r="O86" s="4"/>
      <c r="P86" s="4"/>
    </row>
    <row r="87" spans="2:16" x14ac:dyDescent="0.25">
      <c r="B87" s="1"/>
      <c r="C87" s="6"/>
      <c r="D87" s="2"/>
      <c r="E87" s="12"/>
      <c r="F87" s="12"/>
      <c r="G87" s="12"/>
      <c r="H87" s="12"/>
      <c r="I87" s="12"/>
      <c r="J87" s="12"/>
      <c r="K87" s="12"/>
      <c r="L87" s="3"/>
      <c r="M87" s="4"/>
      <c r="N87" s="5"/>
      <c r="O87" s="4"/>
      <c r="P87" s="4"/>
    </row>
    <row r="88" spans="2:16" x14ac:dyDescent="0.25">
      <c r="B88" s="1"/>
      <c r="C88" s="6"/>
      <c r="D88" s="2"/>
      <c r="E88" s="12"/>
      <c r="F88" s="12"/>
      <c r="G88" s="12"/>
      <c r="H88" s="12"/>
      <c r="I88" s="12"/>
      <c r="J88" s="12"/>
      <c r="K88" s="12"/>
      <c r="L88" s="3"/>
      <c r="M88" s="4"/>
      <c r="N88" s="5"/>
      <c r="O88" s="4"/>
      <c r="P88" s="4"/>
    </row>
    <row r="89" spans="2:16" x14ac:dyDescent="0.25">
      <c r="B89" s="1"/>
      <c r="C89" s="6"/>
      <c r="D89" s="2"/>
      <c r="E89" s="12"/>
      <c r="F89" s="12"/>
      <c r="G89" s="12"/>
      <c r="H89" s="12"/>
      <c r="I89" s="12"/>
      <c r="J89" s="12"/>
      <c r="K89" s="12"/>
      <c r="L89" s="3"/>
      <c r="M89" s="4"/>
      <c r="N89" s="5"/>
      <c r="O89" s="4"/>
      <c r="P89" s="4"/>
    </row>
    <row r="90" spans="2:16" x14ac:dyDescent="0.25">
      <c r="B90" s="1"/>
      <c r="C90" s="6"/>
      <c r="D90" s="2"/>
      <c r="E90" s="12"/>
      <c r="F90" s="12"/>
      <c r="G90" s="12"/>
      <c r="H90" s="12"/>
      <c r="I90" s="12"/>
      <c r="J90" s="12"/>
      <c r="K90" s="12"/>
      <c r="L90" s="3"/>
      <c r="M90" s="4"/>
      <c r="N90" s="5"/>
      <c r="O90" s="4"/>
      <c r="P90" s="4"/>
    </row>
    <row r="91" spans="2:16" x14ac:dyDescent="0.25">
      <c r="B91" s="1"/>
      <c r="C91" s="6"/>
      <c r="D91" s="2"/>
      <c r="E91" s="12"/>
      <c r="F91" s="12"/>
      <c r="G91" s="12"/>
      <c r="H91" s="12"/>
      <c r="I91" s="12"/>
      <c r="J91" s="12"/>
      <c r="K91" s="12"/>
      <c r="L91" s="3"/>
      <c r="M91" s="4"/>
      <c r="N91" s="5"/>
      <c r="O91" s="4"/>
      <c r="P91" s="4"/>
    </row>
    <row r="92" spans="2:16" x14ac:dyDescent="0.25">
      <c r="B92" s="1"/>
      <c r="C92" s="6"/>
      <c r="D92" s="2"/>
      <c r="E92" s="12"/>
      <c r="F92" s="12"/>
      <c r="G92" s="12"/>
      <c r="H92" s="12"/>
      <c r="I92" s="12"/>
      <c r="J92" s="12"/>
      <c r="K92" s="12"/>
      <c r="L92" s="3"/>
      <c r="M92" s="4"/>
      <c r="N92" s="5"/>
      <c r="O92" s="4"/>
      <c r="P92" s="4"/>
    </row>
    <row r="93" spans="2:16" x14ac:dyDescent="0.25">
      <c r="B93" s="1"/>
      <c r="C93" s="6"/>
      <c r="D93" s="2"/>
      <c r="E93" s="12"/>
      <c r="F93" s="12"/>
      <c r="G93" s="12"/>
      <c r="H93" s="12"/>
      <c r="I93" s="12"/>
      <c r="J93" s="12"/>
      <c r="K93" s="12"/>
      <c r="L93" s="3"/>
      <c r="M93" s="4"/>
      <c r="N93" s="5"/>
      <c r="O93" s="4"/>
      <c r="P93" s="4"/>
    </row>
    <row r="94" spans="2:16" x14ac:dyDescent="0.25">
      <c r="B94" s="1"/>
      <c r="C94" s="6"/>
      <c r="D94" s="2"/>
      <c r="E94" s="12"/>
      <c r="F94" s="12"/>
      <c r="G94" s="12"/>
      <c r="H94" s="12"/>
      <c r="I94" s="12"/>
      <c r="J94" s="12"/>
      <c r="K94" s="12"/>
      <c r="L94" s="3"/>
      <c r="M94" s="4"/>
      <c r="N94" s="5"/>
      <c r="O94" s="4"/>
      <c r="P94" s="4"/>
    </row>
    <row r="95" spans="2:16" x14ac:dyDescent="0.25">
      <c r="B95" s="1"/>
      <c r="C95" s="6"/>
      <c r="D95" s="2"/>
      <c r="E95" s="12"/>
      <c r="F95" s="12"/>
      <c r="G95" s="12"/>
      <c r="H95" s="12"/>
      <c r="I95" s="12"/>
      <c r="J95" s="12"/>
      <c r="K95" s="12"/>
      <c r="L95" s="3"/>
      <c r="M95" s="4"/>
      <c r="N95" s="5"/>
      <c r="O95" s="4"/>
      <c r="P95" s="4"/>
    </row>
    <row r="96" spans="2:16" x14ac:dyDescent="0.25">
      <c r="B96" s="1"/>
      <c r="C96" s="6"/>
      <c r="D96" s="2"/>
      <c r="E96" s="12"/>
      <c r="F96" s="12"/>
      <c r="G96" s="12"/>
      <c r="H96" s="12"/>
      <c r="I96" s="12"/>
      <c r="J96" s="12"/>
      <c r="K96" s="12"/>
      <c r="L96" s="3"/>
      <c r="M96" s="4"/>
      <c r="N96" s="5"/>
      <c r="O96" s="4"/>
      <c r="P96" s="4"/>
    </row>
    <row r="97" spans="2:16" x14ac:dyDescent="0.25">
      <c r="B97" s="1"/>
      <c r="C97" s="6"/>
      <c r="D97" s="2"/>
      <c r="E97" s="12"/>
      <c r="F97" s="12"/>
      <c r="G97" s="12"/>
      <c r="H97" s="12"/>
      <c r="I97" s="12"/>
      <c r="J97" s="12"/>
      <c r="K97" s="12"/>
      <c r="L97" s="3"/>
      <c r="M97" s="4"/>
      <c r="N97" s="5"/>
      <c r="O97" s="4"/>
      <c r="P97" s="4"/>
    </row>
    <row r="98" spans="2:16" x14ac:dyDescent="0.25">
      <c r="B98" s="1"/>
      <c r="C98" s="6"/>
      <c r="D98" s="2"/>
      <c r="E98" s="12"/>
      <c r="F98" s="12"/>
      <c r="G98" s="12"/>
      <c r="H98" s="12"/>
      <c r="I98" s="12"/>
      <c r="J98" s="12"/>
      <c r="K98" s="12"/>
      <c r="L98" s="3"/>
      <c r="M98" s="4"/>
      <c r="N98" s="5"/>
      <c r="O98" s="4"/>
      <c r="P98" s="4"/>
    </row>
    <row r="99" spans="2:16" x14ac:dyDescent="0.25">
      <c r="B99" s="1"/>
      <c r="C99" s="6"/>
      <c r="D99" s="2"/>
      <c r="E99" s="12"/>
      <c r="F99" s="12"/>
      <c r="G99" s="12"/>
      <c r="H99" s="12"/>
      <c r="I99" s="12"/>
      <c r="J99" s="12"/>
      <c r="K99" s="12"/>
      <c r="L99" s="3"/>
      <c r="M99" s="4"/>
      <c r="N99" s="5"/>
      <c r="O99" s="4"/>
      <c r="P99" s="4"/>
    </row>
    <row r="100" spans="2:16" x14ac:dyDescent="0.25">
      <c r="B100" s="1"/>
      <c r="C100" s="6"/>
      <c r="D100" s="2"/>
      <c r="E100" s="12"/>
      <c r="F100" s="12"/>
      <c r="G100" s="12"/>
      <c r="H100" s="12"/>
      <c r="I100" s="12"/>
      <c r="J100" s="12"/>
      <c r="K100" s="12"/>
      <c r="L100" s="3"/>
      <c r="M100" s="4"/>
      <c r="N100" s="5"/>
      <c r="O100" s="4"/>
      <c r="P100" s="4"/>
    </row>
    <row r="101" spans="2:16" x14ac:dyDescent="0.25">
      <c r="B101" s="1"/>
      <c r="C101" s="6"/>
      <c r="D101" s="2"/>
      <c r="E101" s="12"/>
      <c r="F101" s="12"/>
      <c r="G101" s="12"/>
      <c r="H101" s="12"/>
      <c r="I101" s="12"/>
      <c r="J101" s="12"/>
      <c r="K101" s="12"/>
      <c r="L101" s="3"/>
      <c r="M101" s="4"/>
      <c r="N101" s="5"/>
      <c r="O101" s="4"/>
      <c r="P101" s="4"/>
    </row>
    <row r="102" spans="2:16" x14ac:dyDescent="0.25">
      <c r="B102" s="1"/>
      <c r="C102" s="6"/>
      <c r="D102" s="2"/>
      <c r="E102" s="12"/>
      <c r="F102" s="12"/>
      <c r="G102" s="12"/>
      <c r="H102" s="12"/>
      <c r="I102" s="12"/>
      <c r="J102" s="12"/>
      <c r="K102" s="12"/>
      <c r="L102" s="3"/>
      <c r="M102" s="4"/>
      <c r="N102" s="5"/>
      <c r="O102" s="4"/>
      <c r="P102" s="4"/>
    </row>
    <row r="103" spans="2:16" x14ac:dyDescent="0.25">
      <c r="B103" s="1"/>
      <c r="C103" s="6"/>
      <c r="D103" s="2"/>
      <c r="E103" s="12"/>
      <c r="F103" s="12"/>
      <c r="G103" s="12"/>
      <c r="H103" s="12"/>
      <c r="I103" s="12"/>
      <c r="J103" s="12"/>
      <c r="K103" s="12"/>
      <c r="L103" s="3"/>
      <c r="M103" s="4"/>
      <c r="N103" s="5"/>
      <c r="O103" s="4"/>
      <c r="P103" s="4"/>
    </row>
    <row r="104" spans="2:16" x14ac:dyDescent="0.25">
      <c r="B104" s="6"/>
      <c r="C104" s="6"/>
      <c r="D104" s="2"/>
      <c r="E104" s="12"/>
      <c r="F104" s="12"/>
      <c r="G104" s="12"/>
      <c r="H104" s="12"/>
      <c r="I104" s="12"/>
      <c r="J104" s="12"/>
      <c r="K104" s="12"/>
      <c r="L104" s="3"/>
      <c r="M104" s="4"/>
      <c r="N104" s="5"/>
      <c r="O104" s="4"/>
      <c r="P104" s="4"/>
    </row>
    <row r="105" spans="2:16" x14ac:dyDescent="0.25">
      <c r="B105" s="7"/>
      <c r="C105" s="7"/>
      <c r="D105" s="2"/>
      <c r="E105" s="2"/>
      <c r="F105" s="2"/>
      <c r="G105" s="2"/>
      <c r="H105" s="2"/>
      <c r="I105" s="2"/>
      <c r="J105" s="2"/>
      <c r="K105" s="2"/>
      <c r="L105" s="4"/>
      <c r="M105" s="4"/>
      <c r="N105" s="5"/>
      <c r="O105" s="4"/>
      <c r="P105" s="4"/>
    </row>
    <row r="106" spans="2:16" x14ac:dyDescent="0.25">
      <c r="B106" s="7"/>
      <c r="C106" s="7"/>
      <c r="D106" s="2"/>
      <c r="E106" s="2"/>
      <c r="F106" s="2"/>
      <c r="G106" s="2"/>
      <c r="H106" s="2"/>
      <c r="I106" s="2"/>
      <c r="J106" s="2"/>
      <c r="K106" s="2"/>
      <c r="L106" s="4"/>
      <c r="M106" s="4"/>
      <c r="N106" s="5"/>
      <c r="O106" s="4"/>
      <c r="P106" s="4"/>
    </row>
    <row r="107" spans="2:16" x14ac:dyDescent="0.25">
      <c r="B107" s="7"/>
      <c r="C107" s="7"/>
      <c r="D107" s="2"/>
      <c r="E107" s="2"/>
      <c r="F107" s="2"/>
      <c r="G107" s="2"/>
      <c r="H107" s="2"/>
      <c r="I107" s="2"/>
      <c r="J107" s="2"/>
      <c r="K107" s="2"/>
      <c r="L107" s="4"/>
      <c r="M107" s="4"/>
      <c r="N107" s="5"/>
      <c r="O107" s="4"/>
      <c r="P107" s="4"/>
    </row>
    <row r="108" spans="2:16" x14ac:dyDescent="0.25">
      <c r="B108" s="1"/>
      <c r="C108" s="6"/>
      <c r="D108" s="2"/>
      <c r="E108" s="12"/>
      <c r="F108" s="12"/>
      <c r="G108" s="12"/>
      <c r="H108" s="12"/>
      <c r="I108" s="12"/>
      <c r="J108" s="12"/>
      <c r="K108" s="12"/>
      <c r="L108" s="3"/>
      <c r="M108" s="4"/>
      <c r="N108" s="5"/>
      <c r="O108" s="4"/>
      <c r="P108" s="4"/>
    </row>
    <row r="109" spans="2:16" x14ac:dyDescent="0.25">
      <c r="B109" s="1"/>
      <c r="C109" s="6"/>
      <c r="D109" s="2"/>
      <c r="E109" s="12"/>
      <c r="F109" s="12"/>
      <c r="G109" s="12"/>
      <c r="H109" s="12"/>
      <c r="I109" s="12"/>
      <c r="J109" s="12"/>
      <c r="K109" s="12"/>
      <c r="L109" s="3"/>
      <c r="M109" s="4"/>
      <c r="N109" s="5"/>
      <c r="O109" s="4"/>
      <c r="P109" s="4"/>
    </row>
    <row r="110" spans="2:16" x14ac:dyDescent="0.25">
      <c r="B110" s="1"/>
      <c r="C110" s="6"/>
      <c r="D110" s="2"/>
      <c r="E110" s="12"/>
      <c r="F110" s="12"/>
      <c r="G110" s="12"/>
      <c r="H110" s="12"/>
      <c r="I110" s="12"/>
      <c r="J110" s="12"/>
      <c r="K110" s="12"/>
      <c r="L110" s="3"/>
      <c r="M110" s="4"/>
      <c r="N110" s="5"/>
      <c r="O110" s="4"/>
      <c r="P110" s="4"/>
    </row>
    <row r="111" spans="2:16" x14ac:dyDescent="0.25">
      <c r="B111" s="1"/>
      <c r="C111" s="6"/>
      <c r="D111" s="2"/>
      <c r="E111" s="12"/>
      <c r="F111" s="12"/>
      <c r="G111" s="12"/>
      <c r="H111" s="12"/>
      <c r="I111" s="12"/>
      <c r="J111" s="12"/>
      <c r="K111" s="12"/>
      <c r="L111" s="3"/>
      <c r="M111" s="4"/>
      <c r="N111" s="5"/>
      <c r="O111" s="4"/>
      <c r="P111" s="4"/>
    </row>
    <row r="112" spans="2:16" x14ac:dyDescent="0.25">
      <c r="B112" s="1"/>
      <c r="C112" s="6"/>
      <c r="D112" s="2"/>
      <c r="E112" s="12"/>
      <c r="F112" s="12"/>
      <c r="G112" s="12"/>
      <c r="H112" s="12"/>
      <c r="I112" s="12"/>
      <c r="J112" s="12"/>
      <c r="K112" s="12"/>
      <c r="L112" s="3"/>
      <c r="M112" s="4"/>
      <c r="N112" s="5"/>
      <c r="O112" s="4"/>
      <c r="P112" s="4"/>
    </row>
    <row r="113" spans="2:16" x14ac:dyDescent="0.25">
      <c r="B113" s="1"/>
      <c r="C113" s="6"/>
      <c r="D113" s="2"/>
      <c r="E113" s="12"/>
      <c r="F113" s="12"/>
      <c r="G113" s="12"/>
      <c r="H113" s="12"/>
      <c r="I113" s="12"/>
      <c r="J113" s="12"/>
      <c r="K113" s="12"/>
      <c r="L113" s="3"/>
      <c r="M113" s="4"/>
      <c r="N113" s="5"/>
      <c r="O113" s="4"/>
      <c r="P113" s="4"/>
    </row>
    <row r="114" spans="2:16" x14ac:dyDescent="0.25">
      <c r="B114" s="1"/>
      <c r="C114" s="6"/>
      <c r="D114" s="2"/>
      <c r="E114" s="12"/>
      <c r="F114" s="12"/>
      <c r="G114" s="12"/>
      <c r="H114" s="12"/>
      <c r="I114" s="12"/>
      <c r="J114" s="12"/>
      <c r="K114" s="12"/>
      <c r="L114" s="3"/>
      <c r="M114" s="4"/>
      <c r="N114" s="5"/>
      <c r="O114" s="4"/>
      <c r="P114" s="4"/>
    </row>
    <row r="115" spans="2:16" x14ac:dyDescent="0.25">
      <c r="B115" s="1"/>
      <c r="C115" s="6"/>
      <c r="D115" s="2"/>
      <c r="E115" s="12"/>
      <c r="F115" s="12"/>
      <c r="G115" s="12"/>
      <c r="H115" s="12"/>
      <c r="I115" s="12"/>
      <c r="J115" s="12"/>
      <c r="K115" s="12"/>
      <c r="L115" s="3"/>
      <c r="M115" s="4"/>
      <c r="N115" s="5"/>
      <c r="O115" s="4"/>
      <c r="P115" s="4"/>
    </row>
    <row r="116" spans="2:16" x14ac:dyDescent="0.25">
      <c r="B116" s="1"/>
      <c r="C116" s="6"/>
      <c r="D116" s="2"/>
      <c r="E116" s="12"/>
      <c r="F116" s="12"/>
      <c r="G116" s="12"/>
      <c r="H116" s="12"/>
      <c r="I116" s="12"/>
      <c r="J116" s="12"/>
      <c r="K116" s="12"/>
      <c r="L116" s="3"/>
      <c r="M116" s="4"/>
      <c r="N116" s="5"/>
      <c r="O116" s="4"/>
      <c r="P116" s="4"/>
    </row>
    <row r="117" spans="2:16" x14ac:dyDescent="0.25">
      <c r="B117" s="1"/>
      <c r="C117" s="6"/>
      <c r="D117" s="2"/>
      <c r="E117" s="12"/>
      <c r="F117" s="12"/>
      <c r="G117" s="12"/>
      <c r="H117" s="12"/>
      <c r="I117" s="12"/>
      <c r="J117" s="12"/>
      <c r="K117" s="12"/>
      <c r="L117" s="3"/>
      <c r="M117" s="4"/>
      <c r="N117" s="5"/>
      <c r="O117" s="4"/>
      <c r="P117" s="4"/>
    </row>
    <row r="118" spans="2:16" x14ac:dyDescent="0.25">
      <c r="B118" s="1"/>
      <c r="C118" s="6"/>
      <c r="D118" s="2"/>
      <c r="E118" s="12"/>
      <c r="F118" s="12"/>
      <c r="G118" s="12"/>
      <c r="H118" s="12"/>
      <c r="I118" s="12"/>
      <c r="J118" s="12"/>
      <c r="K118" s="12"/>
      <c r="L118" s="3"/>
      <c r="M118" s="4"/>
      <c r="N118" s="5"/>
      <c r="O118" s="4"/>
      <c r="P118" s="4"/>
    </row>
    <row r="119" spans="2:16" x14ac:dyDescent="0.25">
      <c r="B119" s="1"/>
      <c r="C119" s="6"/>
      <c r="D119" s="2"/>
      <c r="E119" s="12"/>
      <c r="F119" s="12"/>
      <c r="G119" s="12"/>
      <c r="H119" s="12"/>
      <c r="I119" s="12"/>
      <c r="J119" s="12"/>
      <c r="K119" s="12"/>
      <c r="L119" s="3"/>
      <c r="M119" s="4"/>
      <c r="N119" s="5"/>
      <c r="O119" s="4"/>
      <c r="P119" s="4"/>
    </row>
    <row r="120" spans="2:16" x14ac:dyDescent="0.25">
      <c r="B120" s="1"/>
      <c r="C120" s="6"/>
      <c r="D120" s="2"/>
      <c r="E120" s="12"/>
      <c r="F120" s="12"/>
      <c r="G120" s="12"/>
      <c r="H120" s="12"/>
      <c r="I120" s="12"/>
      <c r="J120" s="12"/>
      <c r="K120" s="12"/>
      <c r="L120" s="3"/>
      <c r="M120" s="4"/>
      <c r="N120" s="5"/>
      <c r="O120" s="4"/>
      <c r="P1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Caja-IAB</dc:creator>
  <cp:lastModifiedBy>Carlos Albarracin Ch</cp:lastModifiedBy>
  <dcterms:created xsi:type="dcterms:W3CDTF">2026-02-03T15:10:42Z</dcterms:created>
  <dcterms:modified xsi:type="dcterms:W3CDTF">2026-02-17T00:15:34Z</dcterms:modified>
</cp:coreProperties>
</file>