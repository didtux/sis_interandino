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din\Downloads\"/>
    </mc:Choice>
  </mc:AlternateContent>
  <xr:revisionPtr revIDLastSave="0" documentId="8_{650505A8-2041-4B88-AACB-2D3B16C4ACF4}" xr6:coauthVersionLast="47" xr6:coauthVersionMax="47" xr10:uidLastSave="{00000000-0000-0000-0000-000000000000}"/>
  <bookViews>
    <workbookView xWindow="-120" yWindow="-120" windowWidth="29040" windowHeight="15720" xr2:uid="{1576C6D6-BC49-4E10-A306-9175E21C8E7A}"/>
  </bookViews>
  <sheets>
    <sheet name="ENERO (2)" sheetId="4" r:id="rId1"/>
  </sheets>
  <definedNames>
    <definedName name="_xlnm._FilterDatabase" localSheetId="0" hidden="1">'ENERO (2)'!$B$1:$P$575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8" i="4" l="1"/>
  <c r="K518" i="4"/>
  <c r="M518" i="4"/>
  <c r="O518" i="4"/>
  <c r="P518" i="4" s="1"/>
  <c r="M526" i="4"/>
  <c r="I526" i="4" s="1"/>
  <c r="M527" i="4"/>
  <c r="I527" i="4" s="1"/>
  <c r="M102" i="4"/>
  <c r="I102" i="4" s="1"/>
  <c r="M103" i="4"/>
  <c r="I103" i="4" s="1"/>
  <c r="O103" i="4" s="1"/>
  <c r="P103" i="4" s="1"/>
  <c r="M140" i="4"/>
  <c r="I140" i="4" s="1"/>
  <c r="M167" i="4"/>
  <c r="I167" i="4" s="1"/>
  <c r="K167" i="4" s="1"/>
  <c r="M163" i="4"/>
  <c r="I163" i="4" s="1"/>
  <c r="O163" i="4" s="1"/>
  <c r="P163" i="4" s="1"/>
  <c r="M191" i="4"/>
  <c r="I191" i="4" s="1"/>
  <c r="M378" i="4"/>
  <c r="I378" i="4" s="1"/>
  <c r="M457" i="4"/>
  <c r="I457" i="4" s="1"/>
  <c r="M532" i="4"/>
  <c r="I532" i="4" s="1"/>
  <c r="M570" i="4"/>
  <c r="I570" i="4" s="1"/>
  <c r="M569" i="4"/>
  <c r="I569" i="4" s="1"/>
  <c r="K569" i="4" s="1"/>
  <c r="M568" i="4"/>
  <c r="I568" i="4" s="1"/>
  <c r="K568" i="4" s="1"/>
  <c r="M567" i="4"/>
  <c r="I567" i="4" s="1"/>
  <c r="K567" i="4" s="1"/>
  <c r="M566" i="4"/>
  <c r="I566" i="4" s="1"/>
  <c r="K566" i="4" s="1"/>
  <c r="M565" i="4"/>
  <c r="I565" i="4" s="1"/>
  <c r="K565" i="4" s="1"/>
  <c r="M564" i="4"/>
  <c r="I564" i="4" s="1"/>
  <c r="K564" i="4" s="1"/>
  <c r="M563" i="4"/>
  <c r="I563" i="4" s="1"/>
  <c r="K563" i="4" s="1"/>
  <c r="M562" i="4"/>
  <c r="I562" i="4" s="1"/>
  <c r="K562" i="4" s="1"/>
  <c r="M561" i="4"/>
  <c r="I561" i="4" s="1"/>
  <c r="K561" i="4" s="1"/>
  <c r="M560" i="4"/>
  <c r="I560" i="4" s="1"/>
  <c r="K560" i="4" s="1"/>
  <c r="M559" i="4"/>
  <c r="I559" i="4" s="1"/>
  <c r="M558" i="4"/>
  <c r="I558" i="4" s="1"/>
  <c r="K558" i="4" s="1"/>
  <c r="M557" i="4"/>
  <c r="I557" i="4" s="1"/>
  <c r="K557" i="4" s="1"/>
  <c r="M556" i="4"/>
  <c r="I556" i="4" s="1"/>
  <c r="K556" i="4" s="1"/>
  <c r="M555" i="4"/>
  <c r="I555" i="4" s="1"/>
  <c r="K555" i="4" s="1"/>
  <c r="M554" i="4"/>
  <c r="I554" i="4" s="1"/>
  <c r="K554" i="4" s="1"/>
  <c r="M553" i="4"/>
  <c r="I553" i="4" s="1"/>
  <c r="M552" i="4"/>
  <c r="I552" i="4" s="1"/>
  <c r="K552" i="4" s="1"/>
  <c r="M551" i="4"/>
  <c r="I551" i="4" s="1"/>
  <c r="K551" i="4" s="1"/>
  <c r="M550" i="4"/>
  <c r="I550" i="4" s="1"/>
  <c r="K550" i="4" s="1"/>
  <c r="M549" i="4"/>
  <c r="I549" i="4" s="1"/>
  <c r="K549" i="4" s="1"/>
  <c r="M548" i="4"/>
  <c r="I548" i="4" s="1"/>
  <c r="K548" i="4" s="1"/>
  <c r="M547" i="4"/>
  <c r="I547" i="4" s="1"/>
  <c r="O547" i="4" s="1"/>
  <c r="P547" i="4" s="1"/>
  <c r="M546" i="4"/>
  <c r="I546" i="4" s="1"/>
  <c r="K546" i="4" s="1"/>
  <c r="M545" i="4"/>
  <c r="I545" i="4" s="1"/>
  <c r="K545" i="4" s="1"/>
  <c r="M544" i="4"/>
  <c r="I544" i="4" s="1"/>
  <c r="K544" i="4" s="1"/>
  <c r="M543" i="4"/>
  <c r="I543" i="4" s="1"/>
  <c r="K543" i="4" s="1"/>
  <c r="M542" i="4"/>
  <c r="I542" i="4" s="1"/>
  <c r="K542" i="4" s="1"/>
  <c r="M541" i="4"/>
  <c r="I541" i="4" s="1"/>
  <c r="K541" i="4" s="1"/>
  <c r="M540" i="4"/>
  <c r="I540" i="4" s="1"/>
  <c r="K540" i="4" s="1"/>
  <c r="M539" i="4"/>
  <c r="I539" i="4" s="1"/>
  <c r="K539" i="4" s="1"/>
  <c r="M538" i="4"/>
  <c r="I538" i="4" s="1"/>
  <c r="K538" i="4" s="1"/>
  <c r="M537" i="4"/>
  <c r="I537" i="4" s="1"/>
  <c r="K537" i="4" s="1"/>
  <c r="M536" i="4"/>
  <c r="I536" i="4" s="1"/>
  <c r="K536" i="4" s="1"/>
  <c r="M535" i="4"/>
  <c r="I535" i="4" s="1"/>
  <c r="M534" i="4"/>
  <c r="I534" i="4" s="1"/>
  <c r="K534" i="4" s="1"/>
  <c r="M533" i="4"/>
  <c r="I533" i="4" s="1"/>
  <c r="K533" i="4" s="1"/>
  <c r="M531" i="4"/>
  <c r="I531" i="4" s="1"/>
  <c r="K531" i="4" s="1"/>
  <c r="M530" i="4"/>
  <c r="I530" i="4" s="1"/>
  <c r="K530" i="4" s="1"/>
  <c r="M529" i="4"/>
  <c r="I529" i="4" s="1"/>
  <c r="O529" i="4" s="1"/>
  <c r="P529" i="4" s="1"/>
  <c r="M528" i="4"/>
  <c r="I528" i="4" s="1"/>
  <c r="K528" i="4" s="1"/>
  <c r="M525" i="4"/>
  <c r="I525" i="4" s="1"/>
  <c r="K525" i="4" s="1"/>
  <c r="M524" i="4"/>
  <c r="I524" i="4" s="1"/>
  <c r="K524" i="4" s="1"/>
  <c r="M523" i="4"/>
  <c r="I523" i="4" s="1"/>
  <c r="K523" i="4" s="1"/>
  <c r="M522" i="4"/>
  <c r="I522" i="4" s="1"/>
  <c r="K522" i="4" s="1"/>
  <c r="M521" i="4"/>
  <c r="I521" i="4" s="1"/>
  <c r="K521" i="4" s="1"/>
  <c r="M520" i="4"/>
  <c r="I520" i="4" s="1"/>
  <c r="K520" i="4" s="1"/>
  <c r="M519" i="4"/>
  <c r="I519" i="4" s="1"/>
  <c r="K519" i="4" s="1"/>
  <c r="M517" i="4"/>
  <c r="I517" i="4" s="1"/>
  <c r="K517" i="4" s="1"/>
  <c r="M516" i="4"/>
  <c r="I516" i="4" s="1"/>
  <c r="O516" i="4" s="1"/>
  <c r="P516" i="4" s="1"/>
  <c r="M515" i="4"/>
  <c r="I515" i="4" s="1"/>
  <c r="K515" i="4" s="1"/>
  <c r="M514" i="4"/>
  <c r="I514" i="4" s="1"/>
  <c r="K514" i="4" s="1"/>
  <c r="M513" i="4"/>
  <c r="I513" i="4" s="1"/>
  <c r="M512" i="4"/>
  <c r="I512" i="4" s="1"/>
  <c r="M511" i="4"/>
  <c r="I511" i="4" s="1"/>
  <c r="K511" i="4" s="1"/>
  <c r="M510" i="4"/>
  <c r="I510" i="4" s="1"/>
  <c r="K510" i="4" s="1"/>
  <c r="M509" i="4"/>
  <c r="I509" i="4" s="1"/>
  <c r="K509" i="4" s="1"/>
  <c r="M508" i="4"/>
  <c r="I508" i="4" s="1"/>
  <c r="K508" i="4" s="1"/>
  <c r="M507" i="4"/>
  <c r="I507" i="4" s="1"/>
  <c r="K507" i="4" s="1"/>
  <c r="M506" i="4"/>
  <c r="I506" i="4" s="1"/>
  <c r="K506" i="4" s="1"/>
  <c r="M505" i="4"/>
  <c r="I505" i="4" s="1"/>
  <c r="K505" i="4" s="1"/>
  <c r="M504" i="4"/>
  <c r="I504" i="4" s="1"/>
  <c r="K504" i="4" s="1"/>
  <c r="M503" i="4"/>
  <c r="I503" i="4" s="1"/>
  <c r="K503" i="4" s="1"/>
  <c r="M502" i="4"/>
  <c r="I502" i="4" s="1"/>
  <c r="K502" i="4" s="1"/>
  <c r="M501" i="4"/>
  <c r="I501" i="4" s="1"/>
  <c r="K501" i="4" s="1"/>
  <c r="M500" i="4"/>
  <c r="I500" i="4" s="1"/>
  <c r="K500" i="4" s="1"/>
  <c r="M499" i="4"/>
  <c r="I499" i="4" s="1"/>
  <c r="K499" i="4" s="1"/>
  <c r="M498" i="4"/>
  <c r="I498" i="4" s="1"/>
  <c r="K498" i="4" s="1"/>
  <c r="M497" i="4"/>
  <c r="I497" i="4" s="1"/>
  <c r="K497" i="4" s="1"/>
  <c r="M496" i="4"/>
  <c r="I496" i="4" s="1"/>
  <c r="K496" i="4" s="1"/>
  <c r="M495" i="4"/>
  <c r="I495" i="4" s="1"/>
  <c r="K495" i="4" s="1"/>
  <c r="M494" i="4"/>
  <c r="I494" i="4" s="1"/>
  <c r="K494" i="4" s="1"/>
  <c r="M493" i="4"/>
  <c r="I493" i="4" s="1"/>
  <c r="K493" i="4" s="1"/>
  <c r="M492" i="4"/>
  <c r="I492" i="4" s="1"/>
  <c r="O492" i="4" s="1"/>
  <c r="P492" i="4" s="1"/>
  <c r="M491" i="4"/>
  <c r="I491" i="4" s="1"/>
  <c r="K491" i="4" s="1"/>
  <c r="M490" i="4"/>
  <c r="I490" i="4" s="1"/>
  <c r="K490" i="4" s="1"/>
  <c r="M489" i="4"/>
  <c r="I489" i="4" s="1"/>
  <c r="K489" i="4" s="1"/>
  <c r="M488" i="4"/>
  <c r="I488" i="4" s="1"/>
  <c r="O488" i="4" s="1"/>
  <c r="P488" i="4" s="1"/>
  <c r="M487" i="4"/>
  <c r="I487" i="4" s="1"/>
  <c r="K487" i="4" s="1"/>
  <c r="M486" i="4"/>
  <c r="I486" i="4" s="1"/>
  <c r="K486" i="4" s="1"/>
  <c r="M485" i="4"/>
  <c r="I485" i="4" s="1"/>
  <c r="K485" i="4" s="1"/>
  <c r="M484" i="4"/>
  <c r="I484" i="4" s="1"/>
  <c r="K484" i="4" s="1"/>
  <c r="M483" i="4"/>
  <c r="I483" i="4" s="1"/>
  <c r="K483" i="4" s="1"/>
  <c r="M482" i="4"/>
  <c r="I482" i="4" s="1"/>
  <c r="K482" i="4" s="1"/>
  <c r="M481" i="4"/>
  <c r="I481" i="4" s="1"/>
  <c r="K481" i="4" s="1"/>
  <c r="M480" i="4"/>
  <c r="I480" i="4" s="1"/>
  <c r="M479" i="4"/>
  <c r="I479" i="4" s="1"/>
  <c r="K479" i="4" s="1"/>
  <c r="M478" i="4"/>
  <c r="I478" i="4" s="1"/>
  <c r="K478" i="4" s="1"/>
  <c r="M477" i="4"/>
  <c r="I477" i="4" s="1"/>
  <c r="K477" i="4" s="1"/>
  <c r="M476" i="4"/>
  <c r="I476" i="4" s="1"/>
  <c r="M475" i="4"/>
  <c r="I475" i="4" s="1"/>
  <c r="K475" i="4" s="1"/>
  <c r="M474" i="4"/>
  <c r="I474" i="4" s="1"/>
  <c r="K474" i="4" s="1"/>
  <c r="M473" i="4"/>
  <c r="I473" i="4" s="1"/>
  <c r="K473" i="4" s="1"/>
  <c r="M472" i="4"/>
  <c r="I472" i="4" s="1"/>
  <c r="K472" i="4" s="1"/>
  <c r="M471" i="4"/>
  <c r="I471" i="4" s="1"/>
  <c r="K471" i="4" s="1"/>
  <c r="M470" i="4"/>
  <c r="I470" i="4" s="1"/>
  <c r="K470" i="4" s="1"/>
  <c r="M469" i="4"/>
  <c r="I469" i="4" s="1"/>
  <c r="K469" i="4" s="1"/>
  <c r="M468" i="4"/>
  <c r="I468" i="4" s="1"/>
  <c r="K468" i="4" s="1"/>
  <c r="M467" i="4"/>
  <c r="I467" i="4" s="1"/>
  <c r="K467" i="4" s="1"/>
  <c r="M466" i="4"/>
  <c r="I466" i="4" s="1"/>
  <c r="K466" i="4" s="1"/>
  <c r="M465" i="4"/>
  <c r="I465" i="4" s="1"/>
  <c r="K465" i="4" s="1"/>
  <c r="M464" i="4"/>
  <c r="I464" i="4" s="1"/>
  <c r="O464" i="4" s="1"/>
  <c r="P464" i="4" s="1"/>
  <c r="M463" i="4"/>
  <c r="I463" i="4" s="1"/>
  <c r="K463" i="4" s="1"/>
  <c r="M462" i="4"/>
  <c r="I462" i="4" s="1"/>
  <c r="K462" i="4" s="1"/>
  <c r="M461" i="4"/>
  <c r="I461" i="4" s="1"/>
  <c r="K461" i="4" s="1"/>
  <c r="M460" i="4"/>
  <c r="I460" i="4" s="1"/>
  <c r="K460" i="4" s="1"/>
  <c r="M459" i="4"/>
  <c r="I459" i="4" s="1"/>
  <c r="K459" i="4" s="1"/>
  <c r="M458" i="4"/>
  <c r="I458" i="4" s="1"/>
  <c r="K458" i="4" s="1"/>
  <c r="M456" i="4"/>
  <c r="I456" i="4" s="1"/>
  <c r="O456" i="4" s="1"/>
  <c r="P456" i="4" s="1"/>
  <c r="M455" i="4"/>
  <c r="I455" i="4" s="1"/>
  <c r="K455" i="4" s="1"/>
  <c r="M454" i="4"/>
  <c r="I454" i="4" s="1"/>
  <c r="K454" i="4" s="1"/>
  <c r="M453" i="4"/>
  <c r="I453" i="4" s="1"/>
  <c r="K453" i="4" s="1"/>
  <c r="M452" i="4"/>
  <c r="I452" i="4" s="1"/>
  <c r="K452" i="4" s="1"/>
  <c r="M451" i="4"/>
  <c r="I451" i="4" s="1"/>
  <c r="K451" i="4" s="1"/>
  <c r="M450" i="4"/>
  <c r="I450" i="4" s="1"/>
  <c r="K450" i="4" s="1"/>
  <c r="M449" i="4"/>
  <c r="I449" i="4" s="1"/>
  <c r="K449" i="4" s="1"/>
  <c r="M448" i="4"/>
  <c r="I448" i="4" s="1"/>
  <c r="K448" i="4" s="1"/>
  <c r="M447" i="4"/>
  <c r="I447" i="4" s="1"/>
  <c r="K447" i="4" s="1"/>
  <c r="M446" i="4"/>
  <c r="I446" i="4" s="1"/>
  <c r="K446" i="4" s="1"/>
  <c r="M445" i="4"/>
  <c r="I445" i="4" s="1"/>
  <c r="K445" i="4" s="1"/>
  <c r="M444" i="4"/>
  <c r="I444" i="4" s="1"/>
  <c r="M443" i="4"/>
  <c r="I443" i="4" s="1"/>
  <c r="K443" i="4" s="1"/>
  <c r="M442" i="4"/>
  <c r="I442" i="4" s="1"/>
  <c r="K442" i="4" s="1"/>
  <c r="M441" i="4"/>
  <c r="I441" i="4" s="1"/>
  <c r="K441" i="4" s="1"/>
  <c r="M440" i="4"/>
  <c r="I440" i="4" s="1"/>
  <c r="O440" i="4" s="1"/>
  <c r="P440" i="4" s="1"/>
  <c r="M439" i="4"/>
  <c r="I439" i="4" s="1"/>
  <c r="K439" i="4" s="1"/>
  <c r="M438" i="4"/>
  <c r="I438" i="4" s="1"/>
  <c r="K438" i="4" s="1"/>
  <c r="M437" i="4"/>
  <c r="I437" i="4" s="1"/>
  <c r="K437" i="4" s="1"/>
  <c r="M436" i="4"/>
  <c r="I436" i="4" s="1"/>
  <c r="K436" i="4" s="1"/>
  <c r="M435" i="4"/>
  <c r="I435" i="4" s="1"/>
  <c r="K435" i="4" s="1"/>
  <c r="M434" i="4"/>
  <c r="I434" i="4" s="1"/>
  <c r="O434" i="4" s="1"/>
  <c r="P434" i="4" s="1"/>
  <c r="M433" i="4"/>
  <c r="I433" i="4" s="1"/>
  <c r="K433" i="4" s="1"/>
  <c r="M432" i="4"/>
  <c r="I432" i="4" s="1"/>
  <c r="O432" i="4" s="1"/>
  <c r="P432" i="4" s="1"/>
  <c r="M431" i="4"/>
  <c r="I431" i="4" s="1"/>
  <c r="K431" i="4" s="1"/>
  <c r="M430" i="4"/>
  <c r="I430" i="4" s="1"/>
  <c r="K430" i="4" s="1"/>
  <c r="M429" i="4"/>
  <c r="I429" i="4" s="1"/>
  <c r="K429" i="4" s="1"/>
  <c r="M428" i="4"/>
  <c r="I428" i="4" s="1"/>
  <c r="O428" i="4" s="1"/>
  <c r="P428" i="4" s="1"/>
  <c r="M427" i="4"/>
  <c r="I427" i="4" s="1"/>
  <c r="K427" i="4" s="1"/>
  <c r="M426" i="4"/>
  <c r="I426" i="4" s="1"/>
  <c r="K426" i="4" s="1"/>
  <c r="M425" i="4"/>
  <c r="I425" i="4" s="1"/>
  <c r="O425" i="4" s="1"/>
  <c r="P425" i="4" s="1"/>
  <c r="M424" i="4"/>
  <c r="I424" i="4" s="1"/>
  <c r="K424" i="4" s="1"/>
  <c r="M423" i="4"/>
  <c r="I423" i="4" s="1"/>
  <c r="O423" i="4" s="1"/>
  <c r="P423" i="4" s="1"/>
  <c r="M422" i="4"/>
  <c r="I422" i="4" s="1"/>
  <c r="K422" i="4" s="1"/>
  <c r="M421" i="4"/>
  <c r="M420" i="4"/>
  <c r="I420" i="4" s="1"/>
  <c r="K420" i="4" s="1"/>
  <c r="M419" i="4"/>
  <c r="I419" i="4" s="1"/>
  <c r="K419" i="4" s="1"/>
  <c r="M418" i="4"/>
  <c r="I418" i="4" s="1"/>
  <c r="K418" i="4" s="1"/>
  <c r="M417" i="4"/>
  <c r="I417" i="4" s="1"/>
  <c r="K417" i="4" s="1"/>
  <c r="M416" i="4"/>
  <c r="I416" i="4" s="1"/>
  <c r="K416" i="4" s="1"/>
  <c r="M415" i="4"/>
  <c r="M414" i="4"/>
  <c r="I414" i="4" s="1"/>
  <c r="K414" i="4" s="1"/>
  <c r="M413" i="4"/>
  <c r="I413" i="4" s="1"/>
  <c r="K413" i="4" s="1"/>
  <c r="M412" i="4"/>
  <c r="I412" i="4" s="1"/>
  <c r="K412" i="4" s="1"/>
  <c r="M411" i="4"/>
  <c r="I411" i="4" s="1"/>
  <c r="O411" i="4" s="1"/>
  <c r="P411" i="4" s="1"/>
  <c r="M410" i="4"/>
  <c r="I410" i="4" s="1"/>
  <c r="K410" i="4" s="1"/>
  <c r="M409" i="4"/>
  <c r="I409" i="4" s="1"/>
  <c r="K409" i="4" s="1"/>
  <c r="M408" i="4"/>
  <c r="I408" i="4" s="1"/>
  <c r="K408" i="4" s="1"/>
  <c r="M407" i="4"/>
  <c r="I407" i="4" s="1"/>
  <c r="O407" i="4" s="1"/>
  <c r="P407" i="4" s="1"/>
  <c r="M406" i="4"/>
  <c r="I406" i="4" s="1"/>
  <c r="K406" i="4" s="1"/>
  <c r="M405" i="4"/>
  <c r="I405" i="4" s="1"/>
  <c r="K405" i="4" s="1"/>
  <c r="M404" i="4"/>
  <c r="I404" i="4" s="1"/>
  <c r="K404" i="4" s="1"/>
  <c r="M403" i="4"/>
  <c r="I403" i="4" s="1"/>
  <c r="K403" i="4" s="1"/>
  <c r="M402" i="4"/>
  <c r="I402" i="4" s="1"/>
  <c r="K402" i="4" s="1"/>
  <c r="M401" i="4"/>
  <c r="I401" i="4" s="1"/>
  <c r="O401" i="4" s="1"/>
  <c r="P401" i="4" s="1"/>
  <c r="M400" i="4"/>
  <c r="I400" i="4" s="1"/>
  <c r="K400" i="4" s="1"/>
  <c r="M399" i="4"/>
  <c r="I399" i="4" s="1"/>
  <c r="K399" i="4" s="1"/>
  <c r="M398" i="4"/>
  <c r="I398" i="4" s="1"/>
  <c r="K398" i="4" s="1"/>
  <c r="M397" i="4"/>
  <c r="I397" i="4" s="1"/>
  <c r="K397" i="4" s="1"/>
  <c r="M396" i="4"/>
  <c r="I396" i="4" s="1"/>
  <c r="K396" i="4" s="1"/>
  <c r="M395" i="4"/>
  <c r="M394" i="4"/>
  <c r="I394" i="4" s="1"/>
  <c r="K394" i="4" s="1"/>
  <c r="M393" i="4"/>
  <c r="I393" i="4" s="1"/>
  <c r="O393" i="4" s="1"/>
  <c r="P393" i="4" s="1"/>
  <c r="M392" i="4"/>
  <c r="I392" i="4" s="1"/>
  <c r="K392" i="4" s="1"/>
  <c r="M391" i="4"/>
  <c r="I391" i="4" s="1"/>
  <c r="K391" i="4" s="1"/>
  <c r="M390" i="4"/>
  <c r="I390" i="4" s="1"/>
  <c r="K390" i="4" s="1"/>
  <c r="M389" i="4"/>
  <c r="I389" i="4" s="1"/>
  <c r="K389" i="4" s="1"/>
  <c r="M388" i="4"/>
  <c r="I388" i="4" s="1"/>
  <c r="K388" i="4" s="1"/>
  <c r="M387" i="4"/>
  <c r="I387" i="4" s="1"/>
  <c r="K387" i="4" s="1"/>
  <c r="M386" i="4"/>
  <c r="I386" i="4" s="1"/>
  <c r="K386" i="4" s="1"/>
  <c r="M385" i="4"/>
  <c r="M384" i="4"/>
  <c r="I384" i="4" s="1"/>
  <c r="K384" i="4" s="1"/>
  <c r="M383" i="4"/>
  <c r="I383" i="4" s="1"/>
  <c r="K383" i="4" s="1"/>
  <c r="M382" i="4"/>
  <c r="I382" i="4" s="1"/>
  <c r="K382" i="4" s="1"/>
  <c r="M381" i="4"/>
  <c r="I381" i="4" s="1"/>
  <c r="O381" i="4" s="1"/>
  <c r="P381" i="4" s="1"/>
  <c r="M380" i="4"/>
  <c r="I380" i="4" s="1"/>
  <c r="K380" i="4" s="1"/>
  <c r="M379" i="4"/>
  <c r="M377" i="4"/>
  <c r="I377" i="4" s="1"/>
  <c r="K377" i="4" s="1"/>
  <c r="M376" i="4"/>
  <c r="I376" i="4" s="1"/>
  <c r="K376" i="4" s="1"/>
  <c r="M375" i="4"/>
  <c r="I375" i="4" s="1"/>
  <c r="O375" i="4" s="1"/>
  <c r="P375" i="4" s="1"/>
  <c r="M374" i="4"/>
  <c r="I374" i="4" s="1"/>
  <c r="K374" i="4" s="1"/>
  <c r="M373" i="4"/>
  <c r="I373" i="4" s="1"/>
  <c r="K373" i="4" s="1"/>
  <c r="M372" i="4"/>
  <c r="I372" i="4" s="1"/>
  <c r="K372" i="4" s="1"/>
  <c r="M371" i="4"/>
  <c r="I371" i="4" s="1"/>
  <c r="K371" i="4" s="1"/>
  <c r="M370" i="4"/>
  <c r="I370" i="4" s="1"/>
  <c r="K370" i="4" s="1"/>
  <c r="M369" i="4"/>
  <c r="I369" i="4" s="1"/>
  <c r="K369" i="4" s="1"/>
  <c r="M368" i="4"/>
  <c r="I368" i="4" s="1"/>
  <c r="K368" i="4" s="1"/>
  <c r="M367" i="4"/>
  <c r="I367" i="4" s="1"/>
  <c r="K367" i="4" s="1"/>
  <c r="M366" i="4"/>
  <c r="I366" i="4" s="1"/>
  <c r="O366" i="4" s="1"/>
  <c r="P366" i="4" s="1"/>
  <c r="M365" i="4"/>
  <c r="I365" i="4" s="1"/>
  <c r="O365" i="4" s="1"/>
  <c r="P365" i="4" s="1"/>
  <c r="M364" i="4"/>
  <c r="I364" i="4" s="1"/>
  <c r="K364" i="4" s="1"/>
  <c r="M363" i="4"/>
  <c r="I363" i="4" s="1"/>
  <c r="K363" i="4" s="1"/>
  <c r="M362" i="4"/>
  <c r="I362" i="4" s="1"/>
  <c r="K362" i="4" s="1"/>
  <c r="M361" i="4"/>
  <c r="M360" i="4"/>
  <c r="I360" i="4" s="1"/>
  <c r="K360" i="4" s="1"/>
  <c r="M359" i="4"/>
  <c r="I359" i="4" s="1"/>
  <c r="M358" i="4"/>
  <c r="I358" i="4" s="1"/>
  <c r="K358" i="4" s="1"/>
  <c r="M357" i="4"/>
  <c r="I357" i="4" s="1"/>
  <c r="K357" i="4" s="1"/>
  <c r="M356" i="4"/>
  <c r="I356" i="4" s="1"/>
  <c r="K356" i="4" s="1"/>
  <c r="M355" i="4"/>
  <c r="I355" i="4" s="1"/>
  <c r="K355" i="4" s="1"/>
  <c r="M354" i="4"/>
  <c r="I354" i="4" s="1"/>
  <c r="K354" i="4" s="1"/>
  <c r="M353" i="4"/>
  <c r="I353" i="4" s="1"/>
  <c r="O353" i="4" s="1"/>
  <c r="P353" i="4" s="1"/>
  <c r="M352" i="4"/>
  <c r="I352" i="4" s="1"/>
  <c r="K352" i="4" s="1"/>
  <c r="M351" i="4"/>
  <c r="I351" i="4" s="1"/>
  <c r="O351" i="4" s="1"/>
  <c r="P351" i="4" s="1"/>
  <c r="M350" i="4"/>
  <c r="I350" i="4" s="1"/>
  <c r="K350" i="4" s="1"/>
  <c r="M349" i="4"/>
  <c r="M348" i="4"/>
  <c r="I348" i="4" s="1"/>
  <c r="K348" i="4" s="1"/>
  <c r="M347" i="4"/>
  <c r="I347" i="4" s="1"/>
  <c r="M346" i="4"/>
  <c r="I346" i="4" s="1"/>
  <c r="K346" i="4" s="1"/>
  <c r="M345" i="4"/>
  <c r="I345" i="4" s="1"/>
  <c r="K345" i="4" s="1"/>
  <c r="M344" i="4"/>
  <c r="I344" i="4" s="1"/>
  <c r="K344" i="4" s="1"/>
  <c r="M343" i="4"/>
  <c r="M342" i="4"/>
  <c r="I342" i="4" s="1"/>
  <c r="K342" i="4" s="1"/>
  <c r="M341" i="4"/>
  <c r="I341" i="4" s="1"/>
  <c r="K341" i="4" s="1"/>
  <c r="M340" i="4"/>
  <c r="I340" i="4" s="1"/>
  <c r="K340" i="4" s="1"/>
  <c r="M339" i="4"/>
  <c r="I339" i="4" s="1"/>
  <c r="K339" i="4" s="1"/>
  <c r="M338" i="4"/>
  <c r="I338" i="4" s="1"/>
  <c r="K338" i="4" s="1"/>
  <c r="M337" i="4"/>
  <c r="M336" i="4"/>
  <c r="I336" i="4" s="1"/>
  <c r="K336" i="4" s="1"/>
  <c r="M335" i="4"/>
  <c r="I335" i="4" s="1"/>
  <c r="M334" i="4"/>
  <c r="I334" i="4" s="1"/>
  <c r="K334" i="4" s="1"/>
  <c r="M333" i="4"/>
  <c r="M332" i="4"/>
  <c r="I332" i="4" s="1"/>
  <c r="K332" i="4" s="1"/>
  <c r="M331" i="4"/>
  <c r="I331" i="4" s="1"/>
  <c r="K331" i="4" s="1"/>
  <c r="M330" i="4"/>
  <c r="I330" i="4" s="1"/>
  <c r="K330" i="4" s="1"/>
  <c r="M329" i="4"/>
  <c r="M328" i="4"/>
  <c r="I328" i="4" s="1"/>
  <c r="K328" i="4" s="1"/>
  <c r="M327" i="4"/>
  <c r="I327" i="4" s="1"/>
  <c r="K327" i="4" s="1"/>
  <c r="M326" i="4"/>
  <c r="I326" i="4" s="1"/>
  <c r="K326" i="4" s="1"/>
  <c r="M325" i="4"/>
  <c r="M324" i="4"/>
  <c r="I324" i="4" s="1"/>
  <c r="K324" i="4" s="1"/>
  <c r="M323" i="4"/>
  <c r="I323" i="4" s="1"/>
  <c r="M322" i="4"/>
  <c r="I322" i="4" s="1"/>
  <c r="K322" i="4" s="1"/>
  <c r="M321" i="4"/>
  <c r="I321" i="4" s="1"/>
  <c r="K321" i="4" s="1"/>
  <c r="M320" i="4"/>
  <c r="I320" i="4" s="1"/>
  <c r="K320" i="4" s="1"/>
  <c r="M319" i="4"/>
  <c r="M318" i="4"/>
  <c r="I318" i="4" s="1"/>
  <c r="K318" i="4" s="1"/>
  <c r="M317" i="4"/>
  <c r="I317" i="4" s="1"/>
  <c r="K317" i="4" s="1"/>
  <c r="M316" i="4"/>
  <c r="I316" i="4" s="1"/>
  <c r="K316" i="4" s="1"/>
  <c r="M315" i="4"/>
  <c r="I315" i="4" s="1"/>
  <c r="O315" i="4" s="1"/>
  <c r="P315" i="4" s="1"/>
  <c r="M314" i="4"/>
  <c r="I314" i="4" s="1"/>
  <c r="K314" i="4" s="1"/>
  <c r="M313" i="4"/>
  <c r="M312" i="4"/>
  <c r="I312" i="4" s="1"/>
  <c r="K312" i="4" s="1"/>
  <c r="M311" i="4"/>
  <c r="I311" i="4" s="1"/>
  <c r="K311" i="4" s="1"/>
  <c r="M310" i="4"/>
  <c r="I310" i="4" s="1"/>
  <c r="K310" i="4" s="1"/>
  <c r="M309" i="4"/>
  <c r="I309" i="4" s="1"/>
  <c r="O309" i="4" s="1"/>
  <c r="P309" i="4" s="1"/>
  <c r="M308" i="4"/>
  <c r="I308" i="4" s="1"/>
  <c r="K308" i="4" s="1"/>
  <c r="M307" i="4"/>
  <c r="I307" i="4" s="1"/>
  <c r="K307" i="4" s="1"/>
  <c r="M306" i="4"/>
  <c r="I306" i="4" s="1"/>
  <c r="K306" i="4" s="1"/>
  <c r="M305" i="4"/>
  <c r="I305" i="4" s="1"/>
  <c r="K305" i="4" s="1"/>
  <c r="M304" i="4"/>
  <c r="I304" i="4" s="1"/>
  <c r="K304" i="4" s="1"/>
  <c r="M303" i="4"/>
  <c r="I303" i="4" s="1"/>
  <c r="K303" i="4" s="1"/>
  <c r="M302" i="4"/>
  <c r="I302" i="4" s="1"/>
  <c r="O302" i="4" s="1"/>
  <c r="P302" i="4" s="1"/>
  <c r="M301" i="4"/>
  <c r="I301" i="4" s="1"/>
  <c r="O301" i="4" s="1"/>
  <c r="P301" i="4" s="1"/>
  <c r="M300" i="4"/>
  <c r="I300" i="4" s="1"/>
  <c r="O300" i="4" s="1"/>
  <c r="P300" i="4" s="1"/>
  <c r="M299" i="4"/>
  <c r="I299" i="4" s="1"/>
  <c r="K299" i="4" s="1"/>
  <c r="M298" i="4"/>
  <c r="I298" i="4" s="1"/>
  <c r="K298" i="4" s="1"/>
  <c r="M297" i="4"/>
  <c r="I297" i="4" s="1"/>
  <c r="K297" i="4" s="1"/>
  <c r="M296" i="4"/>
  <c r="I296" i="4" s="1"/>
  <c r="K296" i="4" s="1"/>
  <c r="M295" i="4"/>
  <c r="I295" i="4" s="1"/>
  <c r="O295" i="4" s="1"/>
  <c r="P295" i="4" s="1"/>
  <c r="M294" i="4"/>
  <c r="I294" i="4" s="1"/>
  <c r="O294" i="4" s="1"/>
  <c r="P294" i="4" s="1"/>
  <c r="M293" i="4"/>
  <c r="I293" i="4" s="1"/>
  <c r="K293" i="4" s="1"/>
  <c r="M292" i="4"/>
  <c r="I292" i="4" s="1"/>
  <c r="O292" i="4" s="1"/>
  <c r="P292" i="4" s="1"/>
  <c r="M291" i="4"/>
  <c r="I291" i="4" s="1"/>
  <c r="K291" i="4" s="1"/>
  <c r="M290" i="4"/>
  <c r="I290" i="4" s="1"/>
  <c r="O290" i="4" s="1"/>
  <c r="P290" i="4" s="1"/>
  <c r="M289" i="4"/>
  <c r="I289" i="4" s="1"/>
  <c r="O289" i="4" s="1"/>
  <c r="P289" i="4" s="1"/>
  <c r="M288" i="4"/>
  <c r="I288" i="4" s="1"/>
  <c r="K288" i="4" s="1"/>
  <c r="M287" i="4"/>
  <c r="I287" i="4" s="1"/>
  <c r="O287" i="4" s="1"/>
  <c r="P287" i="4" s="1"/>
  <c r="M286" i="4"/>
  <c r="I286" i="4" s="1"/>
  <c r="K286" i="4" s="1"/>
  <c r="M285" i="4"/>
  <c r="I285" i="4" s="1"/>
  <c r="K285" i="4" s="1"/>
  <c r="M284" i="4"/>
  <c r="I284" i="4" s="1"/>
  <c r="K284" i="4" s="1"/>
  <c r="M283" i="4"/>
  <c r="I283" i="4" s="1"/>
  <c r="O283" i="4" s="1"/>
  <c r="P283" i="4" s="1"/>
  <c r="M282" i="4"/>
  <c r="I282" i="4" s="1"/>
  <c r="K282" i="4" s="1"/>
  <c r="M281" i="4"/>
  <c r="I281" i="4" s="1"/>
  <c r="K281" i="4" s="1"/>
  <c r="M280" i="4"/>
  <c r="I280" i="4" s="1"/>
  <c r="K280" i="4" s="1"/>
  <c r="M279" i="4"/>
  <c r="M278" i="4"/>
  <c r="I278" i="4" s="1"/>
  <c r="K278" i="4" s="1"/>
  <c r="M277" i="4"/>
  <c r="I277" i="4" s="1"/>
  <c r="O277" i="4" s="1"/>
  <c r="P277" i="4" s="1"/>
  <c r="M276" i="4"/>
  <c r="I276" i="4" s="1"/>
  <c r="M275" i="4"/>
  <c r="I275" i="4" s="1"/>
  <c r="K275" i="4" s="1"/>
  <c r="M274" i="4"/>
  <c r="I274" i="4" s="1"/>
  <c r="K274" i="4" s="1"/>
  <c r="M273" i="4"/>
  <c r="I273" i="4" s="1"/>
  <c r="K273" i="4" s="1"/>
  <c r="M272" i="4"/>
  <c r="I272" i="4" s="1"/>
  <c r="O272" i="4" s="1"/>
  <c r="P272" i="4" s="1"/>
  <c r="M271" i="4"/>
  <c r="I271" i="4" s="1"/>
  <c r="O271" i="4" s="1"/>
  <c r="P271" i="4" s="1"/>
  <c r="M270" i="4"/>
  <c r="I270" i="4" s="1"/>
  <c r="K270" i="4" s="1"/>
  <c r="M269" i="4"/>
  <c r="I269" i="4" s="1"/>
  <c r="K269" i="4" s="1"/>
  <c r="M268" i="4"/>
  <c r="I268" i="4" s="1"/>
  <c r="K268" i="4" s="1"/>
  <c r="M267" i="4"/>
  <c r="I267" i="4" s="1"/>
  <c r="K267" i="4" s="1"/>
  <c r="M266" i="4"/>
  <c r="I266" i="4" s="1"/>
  <c r="K266" i="4" s="1"/>
  <c r="M265" i="4"/>
  <c r="I265" i="4" s="1"/>
  <c r="O265" i="4" s="1"/>
  <c r="P265" i="4" s="1"/>
  <c r="M264" i="4"/>
  <c r="I264" i="4" s="1"/>
  <c r="M263" i="4"/>
  <c r="I263" i="4" s="1"/>
  <c r="O263" i="4" s="1"/>
  <c r="P263" i="4" s="1"/>
  <c r="M262" i="4"/>
  <c r="I262" i="4" s="1"/>
  <c r="K262" i="4" s="1"/>
  <c r="M261" i="4"/>
  <c r="I261" i="4" s="1"/>
  <c r="K261" i="4" s="1"/>
  <c r="M260" i="4"/>
  <c r="I260" i="4" s="1"/>
  <c r="K260" i="4" s="1"/>
  <c r="M259" i="4"/>
  <c r="I259" i="4" s="1"/>
  <c r="O259" i="4" s="1"/>
  <c r="P259" i="4" s="1"/>
  <c r="M258" i="4"/>
  <c r="I258" i="4" s="1"/>
  <c r="K258" i="4" s="1"/>
  <c r="M257" i="4"/>
  <c r="I257" i="4" s="1"/>
  <c r="O257" i="4" s="1"/>
  <c r="P257" i="4" s="1"/>
  <c r="M256" i="4"/>
  <c r="I256" i="4" s="1"/>
  <c r="K256" i="4" s="1"/>
  <c r="M255" i="4"/>
  <c r="I255" i="4" s="1"/>
  <c r="K255" i="4" s="1"/>
  <c r="M254" i="4"/>
  <c r="I254" i="4" s="1"/>
  <c r="K254" i="4" s="1"/>
  <c r="M253" i="4"/>
  <c r="I253" i="4" s="1"/>
  <c r="K253" i="4" s="1"/>
  <c r="M252" i="4"/>
  <c r="I252" i="4" s="1"/>
  <c r="M251" i="4"/>
  <c r="I251" i="4" s="1"/>
  <c r="M250" i="4"/>
  <c r="M249" i="4"/>
  <c r="I249" i="4" s="1"/>
  <c r="K249" i="4" s="1"/>
  <c r="M248" i="4"/>
  <c r="I248" i="4" s="1"/>
  <c r="O248" i="4" s="1"/>
  <c r="P248" i="4" s="1"/>
  <c r="M247" i="4"/>
  <c r="I247" i="4" s="1"/>
  <c r="O247" i="4" s="1"/>
  <c r="P247" i="4" s="1"/>
  <c r="M246" i="4"/>
  <c r="I246" i="4" s="1"/>
  <c r="K246" i="4" s="1"/>
  <c r="M245" i="4"/>
  <c r="I245" i="4" s="1"/>
  <c r="K245" i="4" s="1"/>
  <c r="M244" i="4"/>
  <c r="I244" i="4" s="1"/>
  <c r="K244" i="4" s="1"/>
  <c r="M243" i="4"/>
  <c r="M242" i="4"/>
  <c r="I242" i="4" s="1"/>
  <c r="K242" i="4" s="1"/>
  <c r="M241" i="4"/>
  <c r="I241" i="4" s="1"/>
  <c r="O241" i="4" s="1"/>
  <c r="P241" i="4" s="1"/>
  <c r="M240" i="4"/>
  <c r="I240" i="4" s="1"/>
  <c r="M239" i="4"/>
  <c r="I239" i="4" s="1"/>
  <c r="O239" i="4" s="1"/>
  <c r="P239" i="4" s="1"/>
  <c r="M238" i="4"/>
  <c r="I238" i="4" s="1"/>
  <c r="K238" i="4" s="1"/>
  <c r="M237" i="4"/>
  <c r="I237" i="4" s="1"/>
  <c r="K237" i="4" s="1"/>
  <c r="M236" i="4"/>
  <c r="I236" i="4" s="1"/>
  <c r="K236" i="4" s="1"/>
  <c r="M235" i="4"/>
  <c r="I235" i="4" s="1"/>
  <c r="O235" i="4" s="1"/>
  <c r="P235" i="4" s="1"/>
  <c r="M234" i="4"/>
  <c r="I234" i="4" s="1"/>
  <c r="K234" i="4" s="1"/>
  <c r="M233" i="4"/>
  <c r="I233" i="4" s="1"/>
  <c r="K233" i="4" s="1"/>
  <c r="M232" i="4"/>
  <c r="I232" i="4" s="1"/>
  <c r="K232" i="4" s="1"/>
  <c r="M231" i="4"/>
  <c r="M230" i="4"/>
  <c r="I230" i="4" s="1"/>
  <c r="K230" i="4" s="1"/>
  <c r="M229" i="4"/>
  <c r="I229" i="4" s="1"/>
  <c r="O229" i="4" s="1"/>
  <c r="P229" i="4" s="1"/>
  <c r="M228" i="4"/>
  <c r="I228" i="4" s="1"/>
  <c r="M227" i="4"/>
  <c r="I227" i="4" s="1"/>
  <c r="O227" i="4" s="1"/>
  <c r="P227" i="4" s="1"/>
  <c r="M226" i="4"/>
  <c r="M225" i="4"/>
  <c r="I225" i="4" s="1"/>
  <c r="K225" i="4" s="1"/>
  <c r="M224" i="4"/>
  <c r="I224" i="4" s="1"/>
  <c r="K224" i="4" s="1"/>
  <c r="M223" i="4"/>
  <c r="I223" i="4" s="1"/>
  <c r="O223" i="4" s="1"/>
  <c r="P223" i="4" s="1"/>
  <c r="M222" i="4"/>
  <c r="I222" i="4" s="1"/>
  <c r="K222" i="4" s="1"/>
  <c r="M221" i="4"/>
  <c r="I221" i="4" s="1"/>
  <c r="K221" i="4" s="1"/>
  <c r="M220" i="4"/>
  <c r="I220" i="4" s="1"/>
  <c r="K220" i="4" s="1"/>
  <c r="M219" i="4"/>
  <c r="I219" i="4" s="1"/>
  <c r="K219" i="4" s="1"/>
  <c r="M218" i="4"/>
  <c r="I218" i="4" s="1"/>
  <c r="K218" i="4" s="1"/>
  <c r="M217" i="4"/>
  <c r="M216" i="4"/>
  <c r="I216" i="4" s="1"/>
  <c r="O216" i="4" s="1"/>
  <c r="P216" i="4" s="1"/>
  <c r="M215" i="4"/>
  <c r="I215" i="4" s="1"/>
  <c r="K215" i="4" s="1"/>
  <c r="M214" i="4"/>
  <c r="I214" i="4" s="1"/>
  <c r="K214" i="4" s="1"/>
  <c r="M213" i="4"/>
  <c r="I213" i="4" s="1"/>
  <c r="K213" i="4" s="1"/>
  <c r="M212" i="4"/>
  <c r="I212" i="4" s="1"/>
  <c r="K212" i="4" s="1"/>
  <c r="M211" i="4"/>
  <c r="I211" i="4" s="1"/>
  <c r="K211" i="4" s="1"/>
  <c r="M210" i="4"/>
  <c r="I210" i="4" s="1"/>
  <c r="K210" i="4" s="1"/>
  <c r="M209" i="4"/>
  <c r="I209" i="4" s="1"/>
  <c r="K209" i="4" s="1"/>
  <c r="M208" i="4"/>
  <c r="I208" i="4" s="1"/>
  <c r="K208" i="4" s="1"/>
  <c r="M207" i="4"/>
  <c r="I207" i="4" s="1"/>
  <c r="O207" i="4" s="1"/>
  <c r="P207" i="4" s="1"/>
  <c r="M206" i="4"/>
  <c r="I206" i="4" s="1"/>
  <c r="O206" i="4" s="1"/>
  <c r="P206" i="4" s="1"/>
  <c r="M205" i="4"/>
  <c r="I205" i="4" s="1"/>
  <c r="K205" i="4" s="1"/>
  <c r="M204" i="4"/>
  <c r="I204" i="4" s="1"/>
  <c r="K204" i="4" s="1"/>
  <c r="M203" i="4"/>
  <c r="I203" i="4" s="1"/>
  <c r="K203" i="4" s="1"/>
  <c r="M202" i="4"/>
  <c r="I202" i="4" s="1"/>
  <c r="K202" i="4" s="1"/>
  <c r="M201" i="4"/>
  <c r="I201" i="4" s="1"/>
  <c r="O201" i="4" s="1"/>
  <c r="P201" i="4" s="1"/>
  <c r="M200" i="4"/>
  <c r="I200" i="4" s="1"/>
  <c r="K200" i="4" s="1"/>
  <c r="M199" i="4"/>
  <c r="I199" i="4" s="1"/>
  <c r="O199" i="4" s="1"/>
  <c r="P199" i="4" s="1"/>
  <c r="M198" i="4"/>
  <c r="I198" i="4" s="1"/>
  <c r="K198" i="4" s="1"/>
  <c r="M197" i="4"/>
  <c r="I197" i="4" s="1"/>
  <c r="K197" i="4" s="1"/>
  <c r="M196" i="4"/>
  <c r="I196" i="4" s="1"/>
  <c r="K196" i="4" s="1"/>
  <c r="M195" i="4"/>
  <c r="I195" i="4" s="1"/>
  <c r="K195" i="4" s="1"/>
  <c r="M194" i="4"/>
  <c r="I194" i="4" s="1"/>
  <c r="O194" i="4" s="1"/>
  <c r="P194" i="4" s="1"/>
  <c r="M193" i="4"/>
  <c r="I193" i="4" s="1"/>
  <c r="M192" i="4"/>
  <c r="I192" i="4" s="1"/>
  <c r="K192" i="4" s="1"/>
  <c r="M190" i="4"/>
  <c r="I190" i="4" s="1"/>
  <c r="O190" i="4" s="1"/>
  <c r="P190" i="4" s="1"/>
  <c r="M189" i="4"/>
  <c r="I189" i="4" s="1"/>
  <c r="O189" i="4" s="1"/>
  <c r="P189" i="4" s="1"/>
  <c r="M188" i="4"/>
  <c r="I188" i="4" s="1"/>
  <c r="K188" i="4" s="1"/>
  <c r="M187" i="4"/>
  <c r="I187" i="4" s="1"/>
  <c r="K187" i="4" s="1"/>
  <c r="M186" i="4"/>
  <c r="I186" i="4" s="1"/>
  <c r="K186" i="4" s="1"/>
  <c r="M185" i="4"/>
  <c r="M184" i="4"/>
  <c r="I184" i="4" s="1"/>
  <c r="K184" i="4" s="1"/>
  <c r="M183" i="4"/>
  <c r="I183" i="4" s="1"/>
  <c r="O183" i="4" s="1"/>
  <c r="P183" i="4" s="1"/>
  <c r="M182" i="4"/>
  <c r="I182" i="4" s="1"/>
  <c r="O182" i="4" s="1"/>
  <c r="P182" i="4" s="1"/>
  <c r="M181" i="4"/>
  <c r="I181" i="4" s="1"/>
  <c r="M180" i="4"/>
  <c r="I180" i="4" s="1"/>
  <c r="K180" i="4" s="1"/>
  <c r="M179" i="4"/>
  <c r="I179" i="4" s="1"/>
  <c r="K179" i="4" s="1"/>
  <c r="M178" i="4"/>
  <c r="I178" i="4" s="1"/>
  <c r="K178" i="4" s="1"/>
  <c r="M177" i="4"/>
  <c r="I177" i="4" s="1"/>
  <c r="K177" i="4" s="1"/>
  <c r="M176" i="4"/>
  <c r="I176" i="4" s="1"/>
  <c r="K176" i="4" s="1"/>
  <c r="M175" i="4"/>
  <c r="I175" i="4" s="1"/>
  <c r="O175" i="4" s="1"/>
  <c r="P175" i="4" s="1"/>
  <c r="M174" i="4"/>
  <c r="I174" i="4" s="1"/>
  <c r="K174" i="4" s="1"/>
  <c r="M173" i="4"/>
  <c r="I173" i="4" s="1"/>
  <c r="K173" i="4" s="1"/>
  <c r="M172" i="4"/>
  <c r="M171" i="4"/>
  <c r="I171" i="4" s="1"/>
  <c r="K171" i="4" s="1"/>
  <c r="M170" i="4"/>
  <c r="I170" i="4" s="1"/>
  <c r="K170" i="4" s="1"/>
  <c r="M169" i="4"/>
  <c r="I169" i="4" s="1"/>
  <c r="M168" i="4"/>
  <c r="I168" i="4" s="1"/>
  <c r="K168" i="4" s="1"/>
  <c r="M166" i="4"/>
  <c r="I166" i="4" s="1"/>
  <c r="O166" i="4" s="1"/>
  <c r="P166" i="4" s="1"/>
  <c r="M165" i="4"/>
  <c r="I165" i="4" s="1"/>
  <c r="O165" i="4" s="1"/>
  <c r="P165" i="4" s="1"/>
  <c r="M164" i="4"/>
  <c r="I164" i="4" s="1"/>
  <c r="K164" i="4" s="1"/>
  <c r="M162" i="4"/>
  <c r="I162" i="4" s="1"/>
  <c r="K162" i="4" s="1"/>
  <c r="M161" i="4"/>
  <c r="M160" i="4"/>
  <c r="M159" i="4"/>
  <c r="I159" i="4" s="1"/>
  <c r="O159" i="4" s="1"/>
  <c r="P159" i="4" s="1"/>
  <c r="M158" i="4"/>
  <c r="I158" i="4" s="1"/>
  <c r="K158" i="4" s="1"/>
  <c r="M157" i="4"/>
  <c r="I157" i="4" s="1"/>
  <c r="O157" i="4" s="1"/>
  <c r="P157" i="4" s="1"/>
  <c r="M156" i="4"/>
  <c r="I156" i="4" s="1"/>
  <c r="K156" i="4" s="1"/>
  <c r="M155" i="4"/>
  <c r="I155" i="4" s="1"/>
  <c r="K155" i="4" s="1"/>
  <c r="M154" i="4"/>
  <c r="I154" i="4" s="1"/>
  <c r="O154" i="4" s="1"/>
  <c r="P154" i="4" s="1"/>
  <c r="M153" i="4"/>
  <c r="I153" i="4" s="1"/>
  <c r="O153" i="4" s="1"/>
  <c r="P153" i="4" s="1"/>
  <c r="M152" i="4"/>
  <c r="I152" i="4" s="1"/>
  <c r="K152" i="4" s="1"/>
  <c r="M151" i="4"/>
  <c r="I151" i="4" s="1"/>
  <c r="K151" i="4" s="1"/>
  <c r="M150" i="4"/>
  <c r="I150" i="4" s="1"/>
  <c r="K150" i="4" s="1"/>
  <c r="M149" i="4"/>
  <c r="M148" i="4"/>
  <c r="I148" i="4" s="1"/>
  <c r="K148" i="4" s="1"/>
  <c r="M147" i="4"/>
  <c r="I147" i="4" s="1"/>
  <c r="O147" i="4" s="1"/>
  <c r="P147" i="4" s="1"/>
  <c r="M146" i="4"/>
  <c r="I146" i="4" s="1"/>
  <c r="K146" i="4" s="1"/>
  <c r="M145" i="4"/>
  <c r="I145" i="4" s="1"/>
  <c r="M144" i="4"/>
  <c r="I144" i="4" s="1"/>
  <c r="K144" i="4" s="1"/>
  <c r="M143" i="4"/>
  <c r="I143" i="4" s="1"/>
  <c r="K143" i="4" s="1"/>
  <c r="M142" i="4"/>
  <c r="I142" i="4" s="1"/>
  <c r="O142" i="4" s="1"/>
  <c r="P142" i="4" s="1"/>
  <c r="M141" i="4"/>
  <c r="I141" i="4" s="1"/>
  <c r="K141" i="4" s="1"/>
  <c r="M139" i="4"/>
  <c r="I139" i="4" s="1"/>
  <c r="K139" i="4" s="1"/>
  <c r="M138" i="4"/>
  <c r="M137" i="4"/>
  <c r="I137" i="4" s="1"/>
  <c r="K137" i="4" s="1"/>
  <c r="M136" i="4"/>
  <c r="I136" i="4" s="1"/>
  <c r="K136" i="4" s="1"/>
  <c r="M135" i="4"/>
  <c r="I135" i="4" s="1"/>
  <c r="O135" i="4" s="1"/>
  <c r="P135" i="4" s="1"/>
  <c r="M134" i="4"/>
  <c r="I134" i="4" s="1"/>
  <c r="K134" i="4" s="1"/>
  <c r="M133" i="4"/>
  <c r="I133" i="4" s="1"/>
  <c r="K133" i="4" s="1"/>
  <c r="M132" i="4"/>
  <c r="I132" i="4" s="1"/>
  <c r="K132" i="4" s="1"/>
  <c r="M131" i="4"/>
  <c r="I131" i="4" s="1"/>
  <c r="K131" i="4" s="1"/>
  <c r="M130" i="4"/>
  <c r="I130" i="4" s="1"/>
  <c r="K130" i="4" s="1"/>
  <c r="M129" i="4"/>
  <c r="I129" i="4" s="1"/>
  <c r="K129" i="4" s="1"/>
  <c r="M128" i="4"/>
  <c r="I128" i="4" s="1"/>
  <c r="K128" i="4" s="1"/>
  <c r="M127" i="4"/>
  <c r="I127" i="4" s="1"/>
  <c r="K127" i="4" s="1"/>
  <c r="M126" i="4"/>
  <c r="M125" i="4"/>
  <c r="M124" i="4"/>
  <c r="I124" i="4" s="1"/>
  <c r="K124" i="4" s="1"/>
  <c r="M123" i="4"/>
  <c r="I123" i="4" s="1"/>
  <c r="K123" i="4" s="1"/>
  <c r="M122" i="4"/>
  <c r="I122" i="4" s="1"/>
  <c r="K122" i="4" s="1"/>
  <c r="M121" i="4"/>
  <c r="I121" i="4" s="1"/>
  <c r="K121" i="4" s="1"/>
  <c r="M120" i="4"/>
  <c r="I120" i="4" s="1"/>
  <c r="K120" i="4" s="1"/>
  <c r="M119" i="4"/>
  <c r="I119" i="4" s="1"/>
  <c r="O119" i="4" s="1"/>
  <c r="P119" i="4" s="1"/>
  <c r="M118" i="4"/>
  <c r="I118" i="4" s="1"/>
  <c r="K118" i="4" s="1"/>
  <c r="M117" i="4"/>
  <c r="I117" i="4" s="1"/>
  <c r="K117" i="4" s="1"/>
  <c r="M116" i="4"/>
  <c r="I116" i="4" s="1"/>
  <c r="K116" i="4" s="1"/>
  <c r="M115" i="4"/>
  <c r="I115" i="4" s="1"/>
  <c r="O115" i="4" s="1"/>
  <c r="P115" i="4" s="1"/>
  <c r="M114" i="4"/>
  <c r="I114" i="4" s="1"/>
  <c r="O114" i="4" s="1"/>
  <c r="P114" i="4" s="1"/>
  <c r="M113" i="4"/>
  <c r="I113" i="4" s="1"/>
  <c r="K113" i="4" s="1"/>
  <c r="M112" i="4"/>
  <c r="I112" i="4" s="1"/>
  <c r="K112" i="4" s="1"/>
  <c r="M111" i="4"/>
  <c r="I111" i="4" s="1"/>
  <c r="O111" i="4" s="1"/>
  <c r="P111" i="4" s="1"/>
  <c r="M110" i="4"/>
  <c r="I110" i="4" s="1"/>
  <c r="K110" i="4" s="1"/>
  <c r="M109" i="4"/>
  <c r="I109" i="4" s="1"/>
  <c r="K109" i="4" s="1"/>
  <c r="M108" i="4"/>
  <c r="I108" i="4" s="1"/>
  <c r="K108" i="4" s="1"/>
  <c r="M107" i="4"/>
  <c r="I107" i="4" s="1"/>
  <c r="K107" i="4" s="1"/>
  <c r="M106" i="4"/>
  <c r="I106" i="4" s="1"/>
  <c r="O106" i="4" s="1"/>
  <c r="P106" i="4" s="1"/>
  <c r="M105" i="4"/>
  <c r="I105" i="4" s="1"/>
  <c r="K105" i="4" s="1"/>
  <c r="M104" i="4"/>
  <c r="I104" i="4" s="1"/>
  <c r="K104" i="4" s="1"/>
  <c r="M101" i="4"/>
  <c r="I101" i="4" s="1"/>
  <c r="K101" i="4" s="1"/>
  <c r="M100" i="4"/>
  <c r="I100" i="4" s="1"/>
  <c r="K100" i="4" s="1"/>
  <c r="M99" i="4"/>
  <c r="I99" i="4" s="1"/>
  <c r="K99" i="4" s="1"/>
  <c r="M98" i="4"/>
  <c r="I98" i="4" s="1"/>
  <c r="O98" i="4" s="1"/>
  <c r="P98" i="4" s="1"/>
  <c r="M97" i="4"/>
  <c r="I97" i="4" s="1"/>
  <c r="K97" i="4" s="1"/>
  <c r="M96" i="4"/>
  <c r="I96" i="4" s="1"/>
  <c r="K96" i="4" s="1"/>
  <c r="M95" i="4"/>
  <c r="I95" i="4" s="1"/>
  <c r="O95" i="4" s="1"/>
  <c r="P95" i="4" s="1"/>
  <c r="M94" i="4"/>
  <c r="I94" i="4" s="1"/>
  <c r="K94" i="4" s="1"/>
  <c r="M93" i="4"/>
  <c r="M92" i="4"/>
  <c r="I92" i="4" s="1"/>
  <c r="K92" i="4" s="1"/>
  <c r="M91" i="4"/>
  <c r="M90" i="4"/>
  <c r="I90" i="4" s="1"/>
  <c r="O90" i="4" s="1"/>
  <c r="P90" i="4" s="1"/>
  <c r="M89" i="4"/>
  <c r="I89" i="4" s="1"/>
  <c r="K89" i="4" s="1"/>
  <c r="M88" i="4"/>
  <c r="I88" i="4" s="1"/>
  <c r="K88" i="4" s="1"/>
  <c r="M87" i="4"/>
  <c r="I87" i="4" s="1"/>
  <c r="O87" i="4" s="1"/>
  <c r="P87" i="4" s="1"/>
  <c r="M86" i="4"/>
  <c r="I86" i="4" s="1"/>
  <c r="K86" i="4" s="1"/>
  <c r="M85" i="4"/>
  <c r="I85" i="4" s="1"/>
  <c r="K85" i="4" s="1"/>
  <c r="M84" i="4"/>
  <c r="I84" i="4" s="1"/>
  <c r="K84" i="4" s="1"/>
  <c r="M83" i="4"/>
  <c r="I83" i="4" s="1"/>
  <c r="O83" i="4" s="1"/>
  <c r="P83" i="4" s="1"/>
  <c r="M82" i="4"/>
  <c r="I82" i="4" s="1"/>
  <c r="K82" i="4" s="1"/>
  <c r="M81" i="4"/>
  <c r="I81" i="4" s="1"/>
  <c r="O81" i="4" s="1"/>
  <c r="P81" i="4" s="1"/>
  <c r="M80" i="4"/>
  <c r="I80" i="4" s="1"/>
  <c r="K80" i="4" s="1"/>
  <c r="M79" i="4"/>
  <c r="I79" i="4" s="1"/>
  <c r="K79" i="4" s="1"/>
  <c r="M78" i="4"/>
  <c r="I78" i="4" s="1"/>
  <c r="K78" i="4" s="1"/>
  <c r="M77" i="4"/>
  <c r="I77" i="4" s="1"/>
  <c r="K77" i="4" s="1"/>
  <c r="M76" i="4"/>
  <c r="I76" i="4" s="1"/>
  <c r="K76" i="4" s="1"/>
  <c r="M75" i="4"/>
  <c r="I75" i="4" s="1"/>
  <c r="O75" i="4" s="1"/>
  <c r="P75" i="4" s="1"/>
  <c r="M74" i="4"/>
  <c r="I74" i="4" s="1"/>
  <c r="K74" i="4" s="1"/>
  <c r="M73" i="4"/>
  <c r="I73" i="4" s="1"/>
  <c r="K73" i="4" s="1"/>
  <c r="M72" i="4"/>
  <c r="I72" i="4" s="1"/>
  <c r="K72" i="4" s="1"/>
  <c r="M71" i="4"/>
  <c r="I71" i="4" s="1"/>
  <c r="K71" i="4" s="1"/>
  <c r="M70" i="4"/>
  <c r="I70" i="4" s="1"/>
  <c r="K70" i="4" s="1"/>
  <c r="M69" i="4"/>
  <c r="I69" i="4" s="1"/>
  <c r="O69" i="4" s="1"/>
  <c r="P69" i="4" s="1"/>
  <c r="M68" i="4"/>
  <c r="I68" i="4" s="1"/>
  <c r="K68" i="4" s="1"/>
  <c r="M67" i="4"/>
  <c r="I67" i="4" s="1"/>
  <c r="K67" i="4" s="1"/>
  <c r="M66" i="4"/>
  <c r="I66" i="4" s="1"/>
  <c r="K66" i="4" s="1"/>
  <c r="M65" i="4"/>
  <c r="I65" i="4" s="1"/>
  <c r="K65" i="4" s="1"/>
  <c r="M64" i="4"/>
  <c r="I64" i="4" s="1"/>
  <c r="O64" i="4" s="1"/>
  <c r="P64" i="4" s="1"/>
  <c r="M63" i="4"/>
  <c r="I63" i="4" s="1"/>
  <c r="O63" i="4" s="1"/>
  <c r="P63" i="4" s="1"/>
  <c r="M62" i="4"/>
  <c r="I62" i="4" s="1"/>
  <c r="K62" i="4" s="1"/>
  <c r="M61" i="4"/>
  <c r="I61" i="4" s="1"/>
  <c r="K61" i="4" s="1"/>
  <c r="M60" i="4"/>
  <c r="I60" i="4" s="1"/>
  <c r="K60" i="4" s="1"/>
  <c r="M59" i="4"/>
  <c r="I59" i="4" s="1"/>
  <c r="K59" i="4" s="1"/>
  <c r="M58" i="4"/>
  <c r="I58" i="4" s="1"/>
  <c r="K58" i="4" s="1"/>
  <c r="M57" i="4"/>
  <c r="I57" i="4" s="1"/>
  <c r="O57" i="4" s="1"/>
  <c r="P57" i="4" s="1"/>
  <c r="M56" i="4"/>
  <c r="I56" i="4" s="1"/>
  <c r="K56" i="4" s="1"/>
  <c r="M55" i="4"/>
  <c r="I55" i="4" s="1"/>
  <c r="K55" i="4" s="1"/>
  <c r="M54" i="4"/>
  <c r="I54" i="4" s="1"/>
  <c r="K54" i="4" s="1"/>
  <c r="M53" i="4"/>
  <c r="I53" i="4" s="1"/>
  <c r="K53" i="4" s="1"/>
  <c r="M52" i="4"/>
  <c r="I52" i="4" s="1"/>
  <c r="K52" i="4" s="1"/>
  <c r="M51" i="4"/>
  <c r="I51" i="4" s="1"/>
  <c r="O51" i="4" s="1"/>
  <c r="P51" i="4" s="1"/>
  <c r="M50" i="4"/>
  <c r="I50" i="4" s="1"/>
  <c r="K50" i="4" s="1"/>
  <c r="M49" i="4"/>
  <c r="I49" i="4" s="1"/>
  <c r="K49" i="4" s="1"/>
  <c r="M48" i="4"/>
  <c r="I48" i="4" s="1"/>
  <c r="K48" i="4" s="1"/>
  <c r="M47" i="4"/>
  <c r="I47" i="4" s="1"/>
  <c r="K47" i="4" s="1"/>
  <c r="M46" i="4"/>
  <c r="I46" i="4" s="1"/>
  <c r="K46" i="4" s="1"/>
  <c r="M45" i="4"/>
  <c r="I45" i="4" s="1"/>
  <c r="O45" i="4" s="1"/>
  <c r="P45" i="4" s="1"/>
  <c r="M44" i="4"/>
  <c r="I44" i="4" s="1"/>
  <c r="K44" i="4" s="1"/>
  <c r="M43" i="4"/>
  <c r="I43" i="4" s="1"/>
  <c r="K43" i="4" s="1"/>
  <c r="M42" i="4"/>
  <c r="I42" i="4" s="1"/>
  <c r="K42" i="4" s="1"/>
  <c r="M41" i="4"/>
  <c r="I41" i="4" s="1"/>
  <c r="K41" i="4" s="1"/>
  <c r="M40" i="4"/>
  <c r="I40" i="4" s="1"/>
  <c r="K40" i="4" s="1"/>
  <c r="M39" i="4"/>
  <c r="I39" i="4" s="1"/>
  <c r="O39" i="4" s="1"/>
  <c r="P39" i="4" s="1"/>
  <c r="M38" i="4"/>
  <c r="I38" i="4" s="1"/>
  <c r="K38" i="4" s="1"/>
  <c r="M37" i="4"/>
  <c r="I37" i="4" s="1"/>
  <c r="K37" i="4" s="1"/>
  <c r="M36" i="4"/>
  <c r="I36" i="4" s="1"/>
  <c r="K36" i="4" s="1"/>
  <c r="M35" i="4"/>
  <c r="I35" i="4" s="1"/>
  <c r="K35" i="4" s="1"/>
  <c r="M34" i="4"/>
  <c r="I34" i="4" s="1"/>
  <c r="K34" i="4" s="1"/>
  <c r="M33" i="4"/>
  <c r="I33" i="4" s="1"/>
  <c r="O33" i="4" s="1"/>
  <c r="P33" i="4" s="1"/>
  <c r="M32" i="4"/>
  <c r="I32" i="4" s="1"/>
  <c r="K32" i="4" s="1"/>
  <c r="M31" i="4"/>
  <c r="I31" i="4" s="1"/>
  <c r="K31" i="4" s="1"/>
  <c r="M30" i="4"/>
  <c r="I30" i="4" s="1"/>
  <c r="K30" i="4" s="1"/>
  <c r="M29" i="4"/>
  <c r="I29" i="4" s="1"/>
  <c r="K29" i="4" s="1"/>
  <c r="M28" i="4"/>
  <c r="I28" i="4" s="1"/>
  <c r="K28" i="4" s="1"/>
  <c r="M27" i="4"/>
  <c r="I27" i="4" s="1"/>
  <c r="O27" i="4" s="1"/>
  <c r="P27" i="4" s="1"/>
  <c r="M26" i="4"/>
  <c r="I26" i="4" s="1"/>
  <c r="K26" i="4" s="1"/>
  <c r="M25" i="4"/>
  <c r="I25" i="4" s="1"/>
  <c r="K25" i="4" s="1"/>
  <c r="M24" i="4"/>
  <c r="I24" i="4" s="1"/>
  <c r="K24" i="4" s="1"/>
  <c r="M23" i="4"/>
  <c r="I23" i="4" s="1"/>
  <c r="K23" i="4" s="1"/>
  <c r="M22" i="4"/>
  <c r="I22" i="4" s="1"/>
  <c r="K22" i="4" s="1"/>
  <c r="M21" i="4"/>
  <c r="I21" i="4" s="1"/>
  <c r="O21" i="4" s="1"/>
  <c r="P21" i="4" s="1"/>
  <c r="M20" i="4"/>
  <c r="I20" i="4" s="1"/>
  <c r="K20" i="4" s="1"/>
  <c r="M19" i="4"/>
  <c r="I19" i="4" s="1"/>
  <c r="K19" i="4" s="1"/>
  <c r="M18" i="4"/>
  <c r="I18" i="4" s="1"/>
  <c r="K18" i="4" s="1"/>
  <c r="M17" i="4"/>
  <c r="I17" i="4" s="1"/>
  <c r="K17" i="4" s="1"/>
  <c r="M16" i="4"/>
  <c r="I16" i="4" s="1"/>
  <c r="K16" i="4" s="1"/>
  <c r="M15" i="4"/>
  <c r="I15" i="4" s="1"/>
  <c r="O15" i="4" s="1"/>
  <c r="P15" i="4" s="1"/>
  <c r="M14" i="4"/>
  <c r="I14" i="4" s="1"/>
  <c r="K14" i="4" s="1"/>
  <c r="M13" i="4"/>
  <c r="I13" i="4" s="1"/>
  <c r="K13" i="4" s="1"/>
  <c r="M12" i="4"/>
  <c r="I12" i="4" s="1"/>
  <c r="K12" i="4" s="1"/>
  <c r="M11" i="4"/>
  <c r="I11" i="4" s="1"/>
  <c r="K11" i="4" s="1"/>
  <c r="M10" i="4"/>
  <c r="I10" i="4" s="1"/>
  <c r="K10" i="4" s="1"/>
  <c r="M9" i="4"/>
  <c r="I9" i="4" s="1"/>
  <c r="O9" i="4" s="1"/>
  <c r="P9" i="4" s="1"/>
  <c r="M8" i="4"/>
  <c r="I8" i="4" s="1"/>
  <c r="K8" i="4" s="1"/>
  <c r="M7" i="4"/>
  <c r="I7" i="4" s="1"/>
  <c r="K7" i="4" s="1"/>
  <c r="M6" i="4"/>
  <c r="I6" i="4" s="1"/>
  <c r="K6" i="4" s="1"/>
  <c r="M5" i="4"/>
  <c r="I5" i="4" s="1"/>
  <c r="K5" i="4" s="1"/>
  <c r="M4" i="4"/>
  <c r="I4" i="4" s="1"/>
  <c r="K4" i="4" s="1"/>
  <c r="M3" i="4"/>
  <c r="I3" i="4" s="1"/>
  <c r="O3" i="4" s="1"/>
  <c r="P3" i="4" s="1"/>
  <c r="M2" i="4"/>
  <c r="I2" i="4" s="1"/>
  <c r="O2" i="4" s="1"/>
  <c r="P2" i="4" s="1"/>
  <c r="K526" i="4" l="1"/>
  <c r="O526" i="4"/>
  <c r="P526" i="4" s="1"/>
  <c r="K527" i="4"/>
  <c r="O527" i="4"/>
  <c r="P527" i="4" s="1"/>
  <c r="K103" i="4"/>
  <c r="K102" i="4"/>
  <c r="O102" i="4"/>
  <c r="P102" i="4" s="1"/>
  <c r="O140" i="4"/>
  <c r="P140" i="4" s="1"/>
  <c r="K140" i="4"/>
  <c r="K163" i="4"/>
  <c r="O167" i="4"/>
  <c r="P167" i="4" s="1"/>
  <c r="K191" i="4"/>
  <c r="O191" i="4"/>
  <c r="P191" i="4" s="1"/>
  <c r="K378" i="4"/>
  <c r="O378" i="4"/>
  <c r="P378" i="4" s="1"/>
  <c r="K457" i="4"/>
  <c r="O457" i="4"/>
  <c r="P457" i="4" s="1"/>
  <c r="O532" i="4"/>
  <c r="P532" i="4" s="1"/>
  <c r="K532" i="4"/>
  <c r="O213" i="4"/>
  <c r="P213" i="4" s="1"/>
  <c r="K425" i="4"/>
  <c r="K401" i="4"/>
  <c r="O129" i="4"/>
  <c r="P129" i="4" s="1"/>
  <c r="K207" i="4"/>
  <c r="K201" i="4"/>
  <c r="K366" i="4"/>
  <c r="O181" i="4"/>
  <c r="P181" i="4" s="1"/>
  <c r="K181" i="4"/>
  <c r="O323" i="4"/>
  <c r="P323" i="4" s="1"/>
  <c r="K323" i="4"/>
  <c r="K189" i="4"/>
  <c r="K290" i="4"/>
  <c r="K434" i="4"/>
  <c r="K165" i="4"/>
  <c r="K157" i="4"/>
  <c r="O364" i="4"/>
  <c r="P364" i="4" s="1"/>
  <c r="K153" i="4"/>
  <c r="K423" i="4"/>
  <c r="K257" i="4"/>
  <c r="K456" i="4"/>
  <c r="K411" i="4"/>
  <c r="K98" i="4"/>
  <c r="K516" i="4"/>
  <c r="O145" i="4"/>
  <c r="P145" i="4" s="1"/>
  <c r="K145" i="4"/>
  <c r="O193" i="4"/>
  <c r="P193" i="4" s="1"/>
  <c r="K193" i="4"/>
  <c r="O251" i="4"/>
  <c r="P251" i="4" s="1"/>
  <c r="K251" i="4"/>
  <c r="O169" i="4"/>
  <c r="P169" i="4" s="1"/>
  <c r="K169" i="4"/>
  <c r="O228" i="4"/>
  <c r="P228" i="4" s="1"/>
  <c r="K228" i="4"/>
  <c r="O240" i="4"/>
  <c r="P240" i="4" s="1"/>
  <c r="K240" i="4"/>
  <c r="O252" i="4"/>
  <c r="P252" i="4" s="1"/>
  <c r="K252" i="4"/>
  <c r="O264" i="4"/>
  <c r="P264" i="4" s="1"/>
  <c r="K264" i="4"/>
  <c r="O276" i="4"/>
  <c r="P276" i="4" s="1"/>
  <c r="K276" i="4"/>
  <c r="O553" i="4"/>
  <c r="P553" i="4" s="1"/>
  <c r="K553" i="4"/>
  <c r="O335" i="4"/>
  <c r="P335" i="4" s="1"/>
  <c r="K335" i="4"/>
  <c r="O347" i="4"/>
  <c r="P347" i="4" s="1"/>
  <c r="K347" i="4"/>
  <c r="O359" i="4"/>
  <c r="P359" i="4" s="1"/>
  <c r="K359" i="4"/>
  <c r="O476" i="4"/>
  <c r="P476" i="4" s="1"/>
  <c r="K476" i="4"/>
  <c r="O513" i="4"/>
  <c r="P513" i="4" s="1"/>
  <c r="K513" i="4"/>
  <c r="O512" i="4"/>
  <c r="P512" i="4" s="1"/>
  <c r="K512" i="4"/>
  <c r="O535" i="4"/>
  <c r="P535" i="4" s="1"/>
  <c r="K535" i="4"/>
  <c r="O570" i="4"/>
  <c r="P570" i="4" s="1"/>
  <c r="K570" i="4"/>
  <c r="O444" i="4"/>
  <c r="P444" i="4" s="1"/>
  <c r="K444" i="4"/>
  <c r="K480" i="4"/>
  <c r="O480" i="4"/>
  <c r="P480" i="4" s="1"/>
  <c r="O559" i="4"/>
  <c r="P559" i="4" s="1"/>
  <c r="K559" i="4"/>
  <c r="O19" i="4"/>
  <c r="P19" i="4" s="1"/>
  <c r="O123" i="4"/>
  <c r="P123" i="4" s="1"/>
  <c r="O387" i="4"/>
  <c r="P387" i="4" s="1"/>
  <c r="K488" i="4"/>
  <c r="K464" i="4"/>
  <c r="K440" i="4"/>
  <c r="K428" i="4"/>
  <c r="K393" i="4"/>
  <c r="K381" i="4"/>
  <c r="K287" i="4"/>
  <c r="K263" i="4"/>
  <c r="K239" i="4"/>
  <c r="K227" i="4"/>
  <c r="K216" i="4"/>
  <c r="O468" i="4"/>
  <c r="P468" i="4" s="1"/>
  <c r="K309" i="4"/>
  <c r="K119" i="4"/>
  <c r="K190" i="4"/>
  <c r="K166" i="4"/>
  <c r="K154" i="4"/>
  <c r="K142" i="4"/>
  <c r="K95" i="4"/>
  <c r="K83" i="4"/>
  <c r="K272" i="4"/>
  <c r="K248" i="4"/>
  <c r="K106" i="4"/>
  <c r="K295" i="4"/>
  <c r="K283" i="4"/>
  <c r="K271" i="4"/>
  <c r="K259" i="4"/>
  <c r="K247" i="4"/>
  <c r="K235" i="4"/>
  <c r="K223" i="4"/>
  <c r="K81" i="4"/>
  <c r="K69" i="4"/>
  <c r="K57" i="4"/>
  <c r="K45" i="4"/>
  <c r="K33" i="4"/>
  <c r="K21" i="4"/>
  <c r="K9" i="4"/>
  <c r="O549" i="4"/>
  <c r="P549" i="4" s="1"/>
  <c r="K529" i="4"/>
  <c r="K365" i="4"/>
  <c r="K353" i="4"/>
  <c r="K294" i="4"/>
  <c r="K199" i="4"/>
  <c r="K175" i="4"/>
  <c r="K115" i="4"/>
  <c r="K375" i="4"/>
  <c r="K114" i="4"/>
  <c r="K2" i="4"/>
  <c r="K351" i="4"/>
  <c r="K315" i="4"/>
  <c r="K292" i="4"/>
  <c r="K90" i="4"/>
  <c r="O4" i="4"/>
  <c r="P4" i="4" s="1"/>
  <c r="K492" i="4"/>
  <c r="K432" i="4"/>
  <c r="K302" i="4"/>
  <c r="K301" i="4"/>
  <c r="K183" i="4"/>
  <c r="K159" i="4"/>
  <c r="K147" i="4"/>
  <c r="K135" i="4"/>
  <c r="K111" i="4"/>
  <c r="K64" i="4"/>
  <c r="K547" i="4"/>
  <c r="K407" i="4"/>
  <c r="K300" i="4"/>
  <c r="K289" i="4"/>
  <c r="K277" i="4"/>
  <c r="K265" i="4"/>
  <c r="K241" i="4"/>
  <c r="K229" i="4"/>
  <c r="K206" i="4"/>
  <c r="K194" i="4"/>
  <c r="K182" i="4"/>
  <c r="K87" i="4"/>
  <c r="K75" i="4"/>
  <c r="K63" i="4"/>
  <c r="K51" i="4"/>
  <c r="K39" i="4"/>
  <c r="K27" i="4"/>
  <c r="K15" i="4"/>
  <c r="K3" i="4"/>
  <c r="O209" i="4"/>
  <c r="P209" i="4" s="1"/>
  <c r="I325" i="4"/>
  <c r="K325" i="4" s="1"/>
  <c r="O426" i="4"/>
  <c r="P426" i="4" s="1"/>
  <c r="O533" i="4"/>
  <c r="P533" i="4" s="1"/>
  <c r="O543" i="4"/>
  <c r="P543" i="4" s="1"/>
  <c r="O10" i="4"/>
  <c r="P10" i="4" s="1"/>
  <c r="I91" i="4"/>
  <c r="K91" i="4" s="1"/>
  <c r="O438" i="4"/>
  <c r="P438" i="4" s="1"/>
  <c r="O450" i="4"/>
  <c r="P450" i="4" s="1"/>
  <c r="O462" i="4"/>
  <c r="P462" i="4" s="1"/>
  <c r="O482" i="4"/>
  <c r="P482" i="4" s="1"/>
  <c r="O99" i="4"/>
  <c r="P99" i="4" s="1"/>
  <c r="O67" i="4"/>
  <c r="P67" i="4" s="1"/>
  <c r="O92" i="4"/>
  <c r="P92" i="4" s="1"/>
  <c r="O112" i="4"/>
  <c r="P112" i="4" s="1"/>
  <c r="O221" i="4"/>
  <c r="P221" i="4" s="1"/>
  <c r="O419" i="4"/>
  <c r="P419" i="4" s="1"/>
  <c r="O494" i="4"/>
  <c r="P494" i="4" s="1"/>
  <c r="O506" i="4"/>
  <c r="P506" i="4" s="1"/>
  <c r="O565" i="4"/>
  <c r="P565" i="4" s="1"/>
  <c r="O12" i="4"/>
  <c r="P12" i="4" s="1"/>
  <c r="O105" i="4"/>
  <c r="P105" i="4" s="1"/>
  <c r="O113" i="4"/>
  <c r="P113" i="4" s="1"/>
  <c r="O214" i="4"/>
  <c r="P214" i="4" s="1"/>
  <c r="O233" i="4"/>
  <c r="P233" i="4" s="1"/>
  <c r="O245" i="4"/>
  <c r="P245" i="4" s="1"/>
  <c r="O267" i="4"/>
  <c r="P267" i="4" s="1"/>
  <c r="O474" i="4"/>
  <c r="P474" i="4" s="1"/>
  <c r="O555" i="4"/>
  <c r="P555" i="4" s="1"/>
  <c r="O151" i="4"/>
  <c r="P151" i="4" s="1"/>
  <c r="O7" i="4"/>
  <c r="P7" i="4" s="1"/>
  <c r="O187" i="4"/>
  <c r="P187" i="4" s="1"/>
  <c r="O31" i="4"/>
  <c r="P31" i="4" s="1"/>
  <c r="O24" i="4"/>
  <c r="P24" i="4" s="1"/>
  <c r="O36" i="4"/>
  <c r="P36" i="4" s="1"/>
  <c r="O48" i="4"/>
  <c r="P48" i="4" s="1"/>
  <c r="O94" i="4"/>
  <c r="P94" i="4" s="1"/>
  <c r="O215" i="4"/>
  <c r="P215" i="4" s="1"/>
  <c r="O219" i="4"/>
  <c r="P219" i="4" s="1"/>
  <c r="O60" i="4"/>
  <c r="P60" i="4" s="1"/>
  <c r="O72" i="4"/>
  <c r="P72" i="4" s="1"/>
  <c r="O171" i="4"/>
  <c r="P171" i="4" s="1"/>
  <c r="O269" i="4"/>
  <c r="P269" i="4" s="1"/>
  <c r="O291" i="4"/>
  <c r="P291" i="4" s="1"/>
  <c r="O321" i="4"/>
  <c r="P321" i="4" s="1"/>
  <c r="I333" i="4"/>
  <c r="O345" i="4"/>
  <c r="P345" i="4" s="1"/>
  <c r="O367" i="4"/>
  <c r="P367" i="4" s="1"/>
  <c r="O486" i="4"/>
  <c r="P486" i="4" s="1"/>
  <c r="O519" i="4"/>
  <c r="P519" i="4" s="1"/>
  <c r="O514" i="4"/>
  <c r="P514" i="4" s="1"/>
  <c r="O561" i="4"/>
  <c r="P561" i="4" s="1"/>
  <c r="O304" i="4"/>
  <c r="P304" i="4" s="1"/>
  <c r="O55" i="4"/>
  <c r="P55" i="4" s="1"/>
  <c r="O79" i="4"/>
  <c r="P79" i="4" s="1"/>
  <c r="O212" i="4"/>
  <c r="P212" i="4" s="1"/>
  <c r="O253" i="4"/>
  <c r="P253" i="4" s="1"/>
  <c r="O363" i="4"/>
  <c r="P363" i="4" s="1"/>
  <c r="O504" i="4"/>
  <c r="P504" i="4" s="1"/>
  <c r="O137" i="4"/>
  <c r="P137" i="4" s="1"/>
  <c r="I160" i="4"/>
  <c r="O195" i="4"/>
  <c r="P195" i="4" s="1"/>
  <c r="O281" i="4"/>
  <c r="P281" i="4" s="1"/>
  <c r="O357" i="4"/>
  <c r="P357" i="4" s="1"/>
  <c r="O368" i="4"/>
  <c r="P368" i="4" s="1"/>
  <c r="O377" i="4"/>
  <c r="P377" i="4" s="1"/>
  <c r="O399" i="4"/>
  <c r="P399" i="4" s="1"/>
  <c r="O498" i="4"/>
  <c r="P498" i="4" s="1"/>
  <c r="O141" i="4"/>
  <c r="P141" i="4" s="1"/>
  <c r="O107" i="4"/>
  <c r="P107" i="4" s="1"/>
  <c r="O127" i="4"/>
  <c r="P127" i="4" s="1"/>
  <c r="O293" i="4"/>
  <c r="P293" i="4" s="1"/>
  <c r="O369" i="4"/>
  <c r="P369" i="4" s="1"/>
  <c r="O389" i="4"/>
  <c r="P389" i="4" s="1"/>
  <c r="O521" i="4"/>
  <c r="P521" i="4" s="1"/>
  <c r="O139" i="4"/>
  <c r="P139" i="4" s="1"/>
  <c r="I250" i="4"/>
  <c r="K250" i="4" s="1"/>
  <c r="O336" i="4"/>
  <c r="P336" i="4" s="1"/>
  <c r="O370" i="4"/>
  <c r="P370" i="4" s="1"/>
  <c r="O413" i="4"/>
  <c r="P413" i="4" s="1"/>
  <c r="O541" i="4"/>
  <c r="P541" i="4" s="1"/>
  <c r="O348" i="4"/>
  <c r="P348" i="4" s="1"/>
  <c r="O446" i="4"/>
  <c r="P446" i="4" s="1"/>
  <c r="O458" i="4"/>
  <c r="P458" i="4" s="1"/>
  <c r="I415" i="4"/>
  <c r="K415" i="4" s="1"/>
  <c r="O211" i="4"/>
  <c r="P211" i="4" s="1"/>
  <c r="O327" i="4"/>
  <c r="P327" i="4" s="1"/>
  <c r="O470" i="4"/>
  <c r="P470" i="4" s="1"/>
  <c r="O358" i="4"/>
  <c r="P358" i="4" s="1"/>
  <c r="O371" i="4"/>
  <c r="P371" i="4" s="1"/>
  <c r="O417" i="4"/>
  <c r="P417" i="4" s="1"/>
  <c r="O466" i="4"/>
  <c r="P466" i="4" s="1"/>
  <c r="I226" i="4"/>
  <c r="O515" i="4"/>
  <c r="P515" i="4" s="1"/>
  <c r="O552" i="4"/>
  <c r="P552" i="4" s="1"/>
  <c r="I379" i="4"/>
  <c r="K379" i="4" s="1"/>
  <c r="O85" i="4"/>
  <c r="P85" i="4" s="1"/>
  <c r="O131" i="4"/>
  <c r="P131" i="4" s="1"/>
  <c r="O442" i="4"/>
  <c r="P442" i="4" s="1"/>
  <c r="O484" i="4"/>
  <c r="P484" i="4" s="1"/>
  <c r="O500" i="4"/>
  <c r="P500" i="4" s="1"/>
  <c r="I343" i="4"/>
  <c r="K343" i="4" s="1"/>
  <c r="I319" i="4"/>
  <c r="K319" i="4" s="1"/>
  <c r="O275" i="4"/>
  <c r="P275" i="4" s="1"/>
  <c r="O523" i="4"/>
  <c r="P523" i="4" s="1"/>
  <c r="I93" i="4"/>
  <c r="K93" i="4" s="1"/>
  <c r="O391" i="4"/>
  <c r="P391" i="4" s="1"/>
  <c r="I329" i="4"/>
  <c r="O478" i="4"/>
  <c r="P478" i="4" s="1"/>
  <c r="O531" i="4"/>
  <c r="P531" i="4" s="1"/>
  <c r="I138" i="4"/>
  <c r="I126" i="4"/>
  <c r="K126" i="4" s="1"/>
  <c r="O346" i="4"/>
  <c r="P346" i="4" s="1"/>
  <c r="O452" i="4"/>
  <c r="P452" i="4" s="1"/>
  <c r="O510" i="4"/>
  <c r="P510" i="4" s="1"/>
  <c r="O517" i="4"/>
  <c r="P517" i="4" s="1"/>
  <c r="O563" i="4"/>
  <c r="P563" i="4" s="1"/>
  <c r="I185" i="4"/>
  <c r="K185" i="4" s="1"/>
  <c r="I161" i="4"/>
  <c r="K161" i="4" s="1"/>
  <c r="I149" i="4"/>
  <c r="K149" i="4" s="1"/>
  <c r="I125" i="4"/>
  <c r="O205" i="4"/>
  <c r="P205" i="4" s="1"/>
  <c r="O331" i="4"/>
  <c r="P331" i="4" s="1"/>
  <c r="I421" i="4"/>
  <c r="K421" i="4" s="1"/>
  <c r="I385" i="4"/>
  <c r="I279" i="4"/>
  <c r="I243" i="4"/>
  <c r="K243" i="4" s="1"/>
  <c r="I231" i="4"/>
  <c r="I172" i="4"/>
  <c r="K172" i="4" s="1"/>
  <c r="O121" i="4"/>
  <c r="P121" i="4" s="1"/>
  <c r="O136" i="4"/>
  <c r="P136" i="4" s="1"/>
  <c r="O197" i="4"/>
  <c r="P197" i="4" s="1"/>
  <c r="O255" i="4"/>
  <c r="P255" i="4" s="1"/>
  <c r="O288" i="4"/>
  <c r="P288" i="4" s="1"/>
  <c r="O307" i="4"/>
  <c r="P307" i="4" s="1"/>
  <c r="O403" i="4"/>
  <c r="P403" i="4" s="1"/>
  <c r="I361" i="4"/>
  <c r="I349" i="4"/>
  <c r="K349" i="4" s="1"/>
  <c r="I337" i="4"/>
  <c r="K337" i="4" s="1"/>
  <c r="I313" i="4"/>
  <c r="K313" i="4" s="1"/>
  <c r="I395" i="4"/>
  <c r="K395" i="4" s="1"/>
  <c r="I217" i="4"/>
  <c r="O460" i="4"/>
  <c r="P460" i="4" s="1"/>
  <c r="O508" i="4"/>
  <c r="P508" i="4" s="1"/>
  <c r="O537" i="4"/>
  <c r="P537" i="4" s="1"/>
  <c r="O109" i="4"/>
  <c r="P109" i="4" s="1"/>
  <c r="O311" i="4"/>
  <c r="P311" i="4" s="1"/>
  <c r="O43" i="4"/>
  <c r="P43" i="4" s="1"/>
  <c r="O148" i="4"/>
  <c r="P148" i="4" s="1"/>
  <c r="O173" i="4"/>
  <c r="P173" i="4" s="1"/>
  <c r="O334" i="4"/>
  <c r="P334" i="4" s="1"/>
  <c r="O502" i="4"/>
  <c r="P502" i="4" s="1"/>
  <c r="O525" i="4"/>
  <c r="P525" i="4" s="1"/>
  <c r="O551" i="4"/>
  <c r="P551" i="4" s="1"/>
  <c r="O409" i="4"/>
  <c r="P409" i="4" s="1"/>
  <c r="O454" i="4"/>
  <c r="P454" i="4" s="1"/>
  <c r="O539" i="4"/>
  <c r="P539" i="4" s="1"/>
  <c r="O545" i="4"/>
  <c r="P545" i="4" s="1"/>
  <c r="O322" i="4"/>
  <c r="P322" i="4" s="1"/>
  <c r="O373" i="4"/>
  <c r="P373" i="4" s="1"/>
  <c r="O490" i="4"/>
  <c r="P490" i="4" s="1"/>
  <c r="O557" i="4"/>
  <c r="P557" i="4" s="1"/>
  <c r="O97" i="4"/>
  <c r="P97" i="4" s="1"/>
  <c r="O397" i="4"/>
  <c r="P397" i="4" s="1"/>
  <c r="O436" i="4"/>
  <c r="P436" i="4" s="1"/>
  <c r="O310" i="4"/>
  <c r="P310" i="4" s="1"/>
  <c r="O405" i="4"/>
  <c r="P405" i="4" s="1"/>
  <c r="O430" i="4"/>
  <c r="P430" i="4" s="1"/>
  <c r="O23" i="4"/>
  <c r="P23" i="4" s="1"/>
  <c r="O68" i="4"/>
  <c r="P68" i="4" s="1"/>
  <c r="O158" i="4"/>
  <c r="P158" i="4" s="1"/>
  <c r="O47" i="4"/>
  <c r="P47" i="4" s="1"/>
  <c r="O62" i="4"/>
  <c r="P62" i="4" s="1"/>
  <c r="O77" i="4"/>
  <c r="P77" i="4" s="1"/>
  <c r="O84" i="4"/>
  <c r="P84" i="4" s="1"/>
  <c r="O118" i="4"/>
  <c r="P118" i="4" s="1"/>
  <c r="O297" i="4"/>
  <c r="P297" i="4" s="1"/>
  <c r="O117" i="4"/>
  <c r="P117" i="4" s="1"/>
  <c r="O17" i="4"/>
  <c r="P17" i="4" s="1"/>
  <c r="O32" i="4"/>
  <c r="P32" i="4" s="1"/>
  <c r="O70" i="4"/>
  <c r="P70" i="4" s="1"/>
  <c r="O78" i="4"/>
  <c r="P78" i="4" s="1"/>
  <c r="O130" i="4"/>
  <c r="P130" i="4" s="1"/>
  <c r="O224" i="4"/>
  <c r="P224" i="4" s="1"/>
  <c r="O38" i="4"/>
  <c r="P38" i="4" s="1"/>
  <c r="O54" i="4"/>
  <c r="P54" i="4" s="1"/>
  <c r="O71" i="4"/>
  <c r="P71" i="4" s="1"/>
  <c r="O236" i="4"/>
  <c r="P236" i="4" s="1"/>
  <c r="O46" i="4"/>
  <c r="P46" i="4" s="1"/>
  <c r="O18" i="4"/>
  <c r="P18" i="4" s="1"/>
  <c r="O11" i="4"/>
  <c r="P11" i="4" s="1"/>
  <c r="O26" i="4"/>
  <c r="P26" i="4" s="1"/>
  <c r="O41" i="4"/>
  <c r="P41" i="4" s="1"/>
  <c r="O56" i="4"/>
  <c r="P56" i="4" s="1"/>
  <c r="O120" i="4"/>
  <c r="P120" i="4" s="1"/>
  <c r="O260" i="4"/>
  <c r="P260" i="4" s="1"/>
  <c r="O96" i="4"/>
  <c r="P96" i="4" s="1"/>
  <c r="O61" i="4"/>
  <c r="P61" i="4" s="1"/>
  <c r="O25" i="4"/>
  <c r="P25" i="4" s="1"/>
  <c r="O5" i="4"/>
  <c r="P5" i="4" s="1"/>
  <c r="O34" i="4"/>
  <c r="P34" i="4" s="1"/>
  <c r="O42" i="4"/>
  <c r="P42" i="4" s="1"/>
  <c r="O49" i="4"/>
  <c r="P49" i="4" s="1"/>
  <c r="O132" i="4"/>
  <c r="P132" i="4" s="1"/>
  <c r="O284" i="4"/>
  <c r="P284" i="4" s="1"/>
  <c r="O53" i="4"/>
  <c r="P53" i="4" s="1"/>
  <c r="O35" i="4"/>
  <c r="P35" i="4" s="1"/>
  <c r="O50" i="4"/>
  <c r="P50" i="4" s="1"/>
  <c r="O65" i="4"/>
  <c r="P65" i="4" s="1"/>
  <c r="O80" i="4"/>
  <c r="P80" i="4" s="1"/>
  <c r="O144" i="4"/>
  <c r="P144" i="4" s="1"/>
  <c r="O20" i="4"/>
  <c r="P20" i="4" s="1"/>
  <c r="O58" i="4"/>
  <c r="P58" i="4" s="1"/>
  <c r="O73" i="4"/>
  <c r="P73" i="4" s="1"/>
  <c r="O134" i="4"/>
  <c r="P134" i="4" s="1"/>
  <c r="O156" i="4"/>
  <c r="P156" i="4" s="1"/>
  <c r="O178" i="4"/>
  <c r="P178" i="4" s="1"/>
  <c r="O374" i="4"/>
  <c r="P374" i="4" s="1"/>
  <c r="O13" i="4"/>
  <c r="P13" i="4" s="1"/>
  <c r="O59" i="4"/>
  <c r="P59" i="4" s="1"/>
  <c r="O74" i="4"/>
  <c r="P74" i="4" s="1"/>
  <c r="O202" i="4"/>
  <c r="P202" i="4" s="1"/>
  <c r="O6" i="4"/>
  <c r="P6" i="4" s="1"/>
  <c r="O66" i="4"/>
  <c r="P66" i="4" s="1"/>
  <c r="O14" i="4"/>
  <c r="P14" i="4" s="1"/>
  <c r="O29" i="4"/>
  <c r="P29" i="4" s="1"/>
  <c r="O44" i="4"/>
  <c r="P44" i="4" s="1"/>
  <c r="O82" i="4"/>
  <c r="P82" i="4" s="1"/>
  <c r="O89" i="4"/>
  <c r="P89" i="4" s="1"/>
  <c r="O101" i="4"/>
  <c r="P101" i="4" s="1"/>
  <c r="O110" i="4"/>
  <c r="P110" i="4" s="1"/>
  <c r="O122" i="4"/>
  <c r="P122" i="4" s="1"/>
  <c r="O8" i="4"/>
  <c r="P8" i="4" s="1"/>
  <c r="O22" i="4"/>
  <c r="P22" i="4" s="1"/>
  <c r="O30" i="4"/>
  <c r="P30" i="4" s="1"/>
  <c r="O37" i="4"/>
  <c r="P37" i="4" s="1"/>
  <c r="O280" i="4"/>
  <c r="P280" i="4" s="1"/>
  <c r="O422" i="4"/>
  <c r="P422" i="4" s="1"/>
  <c r="O262" i="4"/>
  <c r="P262" i="4" s="1"/>
  <c r="O298" i="4"/>
  <c r="P298" i="4" s="1"/>
  <c r="O566" i="4"/>
  <c r="P566" i="4" s="1"/>
  <c r="O100" i="4"/>
  <c r="P100" i="4" s="1"/>
  <c r="O108" i="4"/>
  <c r="P108" i="4" s="1"/>
  <c r="O146" i="4"/>
  <c r="P146" i="4" s="1"/>
  <c r="O168" i="4"/>
  <c r="P168" i="4" s="1"/>
  <c r="O176" i="4"/>
  <c r="P176" i="4" s="1"/>
  <c r="O225" i="4"/>
  <c r="P225" i="4" s="1"/>
  <c r="O234" i="4"/>
  <c r="P234" i="4" s="1"/>
  <c r="O308" i="4"/>
  <c r="P308" i="4" s="1"/>
  <c r="O312" i="4"/>
  <c r="P312" i="4" s="1"/>
  <c r="O431" i="4"/>
  <c r="P431" i="4" s="1"/>
  <c r="O459" i="4"/>
  <c r="P459" i="4" s="1"/>
  <c r="O204" i="4"/>
  <c r="P204" i="4" s="1"/>
  <c r="O220" i="4"/>
  <c r="P220" i="4" s="1"/>
  <c r="O266" i="4"/>
  <c r="P266" i="4" s="1"/>
  <c r="O285" i="4"/>
  <c r="P285" i="4" s="1"/>
  <c r="O356" i="4"/>
  <c r="P356" i="4" s="1"/>
  <c r="O524" i="4"/>
  <c r="P524" i="4" s="1"/>
  <c r="O16" i="4"/>
  <c r="P16" i="4" s="1"/>
  <c r="O28" i="4"/>
  <c r="P28" i="4" s="1"/>
  <c r="O40" i="4"/>
  <c r="P40" i="4" s="1"/>
  <c r="O52" i="4"/>
  <c r="P52" i="4" s="1"/>
  <c r="O76" i="4"/>
  <c r="P76" i="4" s="1"/>
  <c r="O124" i="4"/>
  <c r="P124" i="4" s="1"/>
  <c r="O150" i="4"/>
  <c r="P150" i="4" s="1"/>
  <c r="O186" i="4"/>
  <c r="P186" i="4" s="1"/>
  <c r="O244" i="4"/>
  <c r="P244" i="4" s="1"/>
  <c r="O286" i="4"/>
  <c r="P286" i="4" s="1"/>
  <c r="O299" i="4"/>
  <c r="P299" i="4" s="1"/>
  <c r="O388" i="4"/>
  <c r="P388" i="4" s="1"/>
  <c r="O448" i="4"/>
  <c r="P448" i="4" s="1"/>
  <c r="O556" i="4"/>
  <c r="P556" i="4" s="1"/>
  <c r="O360" i="4"/>
  <c r="P360" i="4" s="1"/>
  <c r="O487" i="4"/>
  <c r="P487" i="4" s="1"/>
  <c r="O128" i="4"/>
  <c r="P128" i="4" s="1"/>
  <c r="O177" i="4"/>
  <c r="P177" i="4" s="1"/>
  <c r="O200" i="4"/>
  <c r="P200" i="4" s="1"/>
  <c r="O230" i="4"/>
  <c r="P230" i="4" s="1"/>
  <c r="O249" i="4"/>
  <c r="P249" i="4" s="1"/>
  <c r="O258" i="4"/>
  <c r="P258" i="4" s="1"/>
  <c r="O303" i="4"/>
  <c r="P303" i="4" s="1"/>
  <c r="O412" i="4"/>
  <c r="P412" i="4" s="1"/>
  <c r="O443" i="4"/>
  <c r="P443" i="4" s="1"/>
  <c r="O449" i="4"/>
  <c r="P449" i="4" s="1"/>
  <c r="O330" i="4"/>
  <c r="P330" i="4" s="1"/>
  <c r="O143" i="4"/>
  <c r="P143" i="4" s="1"/>
  <c r="O210" i="4"/>
  <c r="P210" i="4" s="1"/>
  <c r="O268" i="4"/>
  <c r="P268" i="4" s="1"/>
  <c r="O314" i="4"/>
  <c r="P314" i="4" s="1"/>
  <c r="O326" i="4"/>
  <c r="P326" i="4" s="1"/>
  <c r="O383" i="4"/>
  <c r="P383" i="4" s="1"/>
  <c r="O455" i="4"/>
  <c r="P455" i="4" s="1"/>
  <c r="O483" i="4"/>
  <c r="P483" i="4" s="1"/>
  <c r="O520" i="4"/>
  <c r="P520" i="4" s="1"/>
  <c r="O164" i="4"/>
  <c r="P164" i="4" s="1"/>
  <c r="O208" i="4"/>
  <c r="P208" i="4" s="1"/>
  <c r="O88" i="4"/>
  <c r="P88" i="4" s="1"/>
  <c r="O104" i="4"/>
  <c r="P104" i="4" s="1"/>
  <c r="O162" i="4"/>
  <c r="P162" i="4" s="1"/>
  <c r="O192" i="4"/>
  <c r="P192" i="4" s="1"/>
  <c r="O196" i="4"/>
  <c r="P196" i="4" s="1"/>
  <c r="O254" i="4"/>
  <c r="P254" i="4" s="1"/>
  <c r="O273" i="4"/>
  <c r="P273" i="4" s="1"/>
  <c r="O282" i="4"/>
  <c r="P282" i="4" s="1"/>
  <c r="O384" i="4"/>
  <c r="P384" i="4" s="1"/>
  <c r="O472" i="4"/>
  <c r="P472" i="4" s="1"/>
  <c r="O534" i="4"/>
  <c r="P534" i="4" s="1"/>
  <c r="O116" i="4"/>
  <c r="P116" i="4" s="1"/>
  <c r="O222" i="4"/>
  <c r="P222" i="4" s="1"/>
  <c r="O296" i="4"/>
  <c r="P296" i="4" s="1"/>
  <c r="O439" i="4"/>
  <c r="P439" i="4" s="1"/>
  <c r="O155" i="4"/>
  <c r="P155" i="4" s="1"/>
  <c r="O170" i="4"/>
  <c r="P170" i="4" s="1"/>
  <c r="O174" i="4"/>
  <c r="P174" i="4" s="1"/>
  <c r="O232" i="4"/>
  <c r="P232" i="4" s="1"/>
  <c r="O274" i="4"/>
  <c r="P274" i="4" s="1"/>
  <c r="O278" i="4"/>
  <c r="P278" i="4" s="1"/>
  <c r="O316" i="4"/>
  <c r="P316" i="4" s="1"/>
  <c r="O338" i="4"/>
  <c r="P338" i="4" s="1"/>
  <c r="O402" i="4"/>
  <c r="P402" i="4" s="1"/>
  <c r="O479" i="4"/>
  <c r="P479" i="4" s="1"/>
  <c r="O507" i="4"/>
  <c r="P507" i="4" s="1"/>
  <c r="O538" i="4"/>
  <c r="P538" i="4" s="1"/>
  <c r="O467" i="4"/>
  <c r="P467" i="4" s="1"/>
  <c r="O473" i="4"/>
  <c r="P473" i="4" s="1"/>
  <c r="O548" i="4"/>
  <c r="P548" i="4" s="1"/>
  <c r="O558" i="4"/>
  <c r="P558" i="4" s="1"/>
  <c r="O133" i="4"/>
  <c r="P133" i="4" s="1"/>
  <c r="O179" i="4"/>
  <c r="P179" i="4" s="1"/>
  <c r="O188" i="4"/>
  <c r="P188" i="4" s="1"/>
  <c r="O218" i="4"/>
  <c r="P218" i="4" s="1"/>
  <c r="O237" i="4"/>
  <c r="P237" i="4" s="1"/>
  <c r="O246" i="4"/>
  <c r="P246" i="4" s="1"/>
  <c r="O305" i="4"/>
  <c r="P305" i="4" s="1"/>
  <c r="O496" i="4"/>
  <c r="P496" i="4" s="1"/>
  <c r="O152" i="4"/>
  <c r="P152" i="4" s="1"/>
  <c r="O198" i="4"/>
  <c r="P198" i="4" s="1"/>
  <c r="O256" i="4"/>
  <c r="P256" i="4" s="1"/>
  <c r="O317" i="4"/>
  <c r="P317" i="4" s="1"/>
  <c r="O339" i="4"/>
  <c r="P339" i="4" s="1"/>
  <c r="O398" i="4"/>
  <c r="P398" i="4" s="1"/>
  <c r="O463" i="4"/>
  <c r="P463" i="4" s="1"/>
  <c r="O491" i="4"/>
  <c r="P491" i="4" s="1"/>
  <c r="O497" i="4"/>
  <c r="P497" i="4" s="1"/>
  <c r="O503" i="4"/>
  <c r="P503" i="4" s="1"/>
  <c r="O86" i="4"/>
  <c r="P86" i="4" s="1"/>
  <c r="O180" i="4"/>
  <c r="P180" i="4" s="1"/>
  <c r="O184" i="4"/>
  <c r="P184" i="4" s="1"/>
  <c r="O203" i="4"/>
  <c r="P203" i="4" s="1"/>
  <c r="O238" i="4"/>
  <c r="P238" i="4" s="1"/>
  <c r="O242" i="4"/>
  <c r="P242" i="4" s="1"/>
  <c r="O261" i="4"/>
  <c r="P261" i="4" s="1"/>
  <c r="O270" i="4"/>
  <c r="P270" i="4" s="1"/>
  <c r="O355" i="4"/>
  <c r="P355" i="4" s="1"/>
  <c r="O392" i="4"/>
  <c r="P392" i="4" s="1"/>
  <c r="O435" i="4"/>
  <c r="P435" i="4" s="1"/>
  <c r="O408" i="4"/>
  <c r="P408" i="4" s="1"/>
  <c r="O418" i="4"/>
  <c r="P418" i="4" s="1"/>
  <c r="O445" i="4"/>
  <c r="P445" i="4" s="1"/>
  <c r="O469" i="4"/>
  <c r="P469" i="4" s="1"/>
  <c r="O493" i="4"/>
  <c r="P493" i="4" s="1"/>
  <c r="O567" i="4"/>
  <c r="P567" i="4" s="1"/>
  <c r="O318" i="4"/>
  <c r="P318" i="4" s="1"/>
  <c r="O344" i="4"/>
  <c r="P344" i="4" s="1"/>
  <c r="O352" i="4"/>
  <c r="P352" i="4" s="1"/>
  <c r="O380" i="4"/>
  <c r="P380" i="4" s="1"/>
  <c r="O427" i="4"/>
  <c r="P427" i="4" s="1"/>
  <c r="O530" i="4"/>
  <c r="P530" i="4" s="1"/>
  <c r="O540" i="4"/>
  <c r="P540" i="4" s="1"/>
  <c r="O544" i="4"/>
  <c r="P544" i="4" s="1"/>
  <c r="O562" i="4"/>
  <c r="P562" i="4" s="1"/>
  <c r="O568" i="4"/>
  <c r="P568" i="4" s="1"/>
  <c r="O394" i="4"/>
  <c r="P394" i="4" s="1"/>
  <c r="O441" i="4"/>
  <c r="P441" i="4" s="1"/>
  <c r="O465" i="4"/>
  <c r="P465" i="4" s="1"/>
  <c r="O489" i="4"/>
  <c r="P489" i="4" s="1"/>
  <c r="O499" i="4"/>
  <c r="P499" i="4" s="1"/>
  <c r="O569" i="4"/>
  <c r="P569" i="4" s="1"/>
  <c r="O306" i="4"/>
  <c r="P306" i="4" s="1"/>
  <c r="O340" i="4"/>
  <c r="P340" i="4" s="1"/>
  <c r="O376" i="4"/>
  <c r="P376" i="4" s="1"/>
  <c r="O390" i="4"/>
  <c r="P390" i="4" s="1"/>
  <c r="O404" i="4"/>
  <c r="P404" i="4" s="1"/>
  <c r="O414" i="4"/>
  <c r="P414" i="4" s="1"/>
  <c r="O424" i="4"/>
  <c r="P424" i="4" s="1"/>
  <c r="O451" i="4"/>
  <c r="P451" i="4" s="1"/>
  <c r="O475" i="4"/>
  <c r="P475" i="4" s="1"/>
  <c r="O509" i="4"/>
  <c r="P509" i="4" s="1"/>
  <c r="O332" i="4"/>
  <c r="P332" i="4" s="1"/>
  <c r="O372" i="4"/>
  <c r="P372" i="4" s="1"/>
  <c r="O386" i="4"/>
  <c r="P386" i="4" s="1"/>
  <c r="O410" i="4"/>
  <c r="P410" i="4" s="1"/>
  <c r="O437" i="4"/>
  <c r="P437" i="4" s="1"/>
  <c r="O461" i="4"/>
  <c r="P461" i="4" s="1"/>
  <c r="O485" i="4"/>
  <c r="P485" i="4" s="1"/>
  <c r="O522" i="4"/>
  <c r="P522" i="4" s="1"/>
  <c r="O536" i="4"/>
  <c r="P536" i="4" s="1"/>
  <c r="O550" i="4"/>
  <c r="P550" i="4" s="1"/>
  <c r="O354" i="4"/>
  <c r="P354" i="4" s="1"/>
  <c r="O362" i="4"/>
  <c r="P362" i="4" s="1"/>
  <c r="O400" i="4"/>
  <c r="P400" i="4" s="1"/>
  <c r="O420" i="4"/>
  <c r="P420" i="4" s="1"/>
  <c r="O447" i="4"/>
  <c r="P447" i="4" s="1"/>
  <c r="O471" i="4"/>
  <c r="P471" i="4" s="1"/>
  <c r="O495" i="4"/>
  <c r="P495" i="4" s="1"/>
  <c r="O505" i="4"/>
  <c r="P505" i="4" s="1"/>
  <c r="O546" i="4"/>
  <c r="P546" i="4" s="1"/>
  <c r="O554" i="4"/>
  <c r="P554" i="4" s="1"/>
  <c r="O328" i="4"/>
  <c r="P328" i="4" s="1"/>
  <c r="O341" i="4"/>
  <c r="P341" i="4" s="1"/>
  <c r="O396" i="4"/>
  <c r="P396" i="4" s="1"/>
  <c r="O433" i="4"/>
  <c r="P433" i="4" s="1"/>
  <c r="O481" i="4"/>
  <c r="P481" i="4" s="1"/>
  <c r="O528" i="4"/>
  <c r="P528" i="4" s="1"/>
  <c r="O564" i="4"/>
  <c r="P564" i="4" s="1"/>
  <c r="O320" i="4"/>
  <c r="P320" i="4" s="1"/>
  <c r="O342" i="4"/>
  <c r="P342" i="4" s="1"/>
  <c r="O350" i="4"/>
  <c r="P350" i="4" s="1"/>
  <c r="O382" i="4"/>
  <c r="P382" i="4" s="1"/>
  <c r="O406" i="4"/>
  <c r="P406" i="4" s="1"/>
  <c r="O501" i="4"/>
  <c r="P501" i="4" s="1"/>
  <c r="O511" i="4"/>
  <c r="P511" i="4" s="1"/>
  <c r="O324" i="4"/>
  <c r="P324" i="4" s="1"/>
  <c r="O416" i="4"/>
  <c r="P416" i="4" s="1"/>
  <c r="O429" i="4"/>
  <c r="P429" i="4" s="1"/>
  <c r="O453" i="4"/>
  <c r="P453" i="4" s="1"/>
  <c r="O477" i="4"/>
  <c r="P477" i="4" s="1"/>
  <c r="O542" i="4"/>
  <c r="P542" i="4" s="1"/>
  <c r="O560" i="4"/>
  <c r="P560" i="4" s="1"/>
  <c r="O250" i="4" l="1"/>
  <c r="P250" i="4" s="1"/>
  <c r="K217" i="4"/>
  <c r="O395" i="4"/>
  <c r="P395" i="4" s="1"/>
  <c r="O149" i="4"/>
  <c r="P149" i="4" s="1"/>
  <c r="O126" i="4"/>
  <c r="P126" i="4" s="1"/>
  <c r="O93" i="4"/>
  <c r="P93" i="4" s="1"/>
  <c r="O329" i="4"/>
  <c r="P329" i="4" s="1"/>
  <c r="K329" i="4"/>
  <c r="O160" i="4"/>
  <c r="P160" i="4" s="1"/>
  <c r="K160" i="4"/>
  <c r="O415" i="4"/>
  <c r="P415" i="4" s="1"/>
  <c r="O231" i="4"/>
  <c r="P231" i="4" s="1"/>
  <c r="K231" i="4"/>
  <c r="O226" i="4"/>
  <c r="P226" i="4" s="1"/>
  <c r="K226" i="4"/>
  <c r="O333" i="4"/>
  <c r="P333" i="4" s="1"/>
  <c r="K333" i="4"/>
  <c r="O279" i="4"/>
  <c r="P279" i="4" s="1"/>
  <c r="K279" i="4"/>
  <c r="O361" i="4"/>
  <c r="P361" i="4" s="1"/>
  <c r="K361" i="4"/>
  <c r="O385" i="4"/>
  <c r="P385" i="4" s="1"/>
  <c r="K385" i="4"/>
  <c r="O125" i="4"/>
  <c r="P125" i="4" s="1"/>
  <c r="K125" i="4"/>
  <c r="O138" i="4"/>
  <c r="P138" i="4" s="1"/>
  <c r="K138" i="4"/>
  <c r="O337" i="4"/>
  <c r="P337" i="4" s="1"/>
  <c r="O161" i="4"/>
  <c r="P161" i="4" s="1"/>
  <c r="O421" i="4"/>
  <c r="P421" i="4" s="1"/>
  <c r="O185" i="4"/>
  <c r="P185" i="4" s="1"/>
  <c r="O217" i="4"/>
  <c r="P217" i="4" s="1"/>
  <c r="O172" i="4"/>
  <c r="P172" i="4" s="1"/>
  <c r="O349" i="4"/>
  <c r="P349" i="4" s="1"/>
  <c r="O325" i="4"/>
  <c r="P325" i="4" s="1"/>
  <c r="O343" i="4"/>
  <c r="P343" i="4" s="1"/>
  <c r="O319" i="4"/>
  <c r="P319" i="4" s="1"/>
  <c r="O91" i="4"/>
  <c r="P91" i="4" s="1"/>
  <c r="O313" i="4"/>
  <c r="P313" i="4" s="1"/>
  <c r="O379" i="4"/>
  <c r="P379" i="4" s="1"/>
  <c r="O243" i="4"/>
  <c r="P243" i="4" s="1"/>
</calcChain>
</file>

<file path=xl/sharedStrings.xml><?xml version="1.0" encoding="utf-8"?>
<sst xmlns="http://schemas.openxmlformats.org/spreadsheetml/2006/main" count="1667" uniqueCount="867">
  <si>
    <t xml:space="preserve">BELTRAN MACHACA GABRIEL CRISTOBAL </t>
  </si>
  <si>
    <t>LIMACHI GOMEZ MATIAS JOSE</t>
  </si>
  <si>
    <t xml:space="preserve">CHACON TICONA IKER ESTEBAN </t>
  </si>
  <si>
    <t xml:space="preserve">DIAZ QUISPE ANDRE JHOSHUA </t>
  </si>
  <si>
    <t xml:space="preserve">DIAZ QUISPE TJ STEVEN </t>
  </si>
  <si>
    <t xml:space="preserve">APAZA QUISPE SEBASTIAN MATIAS </t>
  </si>
  <si>
    <t>MAMANI COARITE BRAYAN JULIAN</t>
  </si>
  <si>
    <t xml:space="preserve">MAMANI COARITE OSMAR AMIR </t>
  </si>
  <si>
    <t xml:space="preserve">PAXI DAVALOS ALESSANDRA RAQUEL </t>
  </si>
  <si>
    <t xml:space="preserve">MAMANI ROJAS DANIELA NICOL </t>
  </si>
  <si>
    <t xml:space="preserve">MAMANI ROJAS NOELIA ZOE </t>
  </si>
  <si>
    <t xml:space="preserve">ESCOBAR QUISBERT DIEGO ALEXANDER </t>
  </si>
  <si>
    <t xml:space="preserve">SANDOVAL BUENO DUDLEY EYAL </t>
  </si>
  <si>
    <t xml:space="preserve">SANDOVAL BUENO GODFREY JUGHEAD SEBASTIAN </t>
  </si>
  <si>
    <t>MAMANI QUISPE REYNER ALEXANDRE</t>
  </si>
  <si>
    <t>APALA YUJRA ROSELIN ANDREA</t>
  </si>
  <si>
    <t xml:space="preserve">HINOJOSA PUSARICO ELENA VICTORIA </t>
  </si>
  <si>
    <t>HINOJOSA PUSARICO SAMANTHA ESMERALDA</t>
  </si>
  <si>
    <t xml:space="preserve">NELGUARDO FLORES ALEKSI IAN </t>
  </si>
  <si>
    <t xml:space="preserve">LUNA MAMANI EMIR MATTEO </t>
  </si>
  <si>
    <t xml:space="preserve">LUNA MAMANI HANDE ARIANE </t>
  </si>
  <si>
    <t xml:space="preserve">ZAPATA TUCO JOANY KEIRA </t>
  </si>
  <si>
    <t xml:space="preserve">ALI GONZALES ALEJANDRO JULIAN </t>
  </si>
  <si>
    <t xml:space="preserve">PALMA CARRILLO MORGAN ARLET </t>
  </si>
  <si>
    <t xml:space="preserve">CARTAGENA MAMANI WILSON GABRIEL </t>
  </si>
  <si>
    <t>SOLIZ HUANCA AMELIA</t>
  </si>
  <si>
    <t xml:space="preserve">FLORES RODRIGUEZ KYLIE MICHELLE </t>
  </si>
  <si>
    <t>MAMANI BLANCO GENESIS JASMIN</t>
  </si>
  <si>
    <t xml:space="preserve">MAMANI BLANCO DAVID BERNAL </t>
  </si>
  <si>
    <t xml:space="preserve">CUSI LLUSCO OLIVER MATIAS </t>
  </si>
  <si>
    <t xml:space="preserve">SALINAS MAMANI MATIAS AGUSTIN </t>
  </si>
  <si>
    <t>SALINAS MAMANI GENESIS ALESSANDRA</t>
  </si>
  <si>
    <t xml:space="preserve">TORREZ QUISPE NOMEI </t>
  </si>
  <si>
    <t xml:space="preserve">TORREZ QUISPE MATEO </t>
  </si>
  <si>
    <t xml:space="preserve">APAZA MOLLINEDO CALEB JEREMY </t>
  </si>
  <si>
    <t xml:space="preserve">LAIME LLUSCO GREIS VALERI </t>
  </si>
  <si>
    <t>LAIME LLUSCO MEYVIS ZOELI</t>
  </si>
  <si>
    <t xml:space="preserve">LAIME LLUSCO NICOLAS SANTIAGO </t>
  </si>
  <si>
    <t xml:space="preserve">VARGAS PUSARICO AMANDA SAMIRA </t>
  </si>
  <si>
    <t>VARGAS PUSARICO LUIS FERNANDO</t>
  </si>
  <si>
    <t xml:space="preserve">COPETICON TICONA MARCO GREGORIO </t>
  </si>
  <si>
    <t xml:space="preserve">VEIZAGA YUJRA GIAN MEJIAN </t>
  </si>
  <si>
    <t>CALAMANI GUTIERREZ GIANNA ESTRELLA</t>
  </si>
  <si>
    <t xml:space="preserve">ROCABADO APAZA JHONAS SAMIR </t>
  </si>
  <si>
    <t xml:space="preserve">ROCABADO APAZA LUKA ERICK </t>
  </si>
  <si>
    <t xml:space="preserve">SIYE SANGINEZ JOSUE </t>
  </si>
  <si>
    <t xml:space="preserve">YUJRA SANGINEZ ANY KHATLEN </t>
  </si>
  <si>
    <t xml:space="preserve">PEREZ LIMACHI CARLOS EDUARDO </t>
  </si>
  <si>
    <t xml:space="preserve">RIVAS LIMACHI  VALERIA FANY </t>
  </si>
  <si>
    <t xml:space="preserve">FLORES POMA CAMILA CRISTEL </t>
  </si>
  <si>
    <t xml:space="preserve">LIPE HUALLPA ELIAS DANIEL </t>
  </si>
  <si>
    <t>YUJRA CHURA YAMILETH NICOLE</t>
  </si>
  <si>
    <t>YUJRA CHURA FRANK ARMAND</t>
  </si>
  <si>
    <t xml:space="preserve">LOPEZ ALANOCA MAYRA </t>
  </si>
  <si>
    <t>VARGAS ZUÑIGA DERYCK MARSHALL</t>
  </si>
  <si>
    <t>VARGAS ZUÑIGA MARJHORY CHARLOTTE</t>
  </si>
  <si>
    <t xml:space="preserve">PLATA MAMANI JAVIER EDUARDO </t>
  </si>
  <si>
    <t xml:space="preserve">PLATA MAMANI  RUBI FIORELA </t>
  </si>
  <si>
    <t xml:space="preserve">APAZA FERNANDEZ JHAIR RENE </t>
  </si>
  <si>
    <t xml:space="preserve">MURGUIA DELGADO DIEGO FABRICIO </t>
  </si>
  <si>
    <t xml:space="preserve">CHAVEZ GARCIA GAEL </t>
  </si>
  <si>
    <t>CHAVEZ GARCIA URIEL</t>
  </si>
  <si>
    <t xml:space="preserve">HUASCO LAURA AYELEN </t>
  </si>
  <si>
    <t xml:space="preserve">HUASCO ALEJANDRO ANTONIO </t>
  </si>
  <si>
    <t xml:space="preserve">CONDORI ROMERO LIA YEN </t>
  </si>
  <si>
    <t>CONDORI ROMERO JADE LIZ</t>
  </si>
  <si>
    <t>FLORES CHIPANA HEYLI ABRIL</t>
  </si>
  <si>
    <t xml:space="preserve">FLORES CHIPANA NEIL SEBASTIAN </t>
  </si>
  <si>
    <t xml:space="preserve">QUENTA FERNANDEZ SAMARA MILDRED </t>
  </si>
  <si>
    <t>MOLLE HILAYA LUKAS CRITOPHER</t>
  </si>
  <si>
    <t>LIMACHI MAYDANA KARINA MAYTE</t>
  </si>
  <si>
    <t>CARHUANI MAMANI CARLA</t>
  </si>
  <si>
    <t>CARHUANI MAMANI DAMARIS</t>
  </si>
  <si>
    <t>MIRANDA MAMANI MAYLEN FRIDA</t>
  </si>
  <si>
    <t>COPANA SANCHEZ JOHN IKER</t>
  </si>
  <si>
    <t>COPANA SANCHEZ THIAGO EDWARD</t>
  </si>
  <si>
    <t>CHOQUE PLATA NICOLAS NEYTHAN</t>
  </si>
  <si>
    <t>COPANA PLATA JAZMANI</t>
  </si>
  <si>
    <t>COPANA PLATA IVON</t>
  </si>
  <si>
    <t>RAMOS CHURA JHON BRAYAN</t>
  </si>
  <si>
    <t xml:space="preserve">RAMOS CHURA JHESICA </t>
  </si>
  <si>
    <t>CACHICATARI CHURA JUAN SEBASTIAN</t>
  </si>
  <si>
    <t>ARRATIA ALIAGA KAROL DANETT EDWINKA</t>
  </si>
  <si>
    <t>ARRATIA ALIAGA EIMMY</t>
  </si>
  <si>
    <t xml:space="preserve">CAJCHAYA MACHACA EVA CATALEYA </t>
  </si>
  <si>
    <t xml:space="preserve">QUISPE CAHUASIQUITA ADRIAN </t>
  </si>
  <si>
    <t xml:space="preserve">QUISPE CAHUASIQUITA FERNANDO </t>
  </si>
  <si>
    <t xml:space="preserve">MAMANI QUISPE ALEXIS LEONARDO </t>
  </si>
  <si>
    <t xml:space="preserve">MAMANI QUISPE CAMILA MIREYA </t>
  </si>
  <si>
    <t xml:space="preserve">VEGA CHAMBI MISUKI YHELENA </t>
  </si>
  <si>
    <t xml:space="preserve">VEGA CHAMBI KENJI GADIEL </t>
  </si>
  <si>
    <t xml:space="preserve">LOZA HUAÑAPACO MARIEL NICOLE </t>
  </si>
  <si>
    <t>LOZA HUAÑAPACO KEYLOR NAYIB</t>
  </si>
  <si>
    <t xml:space="preserve">GUAMAN AMARU MAYA MUNAY </t>
  </si>
  <si>
    <t xml:space="preserve">QUISPE  CHAMBILLA DIEGO AXEL </t>
  </si>
  <si>
    <t xml:space="preserve">COLQUE CHOQUE EYDRIAN EMMANUEL </t>
  </si>
  <si>
    <t>COLQUE CHOQUE ALICE  DAYAMI</t>
  </si>
  <si>
    <t xml:space="preserve">HUANCA CONDORI ZOE MISHEL </t>
  </si>
  <si>
    <t xml:space="preserve">HUANCA CONDORI ANTONI JUAN </t>
  </si>
  <si>
    <t>ANULADO</t>
  </si>
  <si>
    <t xml:space="preserve">APAZA GUTIERREZ EVAN MARTIN </t>
  </si>
  <si>
    <t>HIDALGO HUMEREZ ABIGAIL ASHARA</t>
  </si>
  <si>
    <t>APAZA FERNANDEZ MASSIEL SAMIRA</t>
  </si>
  <si>
    <t>CHAMBI LUQUE JOSE FABIAN</t>
  </si>
  <si>
    <t>LIPA LOZA KENDRA</t>
  </si>
  <si>
    <t>GUZMAN VELASCO DANIELA FATIMA</t>
  </si>
  <si>
    <t>LIMACHI HURTADO MARIANA RUTH</t>
  </si>
  <si>
    <t>TROCHE APAZA MAYA BELEN</t>
  </si>
  <si>
    <t>MARCONI JIMENEZ DANIELA LILI</t>
  </si>
  <si>
    <t>MARCONI JIMENEZ ISABELLA XIOMARA</t>
  </si>
  <si>
    <t>NAVARRO MARQUEZ IAN MANUEL JAIME</t>
  </si>
  <si>
    <t>MAMANI TICONA YUNI MARIANA</t>
  </si>
  <si>
    <t>MAMANI TICONA ISAIN ADRIAN</t>
  </si>
  <si>
    <t>RAMIREZ ALARCON PATRICK ANTHONY</t>
  </si>
  <si>
    <t>MAYTA LUNA ELUNEY VALENTINA</t>
  </si>
  <si>
    <t>MAYTA LUNA JOSE SANTIAGO</t>
  </si>
  <si>
    <t>MAYTA LUNA ISABEL FERNANDA</t>
  </si>
  <si>
    <t>BARRETO CALLE DILAN SEBASTIAN</t>
  </si>
  <si>
    <t>BARRETO CALLE EMIR LEONARDO</t>
  </si>
  <si>
    <t>BARRETO CALLE VANIA YAMILE</t>
  </si>
  <si>
    <t>FLORES RODRIGUEZ JULIAN RICHARD</t>
  </si>
  <si>
    <t>CUEVAS QUISPE AARON LIMBER</t>
  </si>
  <si>
    <t>CUEVAS QUISPE XIOMARA ESTHER</t>
  </si>
  <si>
    <t>CALLE MARQUEZ SOL MADELEY</t>
  </si>
  <si>
    <t>BRAÑEZ QUISPE MATIAS ANDRE</t>
  </si>
  <si>
    <t>BRAÑEZ QUISPE ANTHONY ERICK</t>
  </si>
  <si>
    <t>ITAMARI CALLE THIAGO ANDRE</t>
  </si>
  <si>
    <t>ITAMARI CALLE THIANGO ANDRE</t>
  </si>
  <si>
    <t>GUARACHI APAZA WARA JASMIN</t>
  </si>
  <si>
    <t>SILVA ROJAS GABRIELA VAYOLETH</t>
  </si>
  <si>
    <t>QUISPE PLATA MATIAS SEBASTIAN</t>
  </si>
  <si>
    <t>QUISPE PLATA MARIEL SOFIA</t>
  </si>
  <si>
    <t>LUQUE VALLEJOS DAYNA AYLIN</t>
  </si>
  <si>
    <t>QUISPE HILARI PAOLA ARCELY</t>
  </si>
  <si>
    <t>YUJRA MONZON AGUSNTINO DIEGO</t>
  </si>
  <si>
    <t>YUJRA MONZON ESTEBAN ALBERT</t>
  </si>
  <si>
    <t>CAPIA MENDONZA EYMI JAZMIN</t>
  </si>
  <si>
    <t>MERCADO CHOQUE DUNIA</t>
  </si>
  <si>
    <t>MERCADO CHOQUE SAMIR</t>
  </si>
  <si>
    <t>MERCADO CHOQUE INES ANACLETH</t>
  </si>
  <si>
    <t>GONZALEZ VILLALOBOS GABRIEL SANTIAGO</t>
  </si>
  <si>
    <t>QUISPE CHAMBI AVRIL ANGELES</t>
  </si>
  <si>
    <t>PAUCARA QUISPE SARAHI BELEN</t>
  </si>
  <si>
    <t>PAUCARA QUISPE JOSUE GABRIEL</t>
  </si>
  <si>
    <t>HUANCA YAPU BABEL OCATAVIO</t>
  </si>
  <si>
    <t>HUANCA YAPU YAMILA KENEDY</t>
  </si>
  <si>
    <t>MAMANI ARGANI MATEO CESAR</t>
  </si>
  <si>
    <t>CONTRERAS TROCHE ALISSON BELEN</t>
  </si>
  <si>
    <t>CONTRERAS TROCHEZUMAYA ASHELEN</t>
  </si>
  <si>
    <t>CACERES GONZALES MIRCKO DANIEL</t>
  </si>
  <si>
    <t>SUNTURA GONZALES SAMIR TAEHWA</t>
  </si>
  <si>
    <t>RAMOS QUINTANA VICTOR ALEJANDRO</t>
  </si>
  <si>
    <t>YUJRA COPANA NEYMAR FOREST</t>
  </si>
  <si>
    <t>HUAÑAPACO YUJRA MARCO ANTONIO</t>
  </si>
  <si>
    <t>HUAÑAPACO YUJRA LUZ CAMILA</t>
  </si>
  <si>
    <t>HUANCA FLORES DAVID SANTIAGO</t>
  </si>
  <si>
    <t>HUANCA FLORES SEBASTIAN MARTIN</t>
  </si>
  <si>
    <t>ESTACA TALLACAGUA GABY DEYSI</t>
  </si>
  <si>
    <t>MAMAI BARRETO DAMARIZ LINZDAY</t>
  </si>
  <si>
    <t>MAMAI BARRETO JOSHUA CISNETT</t>
  </si>
  <si>
    <t>HUACANI SUAREZ ARIANNA</t>
  </si>
  <si>
    <t>HUACANI CHAMBI NADIR VALENTINA</t>
  </si>
  <si>
    <t>LUNA LUNA MATIAS TEYLOR</t>
  </si>
  <si>
    <t>CENTELLAS MACHACA CESAR GABRIEL</t>
  </si>
  <si>
    <t>CAJCHAYA MACHACA MILEYA DEL RIO</t>
  </si>
  <si>
    <t>CAJCHAYA MACHACA MILUFER DEL RIO</t>
  </si>
  <si>
    <t>MACHACA CONDORI ARELYS BRISEIDA</t>
  </si>
  <si>
    <t>NELGUARDO MARTINEZ ROMAN SANTOS</t>
  </si>
  <si>
    <t>TICONA CONDORI FERNANDA NOEMI</t>
  </si>
  <si>
    <t>CONDORI CONDORI NICOL HELEN</t>
  </si>
  <si>
    <t>CALLISAYA HUANCA ADALIZ</t>
  </si>
  <si>
    <t>ALCON ARRATIA GONZALO HUGO</t>
  </si>
  <si>
    <t>LAURA ROJAS MIJAEL ABRIEL</t>
  </si>
  <si>
    <t>LAURA ROJAS JULIO EDUARDO</t>
  </si>
  <si>
    <t>MAMANI QUISPE MANUEL DEYNAR</t>
  </si>
  <si>
    <t>MAMANI QUISPE OSAIAS</t>
  </si>
  <si>
    <t>ZAPATA LAYME ADRIANA NICOL</t>
  </si>
  <si>
    <t>HUANCO LIMACHI CELESTE ARIADNE</t>
  </si>
  <si>
    <t>MAMANI HUANCO DAFNE VALENTINA</t>
  </si>
  <si>
    <t>GONZALES LOPEZ DIANA</t>
  </si>
  <si>
    <t>TELLERIA HUANCO HUGO SAMIR</t>
  </si>
  <si>
    <t>RAMOS MAMANI VALERIA ARLETTE</t>
  </si>
  <si>
    <t>LOZA TOLEDO SANTIAGO LEONEL</t>
  </si>
  <si>
    <t>MAMANI ALANOCA SAYURI CAMILA</t>
  </si>
  <si>
    <t>YANIQUE MARQUEZ VALENTINA SOLANGE</t>
  </si>
  <si>
    <t>YANIQUE MARQUEZ JUAN MIGUEL</t>
  </si>
  <si>
    <t>VINO MATTA NEYTHAN ABDIEL</t>
  </si>
  <si>
    <t>VINO MATTA JONATHAN JAIR</t>
  </si>
  <si>
    <t>CONDORI PUSARICO ALEXANDER</t>
  </si>
  <si>
    <t>POMA QUISPE KILIAN SAMIR</t>
  </si>
  <si>
    <t>MAMANI QUISPE AMBAR NAOMI</t>
  </si>
  <si>
    <t>ALANOCA CHOQUE URIEL</t>
  </si>
  <si>
    <t>ALANOCA CHOQUE SAMER</t>
  </si>
  <si>
    <t>TICONA MENDOZA JUAN DANIEL</t>
  </si>
  <si>
    <t>TICONA MENDOZA ANDY SAMIR</t>
  </si>
  <si>
    <t>FLORES MAMANI DILAN ANDY</t>
  </si>
  <si>
    <t>FLORES MAMANI NEYTAN RAUL</t>
  </si>
  <si>
    <t>HUAYHUA FLORES IAN IKER</t>
  </si>
  <si>
    <t>CONDORI MARQUEZ JHUREM ALEJANDRO</t>
  </si>
  <si>
    <t>HUARCA CHAVEZ ZOE TERESA</t>
  </si>
  <si>
    <t>TICONA LIMACHI LUCAS GADIEL</t>
  </si>
  <si>
    <t>VENTURA HUANCA ARACELY SARAHI</t>
  </si>
  <si>
    <t>VENTURA HUANCA YAMIL MATIAS</t>
  </si>
  <si>
    <t>CATARI URIARTE EDUARDO</t>
  </si>
  <si>
    <t>CATARI URIARTE JOSUE ARON</t>
  </si>
  <si>
    <t>LAYME QUISPE IAN CALEB</t>
  </si>
  <si>
    <t>FERNANDEZ QUISPE JHOSUE JHON RICARDO</t>
  </si>
  <si>
    <t>ESPINOZA MAMANI CAMILA ALEJANDRA</t>
  </si>
  <si>
    <t>VILLCA QUISPE JAIR JAVIER</t>
  </si>
  <si>
    <t>VILLCA QUISPE THAIS ARIANA</t>
  </si>
  <si>
    <t>VILLCA QUISPE AMBAR CAMILA</t>
  </si>
  <si>
    <t>CHAMBI TONCONI NIKOL KRISTEN</t>
  </si>
  <si>
    <t>CHAMBI TONCONI EYTAN JHONATAN</t>
  </si>
  <si>
    <t>SEGAL4ES ARUQUIPA ALEX DIETER</t>
  </si>
  <si>
    <t>MOYA BOTELLO THIAGO MATIAS</t>
  </si>
  <si>
    <t>MOYA BOTELLO ZOE ASHLIN</t>
  </si>
  <si>
    <t>DAMIAN LIMA ANA BELEN</t>
  </si>
  <si>
    <t>SIÑANI APAZA LUIS ALEXIS</t>
  </si>
  <si>
    <t>POMA GUTIERREZ ADA MAYELY</t>
  </si>
  <si>
    <t>POMA GUTIERREZ BRIANA MAYUMI</t>
  </si>
  <si>
    <t>URUCHI TAMBILLO ARIAN MONSERRAT</t>
  </si>
  <si>
    <t xml:space="preserve">CALLIZAYA CATACORA JESSICA LUCIANA </t>
  </si>
  <si>
    <t>PEREZ MARTINEZ CESIA STEPHANIE</t>
  </si>
  <si>
    <t>CALDERON ROJAS KATE ANTONELLA</t>
  </si>
  <si>
    <t>RAMOS SACA VALENTINA ALEJANDRA</t>
  </si>
  <si>
    <t>CONDORI CALLIZAYA ALEJANDRO OLIVER</t>
  </si>
  <si>
    <t>CONDORI CALLIZAYA SEBASTIAN GERARDO</t>
  </si>
  <si>
    <t>MAMANI MAMANI NATALY MAYLIN</t>
  </si>
  <si>
    <t>HUACCAYCHUCO CHAMBI ELIF KAROLAYN</t>
  </si>
  <si>
    <t>QUISPE MEJIA RODRIGO FELIX</t>
  </si>
  <si>
    <t>APAZA ROJAS MISHEL</t>
  </si>
  <si>
    <t>VENTURA SALCEDO GABRIEL</t>
  </si>
  <si>
    <t xml:space="preserve">VENTURA SALCEDO LUZ AYLIN </t>
  </si>
  <si>
    <t>ARANO POMA HECTOR ALEXANDER</t>
  </si>
  <si>
    <t>CHOQUE MONTALICO MARINO BRANDON</t>
  </si>
  <si>
    <t>CHOQUE MONTALICO JOSUE DIETHER</t>
  </si>
  <si>
    <t>LIMACHI ROMERO LEANDRO DORUCK</t>
  </si>
  <si>
    <t>BORJA MALDONADO SANTIAGO MARVIN</t>
  </si>
  <si>
    <t>DURAN VEGA LORENZ FELIPE EMIR</t>
  </si>
  <si>
    <t>HUARAHUARA MAMANI ADA PAMELA</t>
  </si>
  <si>
    <t>VALENCIA CARI ABIGAIL</t>
  </si>
  <si>
    <t>VALENCIA CARI ARELY LUCIA</t>
  </si>
  <si>
    <t>MAGNE TORRICO CELESTE MELISANDRE</t>
  </si>
  <si>
    <t>LEDEZMA LIMA EZEQUIEL FERNANDO</t>
  </si>
  <si>
    <t>LEDEZMA LIMA YAHAIRA NADIA</t>
  </si>
  <si>
    <t>MAYTA HUMEREZ YURI DAMARIS</t>
  </si>
  <si>
    <t>MAYTA HUMEREZ ASBEL JOEL</t>
  </si>
  <si>
    <t>NINA CARATA LUIS FLAVIO</t>
  </si>
  <si>
    <t xml:space="preserve">NINA CARATA YHAMIL JOSUE </t>
  </si>
  <si>
    <t xml:space="preserve">APAZA SARZURI ANAHI VALENTINA </t>
  </si>
  <si>
    <t>OBLITAS MARCA ADEMAR FABRICIO</t>
  </si>
  <si>
    <t>OBLITAS MARCA ASBEL YUREM</t>
  </si>
  <si>
    <t>LECOÑA ARRATIA MICHELLE</t>
  </si>
  <si>
    <t>LECOÑA ARRATIA JOSE</t>
  </si>
  <si>
    <t>VILLAZANTE MAMANI FERNANDA VIANCA</t>
  </si>
  <si>
    <t>VILLAZANTE MAMANI YAMIL ALEXANDER</t>
  </si>
  <si>
    <t>LLUSCO CACHI ALEX JULIAN</t>
  </si>
  <si>
    <t>CALLISAYA YUJRA VAJHOLETH AMIRA</t>
  </si>
  <si>
    <t>CACERES FLORES KIMBERLY AVRIL</t>
  </si>
  <si>
    <t>CACERES FLORES EDRICK DAVID</t>
  </si>
  <si>
    <t>VILLAZANTE FERNANDEZ AMIRA AVRIL</t>
  </si>
  <si>
    <t>MOLINA ACARAPI RACHEL SAMANTHA</t>
  </si>
  <si>
    <t>MOLINA ACARAPI GADIEL KARIM</t>
  </si>
  <si>
    <t>LLUPANQUE SELAEZ DEYVID ALEJANDRO</t>
  </si>
  <si>
    <t>MARTINEZ FERNANDEZ ABIGAIL SHEYLA</t>
  </si>
  <si>
    <t>QUISBERT ESPINOZA FABIAN EMILIANO</t>
  </si>
  <si>
    <t>TICONA VALENCIA MICAELA</t>
  </si>
  <si>
    <t>CHOQUE CONDORI ANA ROSA</t>
  </si>
  <si>
    <t>CHOQUE CONDORI MAYRO EMANUEL</t>
  </si>
  <si>
    <t>VILLARROEL COAQUIRA JHOAN GABRIEL</t>
  </si>
  <si>
    <t>VILLARROEL COAQUIRA LEONARDO IVAN</t>
  </si>
  <si>
    <t>PINTADO MAYTA LUIS ANGEL</t>
  </si>
  <si>
    <t>TARQUI RAMOS MISHELL YOMARA</t>
  </si>
  <si>
    <t>TARQUI RAMOS MEYVI MAYTE</t>
  </si>
  <si>
    <t>TARQUI RAMOS FABRICIO MATIAS</t>
  </si>
  <si>
    <t>TARQUI RAMOS JOEL EZEQUIEL</t>
  </si>
  <si>
    <t>ANDRADE PAUCARA VALENTINA MAYRIN</t>
  </si>
  <si>
    <t>ANDRADE PAUCARA GENESIS MARIANA</t>
  </si>
  <si>
    <t>QUISPE CHIPANA AYLEN OLIVIA</t>
  </si>
  <si>
    <t>QUISPE CHIPANA ALICE KAITHYN</t>
  </si>
  <si>
    <t>CONDORI CHOQUE SAYUMI</t>
  </si>
  <si>
    <t>CONDORI CHOQUE AISHA CAMILA</t>
  </si>
  <si>
    <t xml:space="preserve">CONDORI MONTAÑO ADRIANA LIA </t>
  </si>
  <si>
    <t> TITO TACUÑA ROSANGELA</t>
  </si>
  <si>
    <t>MAMANI QUISBERT FELIX SANTIAGO</t>
  </si>
  <si>
    <t>MAMANI QUISBERT FGENESIS WARA</t>
  </si>
  <si>
    <t xml:space="preserve">MONASTERIOS ESPINAL GERSON </t>
  </si>
  <si>
    <t>SUMI CONDORI ABIGAIL YARELY</t>
  </si>
  <si>
    <t>CHOQUE CAYO EVELYN NAYA</t>
  </si>
  <si>
    <t>LICON CHAVEZ AYLIN ZAYRA</t>
  </si>
  <si>
    <t>CONDORI TAPIA SHANON GEMA</t>
  </si>
  <si>
    <t>TAPIA HUAYGUA SHIREL EILEN</t>
  </si>
  <si>
    <t> BARRETO QUISPE</t>
  </si>
  <si>
    <t> PAREDES MURILLLO CANDY BRIGIDA</t>
  </si>
  <si>
    <t>CALLISAYA QUISPECAHUANA DYLAN ROGER</t>
  </si>
  <si>
    <t>MACHICADO VILLANUEVA YAHAIRA CATALINA</t>
  </si>
  <si>
    <t xml:space="preserve">MACHICADO VILLANUEVA IGNACIO TIAGO </t>
  </si>
  <si>
    <t>MACHICADO VILLANUEVA ORIETA DIANA</t>
  </si>
  <si>
    <t>CALLISAYA BLANCO JHUNIOR JOSUE</t>
  </si>
  <si>
    <t>COLQUE SOTO ZAID</t>
  </si>
  <si>
    <t>COLQUE SOTO MELANI MAYTE</t>
  </si>
  <si>
    <t>MORALES CORONEL YOHANELA AYMAR</t>
  </si>
  <si>
    <t>MORALES CORONEL ABNER SANTIAGO</t>
  </si>
  <si>
    <t>QUISPE MENDOZA JOSE ARTURO</t>
  </si>
  <si>
    <t>QUISPE MENDOZA NOELIA JAZMIN</t>
  </si>
  <si>
    <t>MICHME HUANCA RICARDO KAEL</t>
  </si>
  <si>
    <t xml:space="preserve">MICHME HUANCA BASTIAN RAPHAEL </t>
  </si>
  <si>
    <t>CADENA TORREZ JOSE FERNANDO</t>
  </si>
  <si>
    <t>QUISPE MARIANGEL VANESA</t>
  </si>
  <si>
    <t>FLORES ALCAZAR JAEL DANIELA</t>
  </si>
  <si>
    <t>MAMANI RIOS VALERIA PAOLA</t>
  </si>
  <si>
    <t>MAMANI RIOS OLIVIA</t>
  </si>
  <si>
    <t>QUELALI RODRIGUEZ KATERIN</t>
  </si>
  <si>
    <t>SUMI GUARACHI MIGUEL EDUARDO</t>
  </si>
  <si>
    <t>COLQUE YANAPA MARILUZ MILENKA</t>
  </si>
  <si>
    <t>CACERES FLORES NAHOMI NICOLE</t>
  </si>
  <si>
    <t>CACERES FLORES ANGHELINE JAZMIN</t>
  </si>
  <si>
    <t>PANTOJA BLANCO SHALEM JHERUSALAY</t>
  </si>
  <si>
    <t>PEREZ JIMENEZ KRISTTTEN ALEJANDRA</t>
  </si>
  <si>
    <t>SANTOS HUANCA VENUS SHEILA</t>
  </si>
  <si>
    <t>SANTOS HUANCA SHIRLEY ALONDRA</t>
  </si>
  <si>
    <t>SANTOS HUANCA EITAN BRANDON</t>
  </si>
  <si>
    <t>FLORES CARRILLO DIEGO ALAIN</t>
  </si>
  <si>
    <t>SURAN MIRANDA NAYARA</t>
  </si>
  <si>
    <t>MAMANI APAZA LINETH ROCIO</t>
  </si>
  <si>
    <t>CHOQUE RODRIGUEZ DILAN MIJAIL</t>
  </si>
  <si>
    <t>CHALCO ESPEJO BRANDON YHOSTIN</t>
  </si>
  <si>
    <t>SOTO NUÑEZ BELEN ZAIRA</t>
  </si>
  <si>
    <t>SOTO NUÑEZ NICOLAS MATEO</t>
  </si>
  <si>
    <t>GOYTIA APAZA GABRIEL JOANCARLOS</t>
  </si>
  <si>
    <t>APAZA APAZA MONTSERRAT SCARLEN</t>
  </si>
  <si>
    <t>MAMANI QUISPE SELENE DAFNE</t>
  </si>
  <si>
    <t>MAMANI QUISPE HECTOR GAEL</t>
  </si>
  <si>
    <t>DE LA CRUZ MAMANI ALAIN FRANCO</t>
  </si>
  <si>
    <t>DAZA SARZURI KAILY MAELITH</t>
  </si>
  <si>
    <t>POMA OLIVERA ROY GREGOR</t>
  </si>
  <si>
    <t>HUANCA VARGAS AYLIN YAMILE</t>
  </si>
  <si>
    <t>BLANCO CARVAJAL ITHAM NICOLAS</t>
  </si>
  <si>
    <t>QUISPE MOLLISACA EDWARD SEBASTIAN</t>
  </si>
  <si>
    <t>CHOQUE QUISPE ALIZ SHARLINE</t>
  </si>
  <si>
    <t>MASCO AGUILAR BRIZIA ALISON</t>
  </si>
  <si>
    <t>HUACOTO ALEJO JOEL DANIEL</t>
  </si>
  <si>
    <t>CANAVIRI CHOQUE CAMILA JHAMILETH</t>
  </si>
  <si>
    <t>CANAVIRI CHOQUE NICOL WARA</t>
  </si>
  <si>
    <t>CATACORA CHOQUE ADRIANA ELIZABETH</t>
  </si>
  <si>
    <t>ARUQUIPA TORREZ JOSE MANUEL</t>
  </si>
  <si>
    <t>COLQUE IBARRA BRENDA</t>
  </si>
  <si>
    <t>COLQUE IBARRA PEDRO</t>
  </si>
  <si>
    <t>MENDOZA COLQUE AYLIN LORENA</t>
  </si>
  <si>
    <t>HINOJOSA COLQUE NATALIA BELEN</t>
  </si>
  <si>
    <t>HINOJOSA COLQUE DIEGO URIEL</t>
  </si>
  <si>
    <t>CHAMBILLA LLOJLLA LEONEL LEANDRO</t>
  </si>
  <si>
    <t>CHAMBILLA LLOJLLA GAEL IGNACIO</t>
  </si>
  <si>
    <t>CHAMBILLA LLOJLLA ROMINA</t>
  </si>
  <si>
    <t>COLQUEHUANCA MIRANDA GABRIEL JESUS</t>
  </si>
  <si>
    <t>RONDO PAHE MIRANDA ESTEFANY</t>
  </si>
  <si>
    <t xml:space="preserve">RAMIREZ MAMANI ALEJANDRA </t>
  </si>
  <si>
    <t>GOMEZ ROJAS AARON DEYMAR</t>
  </si>
  <si>
    <t>MAYTA CORI LEONEL JHORDAN</t>
  </si>
  <si>
    <t>VARGAS RAMOS MATIAS NICOLAS</t>
  </si>
  <si>
    <t>APAZA TICONA DANAE ALEXANDRA</t>
  </si>
  <si>
    <t>PERCA PATTY ELIANA GENESIS</t>
  </si>
  <si>
    <t>GARFIAS TENORIO EMMANUEL NELSON</t>
  </si>
  <si>
    <t>PLATA CUTIPA MAGABI RUBI</t>
  </si>
  <si>
    <t xml:space="preserve">PLATA CUTIPA AARON </t>
  </si>
  <si>
    <t>MEDRANO CHOQUEHUANCA NOAH ARANTZA</t>
  </si>
  <si>
    <t>MYENI CALLISAYA SANTIAGO DENIS</t>
  </si>
  <si>
    <t>ARO DCALLISAYA SOPHIE RAYSSA</t>
  </si>
  <si>
    <t>VENTO CALLISAYA STEFFANY YARIM</t>
  </si>
  <si>
    <t>GUTIERREZ MAYTA SEBASTIAN</t>
  </si>
  <si>
    <t>RAMIREZ TICONA YAMILETH FABIANA</t>
  </si>
  <si>
    <t>RAMIREZ TICONA YARELY CAMILA</t>
  </si>
  <si>
    <t>GUARACHI LARICO ACIEL EFRAIN</t>
  </si>
  <si>
    <t>GUARACHI LARICO EMIR HEDIM</t>
  </si>
  <si>
    <t xml:space="preserve">CABA PEÑA GREGORIO ADRIAN </t>
  </si>
  <si>
    <t>LUQUE SANGA NICOLAS RUBEN</t>
  </si>
  <si>
    <t>CALLISAYA CORONEL BELLA LUZ JAEL</t>
  </si>
  <si>
    <t>NINA YAHUINCHA EYDAN ENRRIQUE</t>
  </si>
  <si>
    <t>APAZA DONAYRE LUANA YHAMILE</t>
  </si>
  <si>
    <t>APAZA DONAYRE SHERYL MIKEYLA</t>
  </si>
  <si>
    <t>CORONEL QUISPE IVAN MAURICIO</t>
  </si>
  <si>
    <t>TACACHIRA HERBAS EVELYN LUZ</t>
  </si>
  <si>
    <t>TACACHIRA HERBAS ROSMERY BLANCA</t>
  </si>
  <si>
    <t>CANO RODRIGUEZ NAYELY MASSIEL</t>
  </si>
  <si>
    <t>CANO RODRIGUEZ GRISEL CELESTE</t>
  </si>
  <si>
    <t>CALLEJAS MURGUIA ANDREA AYELEN</t>
  </si>
  <si>
    <t>CALLEJAS MURGUIA EDDY VICTOR</t>
  </si>
  <si>
    <t>CALLEJAS MURGUIA ADELE LAURA</t>
  </si>
  <si>
    <t>OSCORI INTIPAMPA ZARAHI MARIANA</t>
  </si>
  <si>
    <t>GUTIERREZ INTIPAMPA ARIANA ANDREA</t>
  </si>
  <si>
    <t>CHURA QUISPE JHOAN AROLDS</t>
  </si>
  <si>
    <t>TICONA OCHOA ALEJANDRA SHANEL</t>
  </si>
  <si>
    <t>TICONA OCHOA YHAIR MATTIAS</t>
  </si>
  <si>
    <t>TICONA OCHOA ARELY DALMA</t>
  </si>
  <si>
    <t>CORONEL RAMOS MALCOM MAURICIO</t>
  </si>
  <si>
    <t>CALLISAYA CRUZ CAMILA RIZEL</t>
  </si>
  <si>
    <t>GUTIERREZ YUJRA SELENE AMBAR</t>
  </si>
  <si>
    <t>LINARES VILLALBA MAYTE FERNANDA</t>
  </si>
  <si>
    <t>LINARES VILLALBA DAFNE MONTSERRAT</t>
  </si>
  <si>
    <t>LOPEZ LIMA ASBEL</t>
  </si>
  <si>
    <t>CALLISAYA MICHME DEIVI REDIM</t>
  </si>
  <si>
    <t>USNAYO ROJAS HUASCAR CRISTOPHER</t>
  </si>
  <si>
    <t>VARGAS CHUQUIMIA MATEO GAEL</t>
  </si>
  <si>
    <t>LIMA QUISPE SAYUMI SANDYBEL</t>
  </si>
  <si>
    <t>ALARCON RODRIGUEZ MARIANA VALENTINA</t>
  </si>
  <si>
    <t>LOPEZ QUISPE AARON CALEB</t>
  </si>
  <si>
    <t>ZEA ROJAS SCARLETT LUZ</t>
  </si>
  <si>
    <t xml:space="preserve">LIMACHI CHOQUE JULIANA CLARIBEL </t>
  </si>
  <si>
    <t>TAPIA CHOQUE IKER MATEO</t>
  </si>
  <si>
    <t>POMA MAMANI LEO MAX LUIS</t>
  </si>
  <si>
    <t>GUASDE VASQUEZ EMILIANA MARTINA</t>
  </si>
  <si>
    <t>PACO CHOQUE NEYELI BRITANI</t>
  </si>
  <si>
    <t>PACO CHOQUE YERSADEN ALFRED</t>
  </si>
  <si>
    <t>ADUVIRI BARRERA ASHELEM JOHANNA</t>
  </si>
  <si>
    <t>JIMENEZ LLUTA KEVIN ALEXANDER</t>
  </si>
  <si>
    <t>QUENALLATA JUSTO NEYMAR</t>
  </si>
  <si>
    <t>MAMANI PAUCARA NICOLE ALEXANDRA</t>
  </si>
  <si>
    <t>MAMANI PAUCARA DIANARA ALINE</t>
  </si>
  <si>
    <t>ARDORES USNAYO CAMERON GAELLE</t>
  </si>
  <si>
    <t xml:space="preserve">MEDINA CHURA CIELO MICHELLE ALEJANDRA </t>
  </si>
  <si>
    <t>LINARES MEDINA ABAD DYLAN</t>
  </si>
  <si>
    <t>ARNAO CEREZO ALEXANDER ANTONY</t>
  </si>
  <si>
    <t>MAMANI CHOQUE LAURA ANABEL</t>
  </si>
  <si>
    <t>MAMANI CHOQUE DANA PATRICIA</t>
  </si>
  <si>
    <t>YAMPARA PAUCARA ESTEFANI</t>
  </si>
  <si>
    <t>CAPRILES CHAVEZ THAYSHA JHOANNA</t>
  </si>
  <si>
    <t>APAZA ANGULO ARELY BIANCA</t>
  </si>
  <si>
    <t>APAZA ANGULO MATIAS SANTIAGO</t>
  </si>
  <si>
    <t>CALAMANI EULATE HAEL DARLYN</t>
  </si>
  <si>
    <t>EULATE LOZA ALEXIS ELDRIDGE</t>
  </si>
  <si>
    <t>FLORES CHURA ALAIN DEYMAR</t>
  </si>
  <si>
    <t>COLQUE COLQUE MATIAS ANDREE</t>
  </si>
  <si>
    <t>FLORES HUAMPO KENYA DAYANA</t>
  </si>
  <si>
    <t>HUANACU SOTO ZIAD RUY</t>
  </si>
  <si>
    <t xml:space="preserve"> VARGAS MUÑOZ KEYLA </t>
  </si>
  <si>
    <t> AJATA SURCO HELEN JAZMIN</t>
  </si>
  <si>
    <t> AJATA SURCO GERALDINE MERLINDA</t>
  </si>
  <si>
    <t xml:space="preserve">QUISPE HUAYCHO ANA MAYERLYN </t>
  </si>
  <si>
    <t>TICONA HERBAS VICTOR DANIEL</t>
  </si>
  <si>
    <t xml:space="preserve">FLORES HERBAS JUAN JOSE </t>
  </si>
  <si>
    <t>GUACHALLA GUTIERREZ SEBASTIAN EITHAN</t>
  </si>
  <si>
    <t>FLORES RIVAS ALEJANDRA GABRIEL</t>
  </si>
  <si>
    <t>SANCHEZ NAVIA JOSE ANDRES</t>
  </si>
  <si>
    <t xml:space="preserve">TAPIA TUSCO IAN ALEXANDER </t>
  </si>
  <si>
    <t>SEGALES QUISPE MATIAS NICOLAS</t>
  </si>
  <si>
    <t>MAMANI ROJAS VALENTINA AMELIA</t>
  </si>
  <si>
    <t>MAMANI ROJAS TATIANA JAZMIN</t>
  </si>
  <si>
    <t>SILVA CRUZ MACIEL GLORIANA</t>
  </si>
  <si>
    <t>SILVA SAAVEDRA YANDER EZEQUIEL</t>
  </si>
  <si>
    <t xml:space="preserve">AMARU QUISPE ALONSO SANTINO </t>
  </si>
  <si>
    <t>CUTILE VELASCO NADIA ZOE</t>
  </si>
  <si>
    <t>ESPINAL VARGAS JOSE MANUEL</t>
  </si>
  <si>
    <t xml:space="preserve">TORREZ QUISPE MAYRA ADRIANA </t>
  </si>
  <si>
    <t>GONZALES CUSSI BRIANA ARLETH</t>
  </si>
  <si>
    <t>VALENCIA CORONEL DAYNET ALEXANDRA</t>
  </si>
  <si>
    <t>VILLCA TARQUI ISAIAS JOSUE</t>
  </si>
  <si>
    <t>CHARCAS COLQUE ALEJANDRA BRIDGET</t>
  </si>
  <si>
    <t xml:space="preserve">LAURA MAMANI TAHIEL GABRIEL </t>
  </si>
  <si>
    <t>SARZURI AJATA KEYLA MADAY</t>
  </si>
  <si>
    <t>LLUSCO QUISPE ABIGAIL SOFIA</t>
  </si>
  <si>
    <t>QUISPE JIMENEZ SEBASTIAN NICOLAS</t>
  </si>
  <si>
    <t>APAZA CHASQUI ERIK ALVARO</t>
  </si>
  <si>
    <t>HUCHANI MOLLERICONA</t>
  </si>
  <si>
    <t>HUCHANI MOLLERICONA NICOL SARAI</t>
  </si>
  <si>
    <t>QUIROZ VILLCA ADRIANA RUTH</t>
  </si>
  <si>
    <t xml:space="preserve">SALOME MAMANI GROVER EMANUEL </t>
  </si>
  <si>
    <t>ESPINOZA MAMANI MAYRA LORENA</t>
  </si>
  <si>
    <t>ESPINOZA MAMANI DAYRA CAMILA</t>
  </si>
  <si>
    <t xml:space="preserve">PACO HUANCA OLIVER WILMER </t>
  </si>
  <si>
    <t>PACO HUANCA HEYDI MIREYA</t>
  </si>
  <si>
    <t>HUAYLLER PEREZ MARINES</t>
  </si>
  <si>
    <t xml:space="preserve">CALLE LOPEZ AMBAR </t>
  </si>
  <si>
    <t xml:space="preserve">VERA MEDRANO LUCIANA ISABELLA </t>
  </si>
  <si>
    <t>HUANCA NINA HAROLD FABIAN</t>
  </si>
  <si>
    <t>HUANCA NINA JEZIEL ADRIAN</t>
  </si>
  <si>
    <t xml:space="preserve">HUANCA NINA SHAEL ANGELES </t>
  </si>
  <si>
    <t>QUISPE ROJAS YOHANA ANABEL</t>
  </si>
  <si>
    <t xml:space="preserve">AGUILAR RAMOS GUILLERMO JAVIER </t>
  </si>
  <si>
    <t>CORONEL LAZO LEONEL ALEJANDRO</t>
  </si>
  <si>
    <t>CORONEL LAZO ANTHONY JOEL</t>
  </si>
  <si>
    <t>HUANCA AVALOS MATIAS FRANCO</t>
  </si>
  <si>
    <t>HUANCA AVALOS LOGAN SANTIAGO</t>
  </si>
  <si>
    <t>VARGAS MORALES ALEJANDRO JHOSMAR</t>
  </si>
  <si>
    <t>BAUTISTA BLANCO GREIS EVANI</t>
  </si>
  <si>
    <t>BALBOA MAMANI WILDER MAYKOL</t>
  </si>
  <si>
    <t xml:space="preserve">BALBOA MAMANI JOSE ANDRE </t>
  </si>
  <si>
    <t>HUALLPA MAMANI SEBASTIAN MATIAS</t>
  </si>
  <si>
    <t xml:space="preserve">HUALLPA MAMANI ISA ARIANNE </t>
  </si>
  <si>
    <t>QUISPE CALLISAYA DAMARIS DANNA</t>
  </si>
  <si>
    <t>QUISPE CALLISAYA LUCIANA VALENTINA</t>
  </si>
  <si>
    <t>LIMACHI MAMANI HELEN</t>
  </si>
  <si>
    <t>LIMACHI MAMANI JAROL</t>
  </si>
  <si>
    <t>MAMANI PATTY LUIS OSCAR</t>
  </si>
  <si>
    <t>MAMANI PATTY ABRIL MARIA</t>
  </si>
  <si>
    <t>MAMANI PATTY DAVID ELIAS</t>
  </si>
  <si>
    <t>MAMANI PATTY SARA FIDELIA</t>
  </si>
  <si>
    <t xml:space="preserve"> CAHUAYA CHOQUE NAYRA BELEN</t>
  </si>
  <si>
    <t>ALIAGA QUECAÑA LISDEY ROSMERY</t>
  </si>
  <si>
    <t>ORTIZ CHARCA OMAR CALEB</t>
  </si>
  <si>
    <t>QUISPE DELGADO ANAHI NOELIA</t>
  </si>
  <si>
    <t>CABEZAS LECOÑA MAICK WILSON</t>
  </si>
  <si>
    <t>QUISPE CALLATA SEBASTIAN</t>
  </si>
  <si>
    <t xml:space="preserve">RAMIREZ LUCANA EVELYN NAYRA </t>
  </si>
  <si>
    <t>RAMIREZ LUCANA WASCAR RODNY</t>
  </si>
  <si>
    <t>IRIARTE MONTESINOS JOSUE WILSON</t>
  </si>
  <si>
    <t>QUISPE PACARI BLANCA ALEJANDRA</t>
  </si>
  <si>
    <t>QUISPE MAQUERA AMILKAR CAMILO</t>
  </si>
  <si>
    <t>QUISPE MAQUERA CAMILA SHAREL</t>
  </si>
  <si>
    <t>MACHACA MONASTERIOS HENRY CALEB</t>
  </si>
  <si>
    <t>QUISBERT CLAURE KELLY</t>
  </si>
  <si>
    <t>CHOQUE VICENTE AYLEN CAMILA</t>
  </si>
  <si>
    <t>IPORRE USCAMAYTA ANDY FRANKLIN</t>
  </si>
  <si>
    <t xml:space="preserve">ARCE CONDORI JOHAN JESSE </t>
  </si>
  <si>
    <t xml:space="preserve">ARCE CONDORI JAEL ADALYS </t>
  </si>
  <si>
    <t xml:space="preserve">CONDORI RODRIGUEZ MELISA ALISON </t>
  </si>
  <si>
    <t xml:space="preserve">YAPU QUISPE BIANCA </t>
  </si>
  <si>
    <t>MAYDANA POCOMA GIOVANI EDUARDO</t>
  </si>
  <si>
    <t>POCOMA VARGAS JOSUE ARMANDO</t>
  </si>
  <si>
    <t>POCOMA VARGAS JOEL SANTOS</t>
  </si>
  <si>
    <t>TOCO ARUQUIPA JULIA MARIA</t>
  </si>
  <si>
    <t>FLORES QUISBERT ALINNE</t>
  </si>
  <si>
    <t>HUANCA TORREJON BRILSE ASIEL</t>
  </si>
  <si>
    <t>CHOQUEHUANCA SUXO LUIS ALEJANDRO</t>
  </si>
  <si>
    <t>CHOQUEHUANCA SUXO GRECIA</t>
  </si>
  <si>
    <t xml:space="preserve">PASI ACHO GREYS KHATERYN </t>
  </si>
  <si>
    <t>PASI ACHO ITZEL DAYANNA</t>
  </si>
  <si>
    <t>BLADIMIR SEGALES QUISPE</t>
  </si>
  <si>
    <t>SAMIRA AURORA HIDALGO MAMANI</t>
  </si>
  <si>
    <t>CUSI SIRPATICO DAN MISAEL</t>
  </si>
  <si>
    <t>KASA GOMEZ VALENTINA BRIANA</t>
  </si>
  <si>
    <t>KASA GOMEZ MARCO FERNANDO</t>
  </si>
  <si>
    <t>QUISPE PACARI MILENA GUADALUPE</t>
  </si>
  <si>
    <t>VERA MARTINEZ ZOE FERNANDA</t>
  </si>
  <si>
    <t>QUISPE SUAREZ LIAM ALEJANDRO</t>
  </si>
  <si>
    <t xml:space="preserve">QUISBERT JIMENEZ  LIZ SHANTAL </t>
  </si>
  <si>
    <t>HUANCA CASTAÑO ADHEMAR HECTOR</t>
  </si>
  <si>
    <t>HUANCA CASTAÑO LUCIANA MICAELA</t>
  </si>
  <si>
    <t>SEGALES NINA NICOLAS MATIAS</t>
  </si>
  <si>
    <t>ZUÑIGA MAMANI YOELI KIMBERLY</t>
  </si>
  <si>
    <t>ZUÑIGA MAMANI UZIEL DAVID</t>
  </si>
  <si>
    <t>LIMACHI IBAÑEZ ABDIAS ADRIAN</t>
  </si>
  <si>
    <t>LIMACHI IBAÑEZ ARACELY BARENKA</t>
  </si>
  <si>
    <t>SIRPA CALLE SEBASTIAN</t>
  </si>
  <si>
    <t>QUISPE FLORES BELEN ABIGAIL</t>
  </si>
  <si>
    <t>ALBARRACIN CARI ADELYN LOURDES</t>
  </si>
  <si>
    <t>JIMENEZ MALDONADO FABRICIO GADIEL</t>
  </si>
  <si>
    <t>GONZALES LOPEZ FREDDY ALESANDRO</t>
  </si>
  <si>
    <t>ROBLES CANAVIRI JESUS</t>
  </si>
  <si>
    <t>CASTAÑO JUSTO CESAR</t>
  </si>
  <si>
    <t>N° FAC</t>
  </si>
  <si>
    <t xml:space="preserve">CI / ESTUDIANTE </t>
  </si>
  <si>
    <t xml:space="preserve">NOMBRE ESTUDIANTE </t>
  </si>
  <si>
    <t xml:space="preserve">CURSO </t>
  </si>
  <si>
    <t>NIT/CI</t>
  </si>
  <si>
    <t xml:space="preserve">RAZON SOCIAL </t>
  </si>
  <si>
    <t xml:space="preserve">MONTO CANCELA </t>
  </si>
  <si>
    <t xml:space="preserve">SUB TOTAL </t>
  </si>
  <si>
    <t>TOTAL/SALDO</t>
  </si>
  <si>
    <t>TIPO DE DESCUENTO</t>
  </si>
  <si>
    <t>DESCUENTO</t>
  </si>
  <si>
    <t xml:space="preserve">PLAN MESES </t>
  </si>
  <si>
    <t>CUOTA</t>
  </si>
  <si>
    <t>MESES PAGADOS</t>
  </si>
  <si>
    <t>EST00551</t>
  </si>
  <si>
    <t>Est00550</t>
  </si>
  <si>
    <t>1° SECUNDARIA</t>
  </si>
  <si>
    <t>5° SECUNDARIA</t>
  </si>
  <si>
    <t>4° PRIMARIA</t>
  </si>
  <si>
    <t>INICIAL 1RA. SECCIÓN</t>
  </si>
  <si>
    <t>2° PRIMARIA</t>
  </si>
  <si>
    <t>1° PRIMARIA</t>
  </si>
  <si>
    <t>INICIAL 2DA. SECCIÓN</t>
  </si>
  <si>
    <t>3° PRIMARIA</t>
  </si>
  <si>
    <t>2° SECUNDARIA</t>
  </si>
  <si>
    <t>4° SECUNDARIA</t>
  </si>
  <si>
    <t>6° PRIMARIA</t>
  </si>
  <si>
    <t>6° SECUNDARIA</t>
  </si>
  <si>
    <t>5° PRIMARIA</t>
  </si>
  <si>
    <t>3° SECUNDARIA</t>
  </si>
  <si>
    <t xml:space="preserve">5° PRIMARIA </t>
  </si>
  <si>
    <t xml:space="preserve">3° PRIMARIA </t>
  </si>
  <si>
    <t>KINDER</t>
  </si>
  <si>
    <t xml:space="preserve">6° SECUNDARIA </t>
  </si>
  <si>
    <t xml:space="preserve">6° PRIMARIA </t>
  </si>
  <si>
    <t xml:space="preserve">1° SECUNDARIA </t>
  </si>
  <si>
    <t xml:space="preserve">5° SECUNDARIA </t>
  </si>
  <si>
    <t xml:space="preserve">3° SECUNDARIA </t>
  </si>
  <si>
    <t xml:space="preserve">PRE KINDER </t>
  </si>
  <si>
    <t xml:space="preserve">4° SECUNDARIA </t>
  </si>
  <si>
    <t xml:space="preserve">2° PRIMARIA </t>
  </si>
  <si>
    <t xml:space="preserve">2° SECUNDARIA </t>
  </si>
  <si>
    <t xml:space="preserve">4°SECUNDARIA </t>
  </si>
  <si>
    <t>5 ° SECUNDARIA</t>
  </si>
  <si>
    <t xml:space="preserve">6°SECUNDARIA </t>
  </si>
  <si>
    <t>6°PRIMARIA</t>
  </si>
  <si>
    <t xml:space="preserve">4° PRIMARIA </t>
  </si>
  <si>
    <t xml:space="preserve">6°PRIMARIA </t>
  </si>
  <si>
    <t xml:space="preserve">4° SECENDARIA </t>
  </si>
  <si>
    <t xml:space="preserve">2° secundaria </t>
  </si>
  <si>
    <t xml:space="preserve">1 ° SECUNDARIA </t>
  </si>
  <si>
    <t xml:space="preserve">KINDER </t>
  </si>
  <si>
    <t xml:space="preserve">3° SECUNDARIAN </t>
  </si>
  <si>
    <t xml:space="preserve">1° PRIMARIA </t>
  </si>
  <si>
    <t xml:space="preserve">BELTRAN </t>
  </si>
  <si>
    <t>GOMEZ</t>
  </si>
  <si>
    <t xml:space="preserve">CANAVIRI </t>
  </si>
  <si>
    <t>CHACON</t>
  </si>
  <si>
    <t>DIAZ</t>
  </si>
  <si>
    <t xml:space="preserve">QUISPE </t>
  </si>
  <si>
    <t>COARITE</t>
  </si>
  <si>
    <t>DAVALOS</t>
  </si>
  <si>
    <t xml:space="preserve">ROJAS </t>
  </si>
  <si>
    <t xml:space="preserve">ESCOBAR </t>
  </si>
  <si>
    <t>BUENO</t>
  </si>
  <si>
    <t>FLORES</t>
  </si>
  <si>
    <t xml:space="preserve">FLORES CONDORI </t>
  </si>
  <si>
    <t xml:space="preserve">NELGUARDO </t>
  </si>
  <si>
    <t>MAMANI</t>
  </si>
  <si>
    <t>ZAPATA</t>
  </si>
  <si>
    <t>ALI</t>
  </si>
  <si>
    <t xml:space="preserve">PALMA </t>
  </si>
  <si>
    <t>HUANCA</t>
  </si>
  <si>
    <t>RODRIGUEZ</t>
  </si>
  <si>
    <t>BLANCO</t>
  </si>
  <si>
    <t xml:space="preserve">LLUSCO </t>
  </si>
  <si>
    <t>SALINAS</t>
  </si>
  <si>
    <t xml:space="preserve">MOLLINEDO </t>
  </si>
  <si>
    <t xml:space="preserve">LAIME </t>
  </si>
  <si>
    <t xml:space="preserve">VARGAS </t>
  </si>
  <si>
    <t>TICONA</t>
  </si>
  <si>
    <t>YUJRA</t>
  </si>
  <si>
    <t>GUTIERREZ</t>
  </si>
  <si>
    <t>SUSAN APAZA CHAMBI</t>
  </si>
  <si>
    <t xml:space="preserve">SANGINEZ </t>
  </si>
  <si>
    <t xml:space="preserve">SANGINES </t>
  </si>
  <si>
    <t xml:space="preserve">LIMACHI </t>
  </si>
  <si>
    <t>POMA</t>
  </si>
  <si>
    <t>HUALLPA</t>
  </si>
  <si>
    <t xml:space="preserve">ALANOCA </t>
  </si>
  <si>
    <t>PLATA</t>
  </si>
  <si>
    <t>APAZA</t>
  </si>
  <si>
    <t xml:space="preserve">MURGUIA </t>
  </si>
  <si>
    <t xml:space="preserve">GARCIA </t>
  </si>
  <si>
    <t>LAURA</t>
  </si>
  <si>
    <t xml:space="preserve">ROMERO </t>
  </si>
  <si>
    <t xml:space="preserve">CHIPANA </t>
  </si>
  <si>
    <t xml:space="preserve">FERNANDEZ </t>
  </si>
  <si>
    <t>MOLLE</t>
  </si>
  <si>
    <t>CARHUANI</t>
  </si>
  <si>
    <t>MIRANDA</t>
  </si>
  <si>
    <t>COPANA</t>
  </si>
  <si>
    <t>RAMOS</t>
  </si>
  <si>
    <t>CHURA</t>
  </si>
  <si>
    <t xml:space="preserve">ALIAGA </t>
  </si>
  <si>
    <t xml:space="preserve">CALCINA GROVER </t>
  </si>
  <si>
    <t>QUISPE CHOQUE GENRY</t>
  </si>
  <si>
    <t xml:space="preserve">MAMANI </t>
  </si>
  <si>
    <t xml:space="preserve">MARISOL CHAMBI </t>
  </si>
  <si>
    <t>LOZA</t>
  </si>
  <si>
    <t xml:space="preserve">AMARU </t>
  </si>
  <si>
    <t xml:space="preserve">DANIELA CHAMBI </t>
  </si>
  <si>
    <t xml:space="preserve">COLQUE </t>
  </si>
  <si>
    <t xml:space="preserve">HUANCA </t>
  </si>
  <si>
    <t xml:space="preserve">IAVAN APAZA TOLA </t>
  </si>
  <si>
    <t>HIDALGO</t>
  </si>
  <si>
    <t>LUQUE</t>
  </si>
  <si>
    <t>VELASCO</t>
  </si>
  <si>
    <t>LIMACHI</t>
  </si>
  <si>
    <t>TROCHE</t>
  </si>
  <si>
    <t>MARCONI</t>
  </si>
  <si>
    <t>NAVARRO</t>
  </si>
  <si>
    <t>ALARCON</t>
  </si>
  <si>
    <t>LUNA</t>
  </si>
  <si>
    <t>BARRETO</t>
  </si>
  <si>
    <t>QUISPE</t>
  </si>
  <si>
    <t>CALLE</t>
  </si>
  <si>
    <t>ITAMARI</t>
  </si>
  <si>
    <t>GUARACHI</t>
  </si>
  <si>
    <t>ROJAS</t>
  </si>
  <si>
    <t>ISARAEL JORGE QUISPE ROJAS</t>
  </si>
  <si>
    <t>QUISPE CHIPANA</t>
  </si>
  <si>
    <t>YUJRA ALEJANDRO</t>
  </si>
  <si>
    <t>MENDOZA</t>
  </si>
  <si>
    <t>CHOQUE</t>
  </si>
  <si>
    <t>GONZALEZ</t>
  </si>
  <si>
    <t>PAUCARA</t>
  </si>
  <si>
    <t>ARGANI</t>
  </si>
  <si>
    <t>CONTRERAS</t>
  </si>
  <si>
    <t>SUNTURA</t>
  </si>
  <si>
    <t>QUINTANA</t>
  </si>
  <si>
    <t>ESTACA</t>
  </si>
  <si>
    <t>HUACANI</t>
  </si>
  <si>
    <t>CALCINA GROVER</t>
  </si>
  <si>
    <t>NELGUARDO</t>
  </si>
  <si>
    <t>CONDORI</t>
  </si>
  <si>
    <t>CALLISAYA</t>
  </si>
  <si>
    <t>ARRATIA</t>
  </si>
  <si>
    <t>CRISTIAN ZAPATA CALDERON</t>
  </si>
  <si>
    <t>HUANCO</t>
  </si>
  <si>
    <t>DECOMODA</t>
  </si>
  <si>
    <t>TELLERIA</t>
  </si>
  <si>
    <t>MAMANI CONDORI</t>
  </si>
  <si>
    <t>MARQUEZ</t>
  </si>
  <si>
    <t>MATTA</t>
  </si>
  <si>
    <t>POMA YANARICO</t>
  </si>
  <si>
    <t>ALANOCA</t>
  </si>
  <si>
    <t>INGACOCA SRL</t>
  </si>
  <si>
    <t>CHAVEZ</t>
  </si>
  <si>
    <t>FERNANDEZ</t>
  </si>
  <si>
    <t>MAMANI AVERANGA</t>
  </si>
  <si>
    <t>CHAMBI</t>
  </si>
  <si>
    <t>SEGALES</t>
  </si>
  <si>
    <t>MOYA</t>
  </si>
  <si>
    <t>LIMA</t>
  </si>
  <si>
    <t>TAMBILLO</t>
  </si>
  <si>
    <t>CATACORA</t>
  </si>
  <si>
    <t>MARTINEZ</t>
  </si>
  <si>
    <t>SACA</t>
  </si>
  <si>
    <t>FELIPE MAMANI</t>
  </si>
  <si>
    <t>SALCEDO</t>
  </si>
  <si>
    <t>ROMERO</t>
  </si>
  <si>
    <t>MALDONADO</t>
  </si>
  <si>
    <t>HUARAHUARA</t>
  </si>
  <si>
    <t>CARI</t>
  </si>
  <si>
    <t xml:space="preserve">MAGNE </t>
  </si>
  <si>
    <t>LEDEZMA</t>
  </si>
  <si>
    <t xml:space="preserve">CRISTOBAL MAYTA </t>
  </si>
  <si>
    <t>CARATA</t>
  </si>
  <si>
    <t>SARZURI</t>
  </si>
  <si>
    <t>OBLITAS</t>
  </si>
  <si>
    <t xml:space="preserve">ARRATIA </t>
  </si>
  <si>
    <t xml:space="preserve">LLUCO </t>
  </si>
  <si>
    <t>ACARAPI</t>
  </si>
  <si>
    <t xml:space="preserve">LLUPANQUE </t>
  </si>
  <si>
    <t xml:space="preserve">CASTRO </t>
  </si>
  <si>
    <t xml:space="preserve">VALENCIA </t>
  </si>
  <si>
    <t xml:space="preserve">ANA ROSMERI CONDORI  </t>
  </si>
  <si>
    <t xml:space="preserve">COAQUIRA </t>
  </si>
  <si>
    <t xml:space="preserve">CHOQUE </t>
  </si>
  <si>
    <t xml:space="preserve">MONTAÑO </t>
  </si>
  <si>
    <t xml:space="preserve">FRANZ NELZON TACUÑA </t>
  </si>
  <si>
    <t xml:space="preserve">MONASTERIOS </t>
  </si>
  <si>
    <t>ACEBEY</t>
  </si>
  <si>
    <t xml:space="preserve">CHOQUE QUISPE </t>
  </si>
  <si>
    <t xml:space="preserve">CONDORI </t>
  </si>
  <si>
    <t xml:space="preserve">PATRICIA HUAYGUA </t>
  </si>
  <si>
    <t xml:space="preserve">QUIPE RAMOS </t>
  </si>
  <si>
    <t>PAREDES</t>
  </si>
  <si>
    <t xml:space="preserve">CALLISAYA </t>
  </si>
  <si>
    <t xml:space="preserve">VILLANUEVA </t>
  </si>
  <si>
    <t xml:space="preserve">BLANCO </t>
  </si>
  <si>
    <t>SOTO</t>
  </si>
  <si>
    <t>JUSTO</t>
  </si>
  <si>
    <t>MORALES</t>
  </si>
  <si>
    <t>CADENA</t>
  </si>
  <si>
    <t>ALCAZAR</t>
  </si>
  <si>
    <t>RIOS</t>
  </si>
  <si>
    <t>QUELALI</t>
  </si>
  <si>
    <t>MARITZA GUARACHI TERAN</t>
  </si>
  <si>
    <t>YANAPA</t>
  </si>
  <si>
    <t>BERTHA BLANCO</t>
  </si>
  <si>
    <t>JIMENEZ</t>
  </si>
  <si>
    <t>SANTOS</t>
  </si>
  <si>
    <t>CARRILLO</t>
  </si>
  <si>
    <t>DURAN</t>
  </si>
  <si>
    <t>RENE CHALCO VELASCO</t>
  </si>
  <si>
    <t>DE LA CRUZ</t>
  </si>
  <si>
    <t>HUANCA QUISBERT</t>
  </si>
  <si>
    <t>DECOMODA SRL.</t>
  </si>
  <si>
    <t>MOLLISACA</t>
  </si>
  <si>
    <t>MASCO</t>
  </si>
  <si>
    <t>HUACOTO</t>
  </si>
  <si>
    <t>TORREZ</t>
  </si>
  <si>
    <t xml:space="preserve">COLQUEHUANCA </t>
  </si>
  <si>
    <t xml:space="preserve">RONDO </t>
  </si>
  <si>
    <t>RAMIREZ</t>
  </si>
  <si>
    <t xml:space="preserve">COCARICO </t>
  </si>
  <si>
    <t>CORI</t>
  </si>
  <si>
    <t>VARGAS</t>
  </si>
  <si>
    <t xml:space="preserve">TICONA </t>
  </si>
  <si>
    <t>PATTY</t>
  </si>
  <si>
    <t xml:space="preserve">FERNANDO GARFIAS </t>
  </si>
  <si>
    <t xml:space="preserve">CUTIPA </t>
  </si>
  <si>
    <t>CHOQUEHUANCA</t>
  </si>
  <si>
    <t>ARO</t>
  </si>
  <si>
    <t>GUTIERRZ</t>
  </si>
  <si>
    <t xml:space="preserve">LARICO </t>
  </si>
  <si>
    <t>PEÑA</t>
  </si>
  <si>
    <t xml:space="preserve">LUQUE </t>
  </si>
  <si>
    <t>CORONEL</t>
  </si>
  <si>
    <t>NINA</t>
  </si>
  <si>
    <t>DONAYRE CHAVEZ</t>
  </si>
  <si>
    <t>TACACHIRA</t>
  </si>
  <si>
    <t>CANO</t>
  </si>
  <si>
    <t>MURGUIA</t>
  </si>
  <si>
    <t>OCHOA</t>
  </si>
  <si>
    <t>CRUZ</t>
  </si>
  <si>
    <t>LINARES</t>
  </si>
  <si>
    <t>MULLISACA</t>
  </si>
  <si>
    <t>MICHME</t>
  </si>
  <si>
    <t>USNAYO</t>
  </si>
  <si>
    <t>CHUQUIMIA</t>
  </si>
  <si>
    <t>LOPEZ</t>
  </si>
  <si>
    <t xml:space="preserve">TAPIA </t>
  </si>
  <si>
    <t>VASQUEZ</t>
  </si>
  <si>
    <t xml:space="preserve">PACO </t>
  </si>
  <si>
    <t xml:space="preserve">BARRERA </t>
  </si>
  <si>
    <t xml:space="preserve">ANTONIO JUSTO </t>
  </si>
  <si>
    <t xml:space="preserve">USNAYO </t>
  </si>
  <si>
    <t xml:space="preserve">CHURA </t>
  </si>
  <si>
    <t>CEREZO</t>
  </si>
  <si>
    <t xml:space="preserve">RENE ROLANDO </t>
  </si>
  <si>
    <t xml:space="preserve">EULETA </t>
  </si>
  <si>
    <t xml:space="preserve">HUAMPO </t>
  </si>
  <si>
    <t>HUANACO</t>
  </si>
  <si>
    <t>MUÑOZ</t>
  </si>
  <si>
    <t xml:space="preserve">SURCO </t>
  </si>
  <si>
    <t xml:space="preserve">QUIPE </t>
  </si>
  <si>
    <t xml:space="preserve">NAVIA </t>
  </si>
  <si>
    <t>SAAVEDRA</t>
  </si>
  <si>
    <t xml:space="preserve">QUISBERT </t>
  </si>
  <si>
    <t xml:space="preserve">ESPINAL </t>
  </si>
  <si>
    <t>TRASPORTE GHANIMAS SRL</t>
  </si>
  <si>
    <t xml:space="preserve">TARQUI </t>
  </si>
  <si>
    <t xml:space="preserve">MAMANI CHIPANA </t>
  </si>
  <si>
    <t xml:space="preserve">AJATA </t>
  </si>
  <si>
    <t xml:space="preserve">CHASQUI </t>
  </si>
  <si>
    <t xml:space="preserve">MOLLERICONA </t>
  </si>
  <si>
    <t>QUIROZ</t>
  </si>
  <si>
    <t xml:space="preserve">SALOME </t>
  </si>
  <si>
    <t>ESPINOZA</t>
  </si>
  <si>
    <t>TRANS JAYEGI SRL</t>
  </si>
  <si>
    <t>PEREZ</t>
  </si>
  <si>
    <t>ANDIA</t>
  </si>
  <si>
    <t xml:space="preserve">BETTY LAZO </t>
  </si>
  <si>
    <t>HUANCA CRUZ</t>
  </si>
  <si>
    <t xml:space="preserve">MORALES </t>
  </si>
  <si>
    <t xml:space="preserve">BAUTISTA </t>
  </si>
  <si>
    <t>CAHUAYA</t>
  </si>
  <si>
    <t xml:space="preserve">AURELIO ALIAGA </t>
  </si>
  <si>
    <t>CHARCA</t>
  </si>
  <si>
    <t xml:space="preserve">DELGADO </t>
  </si>
  <si>
    <t xml:space="preserve">LECOÑA </t>
  </si>
  <si>
    <t xml:space="preserve">CALLATA </t>
  </si>
  <si>
    <t>MONTECINOS MEDINA</t>
  </si>
  <si>
    <t>ALFONSO QUISPE CALLATA</t>
  </si>
  <si>
    <t>QUISBERT</t>
  </si>
  <si>
    <t>IPORRE PALENQUE</t>
  </si>
  <si>
    <t>JUAN MOISES ARCE AGAPITO</t>
  </si>
  <si>
    <t>ELSA RODRIGUEZ</t>
  </si>
  <si>
    <t>YAPU</t>
  </si>
  <si>
    <t xml:space="preserve">POCOMA </t>
  </si>
  <si>
    <t xml:space="preserve">POCOMA VARGAS </t>
  </si>
  <si>
    <t xml:space="preserve">ARUQUIPA </t>
  </si>
  <si>
    <t>TORREJON</t>
  </si>
  <si>
    <t xml:space="preserve">LUIS CHOQUEHUANCA NINA </t>
  </si>
  <si>
    <t xml:space="preserve">SONIA ACHO </t>
  </si>
  <si>
    <t>CUSI</t>
  </si>
  <si>
    <t>KASA</t>
  </si>
  <si>
    <t xml:space="preserve">QUISBERT POPE </t>
  </si>
  <si>
    <t xml:space="preserve">ZUÑIGA </t>
  </si>
  <si>
    <t>VILLACORTA</t>
  </si>
  <si>
    <t xml:space="preserve">SIRPA </t>
  </si>
  <si>
    <t xml:space="preserve">2° </t>
  </si>
  <si>
    <t xml:space="preserve">2°SECUNDARIA </t>
  </si>
  <si>
    <t xml:space="preserve">3°PRIMARIA </t>
  </si>
  <si>
    <t xml:space="preserve">4°PRIMARIA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</si>
</sst>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575962"/>
      <name val="Lato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1" fillId="0" borderId="3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0" borderId="1" xfId="0" applyFont="1" applyBorder="1"/>
    <xf numFmtId="0" fontId="5" fillId="2" borderId="4" xfId="0" applyFont="1" applyFill="1" applyBorder="1"/>
    <xf numFmtId="9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/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0" xfId="0" applyFont="1"/>
    <xf numFmtId="4" fontId="5" fillId="0" borderId="1" xfId="0" applyNumberFormat="1" applyFont="1" applyBorder="1"/>
    <xf numFmtId="4" fontId="5" fillId="2" borderId="4" xfId="0" applyNumberFormat="1" applyFont="1" applyFill="1" applyBorder="1"/>
    <xf numFmtId="4" fontId="1" fillId="3" borderId="3" xfId="0" applyNumberFormat="1" applyFont="1" applyFill="1" applyBorder="1" applyAlignment="1">
      <alignment vertical="center"/>
    </xf>
    <xf numFmtId="4" fontId="1" fillId="3" borderId="1" xfId="0" applyNumberFormat="1" applyFont="1" applyFill="1" applyBorder="1" applyAlignment="1">
      <alignment vertical="center"/>
    </xf>
    <xf numFmtId="0" fontId="0" fillId="3" borderId="0" xfId="0" applyFill="1"/>
    <xf numFmtId="4" fontId="1" fillId="4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/>
    <xf numFmtId="4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91CE-10E2-48EC-B979-EA10B545F4DB}">
  <dimension ref="B1:P580"/>
  <sheetViews>
    <sheetView tabSelected="1" topLeftCell="A271" zoomScale="70" zoomScaleNormal="70" workbookViewId="0">
      <selection activeCell="C186" sqref="C186"/>
    </sheetView>
  </sheetViews>
  <sheetFormatPr baseColWidth="10" defaultRowHeight="15" x14ac:dyDescent="0.25"/>
  <cols>
    <col min="2" max="2" width="9.7109375" bestFit="1" customWidth="1"/>
    <col min="3" max="3" width="14.28515625" style="33" customWidth="1"/>
    <col min="4" max="4" width="64.7109375" customWidth="1"/>
    <col min="5" max="5" width="25" customWidth="1"/>
    <col min="6" max="6" width="18.140625" customWidth="1"/>
    <col min="7" max="7" width="18.140625" style="42" customWidth="1"/>
    <col min="9" max="10" width="11.140625" customWidth="1"/>
    <col min="12" max="13" width="11.140625" customWidth="1"/>
  </cols>
  <sheetData>
    <row r="1" spans="2:16" ht="45" x14ac:dyDescent="0.25">
      <c r="B1" s="11" t="s">
        <v>549</v>
      </c>
      <c r="C1" s="12" t="s">
        <v>550</v>
      </c>
      <c r="D1" s="12" t="s">
        <v>551</v>
      </c>
      <c r="E1" s="13" t="s">
        <v>552</v>
      </c>
      <c r="F1" s="13" t="s">
        <v>553</v>
      </c>
      <c r="G1" s="13" t="s">
        <v>554</v>
      </c>
      <c r="H1" s="13" t="s">
        <v>555</v>
      </c>
      <c r="I1" s="13" t="s">
        <v>556</v>
      </c>
      <c r="J1" s="13"/>
      <c r="K1" s="14" t="s">
        <v>557</v>
      </c>
      <c r="L1" s="15" t="s">
        <v>558</v>
      </c>
      <c r="M1" s="15" t="s">
        <v>559</v>
      </c>
      <c r="N1" s="15" t="s">
        <v>560</v>
      </c>
      <c r="O1" s="16" t="s">
        <v>561</v>
      </c>
      <c r="P1" s="15" t="s">
        <v>562</v>
      </c>
    </row>
    <row r="2" spans="2:16" ht="24" customHeight="1" x14ac:dyDescent="0.25">
      <c r="B2" s="1">
        <v>1</v>
      </c>
      <c r="C2" s="6">
        <v>16488789</v>
      </c>
      <c r="D2" s="2" t="s">
        <v>0</v>
      </c>
      <c r="E2" s="2" t="s">
        <v>571</v>
      </c>
      <c r="F2" s="2">
        <v>6160188</v>
      </c>
      <c r="G2" s="35" t="s">
        <v>603</v>
      </c>
      <c r="H2">
        <v>5000</v>
      </c>
      <c r="I2" s="43">
        <f t="shared" ref="I2:I65" si="0">H2-M2</f>
        <v>4750</v>
      </c>
      <c r="J2" s="3">
        <v>4750</v>
      </c>
      <c r="K2" s="44">
        <f>I2-J2</f>
        <v>0</v>
      </c>
      <c r="L2" s="23">
        <v>0.05</v>
      </c>
      <c r="M2" s="24">
        <f t="shared" ref="M2:M65" si="1">H2*L2</f>
        <v>250</v>
      </c>
      <c r="N2" s="25">
        <v>10</v>
      </c>
      <c r="O2" s="22">
        <f t="shared" ref="O2:O65" si="2">I2/N2</f>
        <v>475</v>
      </c>
      <c r="P2" s="24">
        <f t="shared" ref="P2:P65" si="3">INT(J2/O2)</f>
        <v>10</v>
      </c>
    </row>
    <row r="3" spans="2:16" ht="24" customHeight="1" x14ac:dyDescent="0.25">
      <c r="B3" s="1">
        <v>2</v>
      </c>
      <c r="C3" s="6">
        <v>18006058</v>
      </c>
      <c r="D3" s="2" t="s">
        <v>1</v>
      </c>
      <c r="E3" s="2" t="s">
        <v>568</v>
      </c>
      <c r="F3" s="2">
        <v>8352204</v>
      </c>
      <c r="G3" s="35" t="s">
        <v>604</v>
      </c>
      <c r="H3">
        <v>5000</v>
      </c>
      <c r="I3" s="43">
        <f t="shared" si="0"/>
        <v>5000</v>
      </c>
      <c r="J3" s="3">
        <v>500</v>
      </c>
      <c r="K3" s="44">
        <f t="shared" ref="K3:K66" si="4">I3-J3</f>
        <v>4500</v>
      </c>
      <c r="L3" s="23">
        <v>0</v>
      </c>
      <c r="M3" s="24">
        <f t="shared" si="1"/>
        <v>0</v>
      </c>
      <c r="N3" s="25">
        <v>10</v>
      </c>
      <c r="O3" s="22">
        <f t="shared" si="2"/>
        <v>500</v>
      </c>
      <c r="P3" s="24">
        <f t="shared" si="3"/>
        <v>1</v>
      </c>
    </row>
    <row r="4" spans="2:16" ht="24" customHeight="1" x14ac:dyDescent="0.25">
      <c r="B4" s="1">
        <v>3</v>
      </c>
      <c r="C4" s="6">
        <v>13843883</v>
      </c>
      <c r="D4" s="2" t="s">
        <v>547</v>
      </c>
      <c r="E4" s="2" t="s">
        <v>565</v>
      </c>
      <c r="F4" s="2">
        <v>6082955</v>
      </c>
      <c r="G4" s="35" t="s">
        <v>605</v>
      </c>
      <c r="H4">
        <v>5000</v>
      </c>
      <c r="I4" s="43">
        <f t="shared" si="0"/>
        <v>5000</v>
      </c>
      <c r="J4" s="3">
        <v>500</v>
      </c>
      <c r="K4" s="44">
        <f t="shared" si="4"/>
        <v>4500</v>
      </c>
      <c r="L4" s="23">
        <v>0</v>
      </c>
      <c r="M4" s="24">
        <f t="shared" si="1"/>
        <v>0</v>
      </c>
      <c r="N4" s="25">
        <v>10</v>
      </c>
      <c r="O4" s="22">
        <f t="shared" si="2"/>
        <v>500</v>
      </c>
      <c r="P4" s="24">
        <f t="shared" si="3"/>
        <v>1</v>
      </c>
    </row>
    <row r="5" spans="2:16" ht="24" customHeight="1" x14ac:dyDescent="0.25">
      <c r="B5" s="1">
        <v>4</v>
      </c>
      <c r="C5" s="6">
        <v>16343641</v>
      </c>
      <c r="D5" s="2" t="s">
        <v>2</v>
      </c>
      <c r="E5" s="2" t="s">
        <v>565</v>
      </c>
      <c r="F5" s="2">
        <v>6797439</v>
      </c>
      <c r="G5" s="35" t="s">
        <v>606</v>
      </c>
      <c r="H5">
        <v>5000</v>
      </c>
      <c r="I5" s="43">
        <f t="shared" si="0"/>
        <v>5000</v>
      </c>
      <c r="J5" s="3">
        <v>500</v>
      </c>
      <c r="K5" s="44">
        <f t="shared" si="4"/>
        <v>4500</v>
      </c>
      <c r="L5" s="23">
        <v>0</v>
      </c>
      <c r="M5" s="24">
        <f t="shared" si="1"/>
        <v>0</v>
      </c>
      <c r="N5" s="25">
        <v>10</v>
      </c>
      <c r="O5" s="22">
        <f t="shared" si="2"/>
        <v>500</v>
      </c>
      <c r="P5" s="24">
        <f t="shared" si="3"/>
        <v>1</v>
      </c>
    </row>
    <row r="6" spans="2:16" ht="24" customHeight="1" x14ac:dyDescent="0.25">
      <c r="B6" s="1">
        <v>5</v>
      </c>
      <c r="C6" s="6">
        <v>14557083</v>
      </c>
      <c r="D6" s="2" t="s">
        <v>3</v>
      </c>
      <c r="E6" s="2" t="s">
        <v>577</v>
      </c>
      <c r="F6" s="2">
        <v>3499704</v>
      </c>
      <c r="G6" s="35" t="s">
        <v>607</v>
      </c>
      <c r="H6">
        <v>5000</v>
      </c>
      <c r="I6" s="43">
        <f t="shared" si="0"/>
        <v>5000</v>
      </c>
      <c r="J6" s="3">
        <v>500</v>
      </c>
      <c r="K6" s="44">
        <f t="shared" si="4"/>
        <v>4500</v>
      </c>
      <c r="L6" s="23">
        <v>0</v>
      </c>
      <c r="M6" s="24">
        <f t="shared" si="1"/>
        <v>0</v>
      </c>
      <c r="N6" s="25">
        <v>10</v>
      </c>
      <c r="O6" s="22">
        <f t="shared" si="2"/>
        <v>500</v>
      </c>
      <c r="P6" s="24">
        <f t="shared" si="3"/>
        <v>1</v>
      </c>
    </row>
    <row r="7" spans="2:16" ht="24" customHeight="1" x14ac:dyDescent="0.25">
      <c r="B7" s="1">
        <v>5</v>
      </c>
      <c r="C7" s="6">
        <v>16621824</v>
      </c>
      <c r="D7" s="2" t="s">
        <v>4</v>
      </c>
      <c r="E7" s="2" t="s">
        <v>571</v>
      </c>
      <c r="F7" s="2">
        <v>3499704</v>
      </c>
      <c r="G7" s="35" t="s">
        <v>607</v>
      </c>
      <c r="H7">
        <v>5000</v>
      </c>
      <c r="I7" s="43">
        <f t="shared" si="0"/>
        <v>4750</v>
      </c>
      <c r="J7" s="3">
        <v>475</v>
      </c>
      <c r="K7" s="44">
        <f t="shared" si="4"/>
        <v>4275</v>
      </c>
      <c r="L7" s="23">
        <v>0.05</v>
      </c>
      <c r="M7" s="24">
        <f t="shared" si="1"/>
        <v>250</v>
      </c>
      <c r="N7" s="25">
        <v>10</v>
      </c>
      <c r="O7" s="22">
        <f t="shared" si="2"/>
        <v>475</v>
      </c>
      <c r="P7" s="24">
        <f t="shared" si="3"/>
        <v>1</v>
      </c>
    </row>
    <row r="8" spans="2:16" ht="24" customHeight="1" x14ac:dyDescent="0.25">
      <c r="B8" s="1">
        <v>6</v>
      </c>
      <c r="C8" s="6">
        <v>16448101</v>
      </c>
      <c r="D8" s="2" t="s">
        <v>5</v>
      </c>
      <c r="E8" s="2" t="s">
        <v>570</v>
      </c>
      <c r="F8" s="2">
        <v>7027063</v>
      </c>
      <c r="G8" s="35" t="s">
        <v>608</v>
      </c>
      <c r="H8">
        <v>5000</v>
      </c>
      <c r="I8" s="43">
        <f t="shared" si="0"/>
        <v>5000</v>
      </c>
      <c r="J8" s="3">
        <v>500</v>
      </c>
      <c r="K8" s="44">
        <f t="shared" si="4"/>
        <v>4500</v>
      </c>
      <c r="L8" s="23">
        <v>0</v>
      </c>
      <c r="M8" s="24">
        <f t="shared" si="1"/>
        <v>0</v>
      </c>
      <c r="N8" s="25">
        <v>10</v>
      </c>
      <c r="O8" s="22">
        <f t="shared" si="2"/>
        <v>500</v>
      </c>
      <c r="P8" s="24">
        <f t="shared" si="3"/>
        <v>1</v>
      </c>
    </row>
    <row r="9" spans="2:16" ht="24" customHeight="1" x14ac:dyDescent="0.25">
      <c r="B9" s="1">
        <v>7</v>
      </c>
      <c r="C9" s="6">
        <v>15586465</v>
      </c>
      <c r="D9" s="2" t="s">
        <v>6</v>
      </c>
      <c r="E9" s="2" t="s">
        <v>574</v>
      </c>
      <c r="F9" s="2">
        <v>4998737</v>
      </c>
      <c r="G9" s="35" t="s">
        <v>609</v>
      </c>
      <c r="H9">
        <v>5000</v>
      </c>
      <c r="I9" s="43">
        <f t="shared" si="0"/>
        <v>5000</v>
      </c>
      <c r="J9" s="3">
        <v>500</v>
      </c>
      <c r="K9" s="44">
        <f t="shared" si="4"/>
        <v>4500</v>
      </c>
      <c r="L9" s="23">
        <v>0</v>
      </c>
      <c r="M9" s="24">
        <f t="shared" si="1"/>
        <v>0</v>
      </c>
      <c r="N9" s="25">
        <v>10</v>
      </c>
      <c r="O9" s="22">
        <f t="shared" si="2"/>
        <v>500</v>
      </c>
      <c r="P9" s="24">
        <f t="shared" si="3"/>
        <v>1</v>
      </c>
    </row>
    <row r="10" spans="2:16" ht="24" customHeight="1" x14ac:dyDescent="0.25">
      <c r="B10" s="1">
        <v>7</v>
      </c>
      <c r="C10" s="6">
        <v>17117224</v>
      </c>
      <c r="D10" s="2" t="s">
        <v>7</v>
      </c>
      <c r="E10" s="2" t="s">
        <v>568</v>
      </c>
      <c r="F10" s="2">
        <v>4998737</v>
      </c>
      <c r="G10" s="35" t="s">
        <v>609</v>
      </c>
      <c r="H10">
        <v>5000</v>
      </c>
      <c r="I10" s="43">
        <f t="shared" si="0"/>
        <v>4750</v>
      </c>
      <c r="J10" s="3">
        <v>475</v>
      </c>
      <c r="K10" s="44">
        <f t="shared" si="4"/>
        <v>4275</v>
      </c>
      <c r="L10" s="23">
        <v>0.05</v>
      </c>
      <c r="M10" s="24">
        <f t="shared" si="1"/>
        <v>250</v>
      </c>
      <c r="N10" s="25">
        <v>10</v>
      </c>
      <c r="O10" s="22">
        <f t="shared" si="2"/>
        <v>475</v>
      </c>
      <c r="P10" s="24">
        <f t="shared" si="3"/>
        <v>1</v>
      </c>
    </row>
    <row r="11" spans="2:16" ht="24" customHeight="1" x14ac:dyDescent="0.25">
      <c r="B11" s="1">
        <v>8</v>
      </c>
      <c r="C11" s="6">
        <v>17045457</v>
      </c>
      <c r="D11" s="2" t="s">
        <v>8</v>
      </c>
      <c r="E11" s="2" t="s">
        <v>568</v>
      </c>
      <c r="F11" s="2">
        <v>6948757</v>
      </c>
      <c r="G11" s="35" t="s">
        <v>610</v>
      </c>
      <c r="H11">
        <v>5000</v>
      </c>
      <c r="I11" s="43">
        <f t="shared" si="0"/>
        <v>5000</v>
      </c>
      <c r="J11" s="3">
        <v>500</v>
      </c>
      <c r="K11" s="44">
        <f t="shared" si="4"/>
        <v>4500</v>
      </c>
      <c r="L11" s="23">
        <v>0</v>
      </c>
      <c r="M11" s="24">
        <f t="shared" si="1"/>
        <v>0</v>
      </c>
      <c r="N11" s="25">
        <v>10</v>
      </c>
      <c r="O11" s="22">
        <f t="shared" si="2"/>
        <v>500</v>
      </c>
      <c r="P11" s="24">
        <f t="shared" si="3"/>
        <v>1</v>
      </c>
    </row>
    <row r="12" spans="2:16" ht="24" customHeight="1" x14ac:dyDescent="0.25">
      <c r="B12" s="1">
        <v>9</v>
      </c>
      <c r="C12" s="6">
        <v>13547678</v>
      </c>
      <c r="D12" s="2" t="s">
        <v>9</v>
      </c>
      <c r="E12" s="2" t="s">
        <v>578</v>
      </c>
      <c r="F12" s="2">
        <v>6176086</v>
      </c>
      <c r="G12" s="35" t="s">
        <v>611</v>
      </c>
      <c r="H12">
        <v>5000</v>
      </c>
      <c r="I12" s="43">
        <f t="shared" si="0"/>
        <v>5000</v>
      </c>
      <c r="J12" s="3">
        <v>500</v>
      </c>
      <c r="K12" s="44">
        <f t="shared" si="4"/>
        <v>4500</v>
      </c>
      <c r="L12" s="23">
        <v>0</v>
      </c>
      <c r="M12" s="24">
        <f t="shared" si="1"/>
        <v>0</v>
      </c>
      <c r="N12" s="25">
        <v>10</v>
      </c>
      <c r="O12" s="22">
        <f t="shared" si="2"/>
        <v>500</v>
      </c>
      <c r="P12" s="24">
        <f t="shared" si="3"/>
        <v>1</v>
      </c>
    </row>
    <row r="13" spans="2:16" ht="24" customHeight="1" x14ac:dyDescent="0.25">
      <c r="B13" s="1">
        <v>9</v>
      </c>
      <c r="C13" s="6">
        <v>16389343</v>
      </c>
      <c r="D13" s="2" t="s">
        <v>10</v>
      </c>
      <c r="E13" s="2" t="s">
        <v>570</v>
      </c>
      <c r="F13" s="2">
        <v>6176086</v>
      </c>
      <c r="G13" s="35" t="s">
        <v>611</v>
      </c>
      <c r="H13">
        <v>5000</v>
      </c>
      <c r="I13" s="43">
        <f t="shared" si="0"/>
        <v>4750</v>
      </c>
      <c r="J13" s="45">
        <v>475</v>
      </c>
      <c r="K13" s="44">
        <f t="shared" si="4"/>
        <v>4275</v>
      </c>
      <c r="L13" s="23">
        <v>0.05</v>
      </c>
      <c r="M13" s="24">
        <f t="shared" si="1"/>
        <v>250</v>
      </c>
      <c r="N13" s="25">
        <v>10</v>
      </c>
      <c r="O13" s="22">
        <f t="shared" si="2"/>
        <v>475</v>
      </c>
      <c r="P13" s="24">
        <f t="shared" si="3"/>
        <v>1</v>
      </c>
    </row>
    <row r="14" spans="2:16" ht="24" customHeight="1" x14ac:dyDescent="0.25">
      <c r="B14" s="1">
        <v>10</v>
      </c>
      <c r="C14" s="6">
        <v>16253673</v>
      </c>
      <c r="D14" s="2" t="s">
        <v>11</v>
      </c>
      <c r="E14" s="2" t="s">
        <v>570</v>
      </c>
      <c r="F14" s="2">
        <v>7027846</v>
      </c>
      <c r="G14" s="35" t="s">
        <v>612</v>
      </c>
      <c r="H14">
        <v>5000</v>
      </c>
      <c r="I14" s="43">
        <f t="shared" si="0"/>
        <v>4750</v>
      </c>
      <c r="J14" s="45">
        <v>4750</v>
      </c>
      <c r="K14" s="44">
        <f t="shared" si="4"/>
        <v>0</v>
      </c>
      <c r="L14" s="23">
        <v>0.05</v>
      </c>
      <c r="M14" s="24">
        <f t="shared" si="1"/>
        <v>250</v>
      </c>
      <c r="N14" s="25">
        <v>10</v>
      </c>
      <c r="O14" s="22">
        <f t="shared" si="2"/>
        <v>475</v>
      </c>
      <c r="P14" s="24">
        <f t="shared" si="3"/>
        <v>10</v>
      </c>
    </row>
    <row r="15" spans="2:16" ht="24" customHeight="1" x14ac:dyDescent="0.25">
      <c r="B15" s="1">
        <v>11</v>
      </c>
      <c r="C15" s="6">
        <v>14782532</v>
      </c>
      <c r="D15" s="2" t="s">
        <v>12</v>
      </c>
      <c r="E15" s="2" t="s">
        <v>577</v>
      </c>
      <c r="F15" s="2">
        <v>9232888</v>
      </c>
      <c r="G15" s="35" t="s">
        <v>613</v>
      </c>
      <c r="H15">
        <v>5000</v>
      </c>
      <c r="I15" s="43">
        <f t="shared" si="0"/>
        <v>4750</v>
      </c>
      <c r="J15" s="3">
        <v>4750</v>
      </c>
      <c r="K15" s="44">
        <f t="shared" si="4"/>
        <v>0</v>
      </c>
      <c r="L15" s="23">
        <v>0.05</v>
      </c>
      <c r="M15" s="24">
        <f t="shared" si="1"/>
        <v>250</v>
      </c>
      <c r="N15" s="25">
        <v>10</v>
      </c>
      <c r="O15" s="22">
        <f t="shared" si="2"/>
        <v>475</v>
      </c>
      <c r="P15" s="24">
        <f t="shared" si="3"/>
        <v>10</v>
      </c>
    </row>
    <row r="16" spans="2:16" ht="24" customHeight="1" x14ac:dyDescent="0.25">
      <c r="B16" s="1">
        <v>11</v>
      </c>
      <c r="C16" s="6">
        <v>16785102</v>
      </c>
      <c r="D16" s="2" t="s">
        <v>13</v>
      </c>
      <c r="E16" s="2" t="s">
        <v>570</v>
      </c>
      <c r="F16" s="2">
        <v>9232888</v>
      </c>
      <c r="G16" s="35" t="s">
        <v>613</v>
      </c>
      <c r="H16">
        <v>5000</v>
      </c>
      <c r="I16" s="43">
        <f t="shared" si="0"/>
        <v>4750</v>
      </c>
      <c r="J16" s="3">
        <v>4750</v>
      </c>
      <c r="K16" s="44">
        <f t="shared" si="4"/>
        <v>0</v>
      </c>
      <c r="L16" s="23">
        <v>0.05</v>
      </c>
      <c r="M16" s="24">
        <f t="shared" si="1"/>
        <v>250</v>
      </c>
      <c r="N16" s="25">
        <v>10</v>
      </c>
      <c r="O16" s="22">
        <f t="shared" si="2"/>
        <v>475</v>
      </c>
      <c r="P16" s="24">
        <f t="shared" si="3"/>
        <v>10</v>
      </c>
    </row>
    <row r="17" spans="2:16" ht="24" customHeight="1" x14ac:dyDescent="0.25">
      <c r="B17" s="1">
        <v>12</v>
      </c>
      <c r="C17" s="6">
        <v>15089834</v>
      </c>
      <c r="D17" s="2" t="s">
        <v>14</v>
      </c>
      <c r="E17" s="2" t="s">
        <v>565</v>
      </c>
      <c r="F17" s="2">
        <v>7091761</v>
      </c>
      <c r="G17" s="35" t="s">
        <v>608</v>
      </c>
      <c r="H17">
        <v>5000</v>
      </c>
      <c r="I17" s="43">
        <f t="shared" si="0"/>
        <v>5000</v>
      </c>
      <c r="J17" s="3">
        <v>500</v>
      </c>
      <c r="K17" s="44">
        <f t="shared" si="4"/>
        <v>4500</v>
      </c>
      <c r="L17" s="23">
        <v>0</v>
      </c>
      <c r="M17" s="24">
        <f t="shared" si="1"/>
        <v>0</v>
      </c>
      <c r="N17" s="25">
        <v>10</v>
      </c>
      <c r="O17" s="22">
        <f t="shared" si="2"/>
        <v>500</v>
      </c>
      <c r="P17" s="24">
        <f t="shared" si="3"/>
        <v>1</v>
      </c>
    </row>
    <row r="18" spans="2:16" ht="24" customHeight="1" x14ac:dyDescent="0.25">
      <c r="B18" s="1">
        <v>13</v>
      </c>
      <c r="C18" s="6">
        <v>15813227</v>
      </c>
      <c r="D18" s="2" t="s">
        <v>15</v>
      </c>
      <c r="E18" s="2" t="s">
        <v>566</v>
      </c>
      <c r="F18" s="2">
        <v>6000259</v>
      </c>
      <c r="G18" s="35" t="s">
        <v>614</v>
      </c>
      <c r="H18">
        <v>5000</v>
      </c>
      <c r="I18" s="43">
        <f t="shared" si="0"/>
        <v>5000</v>
      </c>
      <c r="J18" s="3">
        <v>500</v>
      </c>
      <c r="K18" s="44">
        <f t="shared" si="4"/>
        <v>4500</v>
      </c>
      <c r="L18" s="23">
        <v>0</v>
      </c>
      <c r="M18" s="24">
        <f t="shared" si="1"/>
        <v>0</v>
      </c>
      <c r="N18" s="25">
        <v>10</v>
      </c>
      <c r="O18" s="22">
        <f t="shared" si="2"/>
        <v>500</v>
      </c>
      <c r="P18" s="24">
        <f t="shared" si="3"/>
        <v>1</v>
      </c>
    </row>
    <row r="19" spans="2:16" ht="24" customHeight="1" x14ac:dyDescent="0.25">
      <c r="B19" s="1">
        <v>14</v>
      </c>
      <c r="C19" s="6">
        <v>16339246</v>
      </c>
      <c r="D19" s="2" t="s">
        <v>16</v>
      </c>
      <c r="E19" s="2" t="s">
        <v>565</v>
      </c>
      <c r="F19" s="2">
        <v>3304308015</v>
      </c>
      <c r="G19" s="35" t="s">
        <v>615</v>
      </c>
      <c r="H19">
        <v>5000</v>
      </c>
      <c r="I19" s="43">
        <f t="shared" si="0"/>
        <v>5000</v>
      </c>
      <c r="J19" s="3">
        <v>500</v>
      </c>
      <c r="K19" s="44">
        <f t="shared" si="4"/>
        <v>4500</v>
      </c>
      <c r="L19" s="23">
        <v>0</v>
      </c>
      <c r="M19" s="24">
        <f t="shared" si="1"/>
        <v>0</v>
      </c>
      <c r="N19" s="25">
        <v>10</v>
      </c>
      <c r="O19" s="22">
        <f t="shared" si="2"/>
        <v>500</v>
      </c>
      <c r="P19" s="24">
        <f t="shared" si="3"/>
        <v>1</v>
      </c>
    </row>
    <row r="20" spans="2:16" ht="24" customHeight="1" x14ac:dyDescent="0.25">
      <c r="B20" s="1">
        <v>14</v>
      </c>
      <c r="C20" s="6">
        <v>16620177</v>
      </c>
      <c r="D20" s="2" t="s">
        <v>17</v>
      </c>
      <c r="E20" s="2" t="s">
        <v>567</v>
      </c>
      <c r="F20" s="2">
        <v>3304308015</v>
      </c>
      <c r="G20" s="35" t="s">
        <v>615</v>
      </c>
      <c r="H20">
        <v>5000</v>
      </c>
      <c r="I20" s="43">
        <f t="shared" si="0"/>
        <v>4750</v>
      </c>
      <c r="J20" s="3">
        <v>475</v>
      </c>
      <c r="K20" s="44">
        <f t="shared" si="4"/>
        <v>4275</v>
      </c>
      <c r="L20" s="23">
        <v>0.05</v>
      </c>
      <c r="M20" s="24">
        <f t="shared" si="1"/>
        <v>250</v>
      </c>
      <c r="N20" s="25">
        <v>10</v>
      </c>
      <c r="O20" s="22">
        <f t="shared" si="2"/>
        <v>475</v>
      </c>
      <c r="P20" s="24">
        <f t="shared" si="3"/>
        <v>1</v>
      </c>
    </row>
    <row r="21" spans="2:16" ht="24" customHeight="1" x14ac:dyDescent="0.25">
      <c r="B21" s="1">
        <v>15</v>
      </c>
      <c r="C21" s="6">
        <v>17403184</v>
      </c>
      <c r="D21" s="2" t="s">
        <v>18</v>
      </c>
      <c r="E21" s="2" t="s">
        <v>568</v>
      </c>
      <c r="F21" s="2">
        <v>10033160011</v>
      </c>
      <c r="G21" s="35" t="s">
        <v>616</v>
      </c>
      <c r="H21">
        <v>5000</v>
      </c>
      <c r="I21" s="43">
        <f t="shared" si="0"/>
        <v>5000</v>
      </c>
      <c r="J21" s="3">
        <v>500</v>
      </c>
      <c r="K21" s="44">
        <f t="shared" si="4"/>
        <v>4500</v>
      </c>
      <c r="L21" s="23">
        <v>0</v>
      </c>
      <c r="M21" s="24">
        <f t="shared" si="1"/>
        <v>0</v>
      </c>
      <c r="N21" s="25">
        <v>10</v>
      </c>
      <c r="O21" s="22">
        <f t="shared" si="2"/>
        <v>500</v>
      </c>
      <c r="P21" s="24">
        <f t="shared" si="3"/>
        <v>1</v>
      </c>
    </row>
    <row r="22" spans="2:16" ht="24" customHeight="1" x14ac:dyDescent="0.25">
      <c r="B22" s="1">
        <v>16</v>
      </c>
      <c r="C22" s="6">
        <v>15959748</v>
      </c>
      <c r="D22" s="2" t="s">
        <v>19</v>
      </c>
      <c r="E22" s="2" t="s">
        <v>569</v>
      </c>
      <c r="F22" s="2">
        <v>6181264</v>
      </c>
      <c r="G22" s="35" t="s">
        <v>617</v>
      </c>
      <c r="H22">
        <v>5000</v>
      </c>
      <c r="I22" s="43">
        <f t="shared" si="0"/>
        <v>5000</v>
      </c>
      <c r="J22" s="3">
        <v>500</v>
      </c>
      <c r="K22" s="44">
        <f t="shared" si="4"/>
        <v>4500</v>
      </c>
      <c r="L22" s="23">
        <v>0</v>
      </c>
      <c r="M22" s="24">
        <f t="shared" si="1"/>
        <v>0</v>
      </c>
      <c r="N22" s="25">
        <v>10</v>
      </c>
      <c r="O22" s="22">
        <f t="shared" si="2"/>
        <v>500</v>
      </c>
      <c r="P22" s="24">
        <f t="shared" si="3"/>
        <v>1</v>
      </c>
    </row>
    <row r="23" spans="2:16" ht="24" customHeight="1" x14ac:dyDescent="0.25">
      <c r="B23" s="1">
        <v>16</v>
      </c>
      <c r="C23" s="6">
        <v>16940234</v>
      </c>
      <c r="D23" s="2" t="s">
        <v>20</v>
      </c>
      <c r="E23" s="2" t="s">
        <v>568</v>
      </c>
      <c r="F23" s="2">
        <v>6181264</v>
      </c>
      <c r="G23" s="35" t="s">
        <v>617</v>
      </c>
      <c r="H23">
        <v>5000</v>
      </c>
      <c r="I23" s="43">
        <f t="shared" si="0"/>
        <v>4750</v>
      </c>
      <c r="J23" s="3">
        <v>475</v>
      </c>
      <c r="K23" s="44">
        <f t="shared" si="4"/>
        <v>4275</v>
      </c>
      <c r="L23" s="23">
        <v>0.05</v>
      </c>
      <c r="M23" s="24">
        <f t="shared" si="1"/>
        <v>250</v>
      </c>
      <c r="N23" s="25">
        <v>10</v>
      </c>
      <c r="O23" s="22">
        <f t="shared" si="2"/>
        <v>475</v>
      </c>
      <c r="P23" s="24">
        <f t="shared" si="3"/>
        <v>1</v>
      </c>
    </row>
    <row r="24" spans="2:16" ht="24" customHeight="1" x14ac:dyDescent="0.25">
      <c r="B24" s="1">
        <v>17</v>
      </c>
      <c r="C24" s="6">
        <v>13314588</v>
      </c>
      <c r="D24" s="2" t="s">
        <v>21</v>
      </c>
      <c r="E24" s="2" t="s">
        <v>565</v>
      </c>
      <c r="F24" s="2">
        <v>6097517</v>
      </c>
      <c r="G24" s="35" t="s">
        <v>618</v>
      </c>
      <c r="H24">
        <v>5000</v>
      </c>
      <c r="I24" s="43">
        <f t="shared" si="0"/>
        <v>5000</v>
      </c>
      <c r="J24" s="3">
        <v>500</v>
      </c>
      <c r="K24" s="44">
        <f t="shared" si="4"/>
        <v>4500</v>
      </c>
      <c r="L24" s="23">
        <v>0</v>
      </c>
      <c r="M24" s="24">
        <f t="shared" si="1"/>
        <v>0</v>
      </c>
      <c r="N24" s="25">
        <v>10</v>
      </c>
      <c r="O24" s="22">
        <f t="shared" si="2"/>
        <v>500</v>
      </c>
      <c r="P24" s="24">
        <f t="shared" si="3"/>
        <v>1</v>
      </c>
    </row>
    <row r="25" spans="2:16" ht="24" customHeight="1" x14ac:dyDescent="0.25">
      <c r="B25" s="1">
        <v>18</v>
      </c>
      <c r="C25" s="6">
        <v>16454793</v>
      </c>
      <c r="D25" s="2" t="s">
        <v>22</v>
      </c>
      <c r="E25" s="2" t="s">
        <v>570</v>
      </c>
      <c r="F25" s="2">
        <v>9327796013</v>
      </c>
      <c r="G25" s="35" t="s">
        <v>619</v>
      </c>
      <c r="H25">
        <v>5000</v>
      </c>
      <c r="I25" s="43">
        <f t="shared" si="0"/>
        <v>5000</v>
      </c>
      <c r="J25" s="3">
        <v>500</v>
      </c>
      <c r="K25" s="44">
        <f t="shared" si="4"/>
        <v>4500</v>
      </c>
      <c r="L25" s="23">
        <v>0</v>
      </c>
      <c r="M25" s="24">
        <f t="shared" si="1"/>
        <v>0</v>
      </c>
      <c r="N25" s="25">
        <v>10</v>
      </c>
      <c r="O25" s="22">
        <f t="shared" si="2"/>
        <v>500</v>
      </c>
      <c r="P25" s="24">
        <f t="shared" si="3"/>
        <v>1</v>
      </c>
    </row>
    <row r="26" spans="2:16" ht="24" customHeight="1" x14ac:dyDescent="0.25">
      <c r="B26" s="1">
        <v>19</v>
      </c>
      <c r="C26" s="6">
        <v>16496493</v>
      </c>
      <c r="D26" s="2" t="s">
        <v>23</v>
      </c>
      <c r="E26" s="2" t="s">
        <v>571</v>
      </c>
      <c r="F26" s="2">
        <v>16496493</v>
      </c>
      <c r="G26" s="35" t="s">
        <v>620</v>
      </c>
      <c r="H26">
        <v>5000</v>
      </c>
      <c r="I26" s="43">
        <f t="shared" si="0"/>
        <v>5000</v>
      </c>
      <c r="J26" s="3">
        <v>500</v>
      </c>
      <c r="K26" s="44">
        <f t="shared" si="4"/>
        <v>4500</v>
      </c>
      <c r="L26" s="23">
        <v>0</v>
      </c>
      <c r="M26" s="24">
        <f t="shared" si="1"/>
        <v>0</v>
      </c>
      <c r="N26" s="25">
        <v>10</v>
      </c>
      <c r="O26" s="22">
        <f t="shared" si="2"/>
        <v>500</v>
      </c>
      <c r="P26" s="24">
        <f t="shared" si="3"/>
        <v>1</v>
      </c>
    </row>
    <row r="27" spans="2:16" ht="24" customHeight="1" x14ac:dyDescent="0.25">
      <c r="B27" s="1">
        <v>20</v>
      </c>
      <c r="C27" s="6">
        <v>16379517</v>
      </c>
      <c r="D27" s="2" t="s">
        <v>24</v>
      </c>
      <c r="E27" s="2" t="s">
        <v>570</v>
      </c>
      <c r="F27" s="2">
        <v>7040445</v>
      </c>
      <c r="G27" s="35" t="s">
        <v>617</v>
      </c>
      <c r="H27">
        <v>5000</v>
      </c>
      <c r="I27" s="43">
        <f t="shared" si="0"/>
        <v>5000</v>
      </c>
      <c r="J27" s="3">
        <v>500</v>
      </c>
      <c r="K27" s="44">
        <f t="shared" si="4"/>
        <v>4500</v>
      </c>
      <c r="L27" s="23">
        <v>0</v>
      </c>
      <c r="M27" s="24">
        <f t="shared" si="1"/>
        <v>0</v>
      </c>
      <c r="N27" s="25">
        <v>10</v>
      </c>
      <c r="O27" s="22">
        <f t="shared" si="2"/>
        <v>500</v>
      </c>
      <c r="P27" s="24">
        <f t="shared" si="3"/>
        <v>1</v>
      </c>
    </row>
    <row r="28" spans="2:16" ht="24" customHeight="1" x14ac:dyDescent="0.25">
      <c r="B28" s="1">
        <v>21</v>
      </c>
      <c r="C28" s="6">
        <v>16022173</v>
      </c>
      <c r="D28" s="2" t="s">
        <v>25</v>
      </c>
      <c r="E28" s="2" t="s">
        <v>570</v>
      </c>
      <c r="F28" s="2">
        <v>8281998</v>
      </c>
      <c r="G28" s="35" t="s">
        <v>621</v>
      </c>
      <c r="H28">
        <v>5000</v>
      </c>
      <c r="I28" s="43">
        <f t="shared" si="0"/>
        <v>5000</v>
      </c>
      <c r="J28" s="3">
        <v>500</v>
      </c>
      <c r="K28" s="44">
        <f t="shared" si="4"/>
        <v>4500</v>
      </c>
      <c r="L28" s="23">
        <v>0</v>
      </c>
      <c r="M28" s="24">
        <f t="shared" si="1"/>
        <v>0</v>
      </c>
      <c r="N28" s="25">
        <v>10</v>
      </c>
      <c r="O28" s="22">
        <f t="shared" si="2"/>
        <v>500</v>
      </c>
      <c r="P28" s="24">
        <f t="shared" si="3"/>
        <v>1</v>
      </c>
    </row>
    <row r="29" spans="2:16" ht="24" customHeight="1" x14ac:dyDescent="0.25">
      <c r="B29" s="1">
        <v>22</v>
      </c>
      <c r="C29" s="6">
        <v>16286748</v>
      </c>
      <c r="D29" s="2" t="s">
        <v>26</v>
      </c>
      <c r="E29" s="2" t="s">
        <v>570</v>
      </c>
      <c r="F29" s="2">
        <v>7902108012</v>
      </c>
      <c r="G29" s="35" t="s">
        <v>622</v>
      </c>
      <c r="H29">
        <v>5000</v>
      </c>
      <c r="I29" s="43">
        <f t="shared" si="0"/>
        <v>4750</v>
      </c>
      <c r="J29" s="3">
        <v>4750</v>
      </c>
      <c r="K29" s="44">
        <f t="shared" si="4"/>
        <v>0</v>
      </c>
      <c r="L29" s="23">
        <v>0.05</v>
      </c>
      <c r="M29" s="24">
        <f t="shared" si="1"/>
        <v>250</v>
      </c>
      <c r="N29" s="25">
        <v>10</v>
      </c>
      <c r="O29" s="22">
        <f t="shared" si="2"/>
        <v>475</v>
      </c>
      <c r="P29" s="24">
        <f t="shared" si="3"/>
        <v>10</v>
      </c>
    </row>
    <row r="30" spans="2:16" ht="24" customHeight="1" x14ac:dyDescent="0.25">
      <c r="B30" s="1">
        <v>23</v>
      </c>
      <c r="C30" s="6">
        <v>16250279</v>
      </c>
      <c r="D30" s="2" t="s">
        <v>27</v>
      </c>
      <c r="E30" s="2" t="s">
        <v>570</v>
      </c>
      <c r="F30" s="2">
        <v>6142638</v>
      </c>
      <c r="G30" s="35" t="s">
        <v>623</v>
      </c>
      <c r="H30">
        <v>5000</v>
      </c>
      <c r="I30" s="43">
        <f t="shared" si="0"/>
        <v>4750</v>
      </c>
      <c r="J30" s="3">
        <v>4750</v>
      </c>
      <c r="K30" s="44">
        <f t="shared" si="4"/>
        <v>0</v>
      </c>
      <c r="L30" s="23">
        <v>0.05</v>
      </c>
      <c r="M30" s="24">
        <f t="shared" si="1"/>
        <v>250</v>
      </c>
      <c r="N30" s="25">
        <v>10</v>
      </c>
      <c r="O30" s="22">
        <f t="shared" si="2"/>
        <v>475</v>
      </c>
      <c r="P30" s="24">
        <f t="shared" si="3"/>
        <v>10</v>
      </c>
    </row>
    <row r="31" spans="2:16" ht="24" customHeight="1" x14ac:dyDescent="0.25">
      <c r="B31" s="1">
        <v>23</v>
      </c>
      <c r="C31" s="6">
        <v>15133910</v>
      </c>
      <c r="D31" s="2" t="s">
        <v>28</v>
      </c>
      <c r="E31" s="2" t="s">
        <v>572</v>
      </c>
      <c r="F31" s="2">
        <v>6142638</v>
      </c>
      <c r="G31" s="35" t="s">
        <v>623</v>
      </c>
      <c r="H31">
        <v>5000</v>
      </c>
      <c r="I31" s="43">
        <f t="shared" si="0"/>
        <v>4750</v>
      </c>
      <c r="J31" s="3">
        <v>4750</v>
      </c>
      <c r="K31" s="44">
        <f t="shared" si="4"/>
        <v>0</v>
      </c>
      <c r="L31" s="23">
        <v>0.05</v>
      </c>
      <c r="M31" s="24">
        <f t="shared" si="1"/>
        <v>250</v>
      </c>
      <c r="N31" s="25">
        <v>10</v>
      </c>
      <c r="O31" s="22">
        <f t="shared" si="2"/>
        <v>475</v>
      </c>
      <c r="P31" s="24">
        <f t="shared" si="3"/>
        <v>10</v>
      </c>
    </row>
    <row r="32" spans="2:16" ht="24" customHeight="1" x14ac:dyDescent="0.25">
      <c r="B32" s="1">
        <v>24</v>
      </c>
      <c r="C32" s="6">
        <v>14401020</v>
      </c>
      <c r="D32" s="2" t="s">
        <v>29</v>
      </c>
      <c r="E32" s="2" t="s">
        <v>565</v>
      </c>
      <c r="F32" s="2">
        <v>9216980</v>
      </c>
      <c r="G32" s="35" t="s">
        <v>624</v>
      </c>
      <c r="H32">
        <v>5000</v>
      </c>
      <c r="I32" s="43">
        <f t="shared" si="0"/>
        <v>4750</v>
      </c>
      <c r="J32" s="3">
        <v>4750</v>
      </c>
      <c r="K32" s="44">
        <f t="shared" si="4"/>
        <v>0</v>
      </c>
      <c r="L32" s="23">
        <v>0.05</v>
      </c>
      <c r="M32" s="24">
        <f t="shared" si="1"/>
        <v>250</v>
      </c>
      <c r="N32" s="25">
        <v>10</v>
      </c>
      <c r="O32" s="22">
        <f t="shared" si="2"/>
        <v>475</v>
      </c>
      <c r="P32" s="24">
        <f t="shared" si="3"/>
        <v>10</v>
      </c>
    </row>
    <row r="33" spans="2:16" ht="24" customHeight="1" x14ac:dyDescent="0.25">
      <c r="B33" s="1">
        <v>25</v>
      </c>
      <c r="C33" s="6">
        <v>14823947</v>
      </c>
      <c r="D33" s="2" t="s">
        <v>30</v>
      </c>
      <c r="E33" s="2" t="s">
        <v>573</v>
      </c>
      <c r="F33" s="2">
        <v>6076021</v>
      </c>
      <c r="G33" s="35" t="s">
        <v>625</v>
      </c>
      <c r="H33">
        <v>5000</v>
      </c>
      <c r="I33" s="43">
        <f t="shared" si="0"/>
        <v>4750</v>
      </c>
      <c r="J33" s="3">
        <v>4750</v>
      </c>
      <c r="K33" s="44">
        <f t="shared" si="4"/>
        <v>0</v>
      </c>
      <c r="L33" s="23">
        <v>0.05</v>
      </c>
      <c r="M33" s="24">
        <f t="shared" si="1"/>
        <v>250</v>
      </c>
      <c r="N33" s="25">
        <v>10</v>
      </c>
      <c r="O33" s="22">
        <f t="shared" si="2"/>
        <v>475</v>
      </c>
      <c r="P33" s="24">
        <f t="shared" si="3"/>
        <v>10</v>
      </c>
    </row>
    <row r="34" spans="2:16" ht="24" customHeight="1" x14ac:dyDescent="0.25">
      <c r="B34" s="1">
        <v>26</v>
      </c>
      <c r="C34" s="6">
        <v>16374409</v>
      </c>
      <c r="D34" s="2" t="s">
        <v>31</v>
      </c>
      <c r="E34" s="2" t="s">
        <v>570</v>
      </c>
      <c r="F34" s="2">
        <v>6888300</v>
      </c>
      <c r="G34" s="35" t="s">
        <v>617</v>
      </c>
      <c r="H34">
        <v>5000</v>
      </c>
      <c r="I34" s="43">
        <f t="shared" si="0"/>
        <v>4750</v>
      </c>
      <c r="J34" s="3">
        <v>4750</v>
      </c>
      <c r="K34" s="44">
        <f t="shared" si="4"/>
        <v>0</v>
      </c>
      <c r="L34" s="23">
        <v>0.05</v>
      </c>
      <c r="M34" s="24">
        <f t="shared" si="1"/>
        <v>250</v>
      </c>
      <c r="N34" s="25">
        <v>10</v>
      </c>
      <c r="O34" s="22">
        <f t="shared" si="2"/>
        <v>475</v>
      </c>
      <c r="P34" s="24">
        <f t="shared" si="3"/>
        <v>10</v>
      </c>
    </row>
    <row r="35" spans="2:16" ht="24" customHeight="1" x14ac:dyDescent="0.25">
      <c r="B35" s="1">
        <v>27</v>
      </c>
      <c r="C35" s="6">
        <v>14906176</v>
      </c>
      <c r="D35" s="2" t="s">
        <v>32</v>
      </c>
      <c r="E35" s="2" t="s">
        <v>574</v>
      </c>
      <c r="F35" s="2">
        <v>6040789</v>
      </c>
      <c r="G35" s="35" t="s">
        <v>608</v>
      </c>
      <c r="H35">
        <v>5000</v>
      </c>
      <c r="I35" s="43">
        <f t="shared" si="0"/>
        <v>5000</v>
      </c>
      <c r="J35" s="3">
        <v>500</v>
      </c>
      <c r="K35" s="44">
        <f t="shared" si="4"/>
        <v>4500</v>
      </c>
      <c r="L35" s="23">
        <v>0</v>
      </c>
      <c r="M35" s="24">
        <f t="shared" si="1"/>
        <v>0</v>
      </c>
      <c r="N35" s="25">
        <v>10</v>
      </c>
      <c r="O35" s="22">
        <f t="shared" si="2"/>
        <v>500</v>
      </c>
      <c r="P35" s="24">
        <f t="shared" si="3"/>
        <v>1</v>
      </c>
    </row>
    <row r="36" spans="2:16" ht="24" customHeight="1" x14ac:dyDescent="0.25">
      <c r="B36" s="1">
        <v>27</v>
      </c>
      <c r="C36" s="6">
        <v>14906177</v>
      </c>
      <c r="D36" s="2" t="s">
        <v>33</v>
      </c>
      <c r="E36" s="2" t="s">
        <v>573</v>
      </c>
      <c r="F36" s="2">
        <v>6040789</v>
      </c>
      <c r="G36" s="35" t="s">
        <v>608</v>
      </c>
      <c r="H36">
        <v>5000</v>
      </c>
      <c r="I36" s="43">
        <f t="shared" si="0"/>
        <v>4750</v>
      </c>
      <c r="J36" s="3">
        <v>475</v>
      </c>
      <c r="K36" s="44">
        <f t="shared" si="4"/>
        <v>4275</v>
      </c>
      <c r="L36" s="23">
        <v>0.05</v>
      </c>
      <c r="M36" s="24">
        <f t="shared" si="1"/>
        <v>250</v>
      </c>
      <c r="N36" s="25">
        <v>10</v>
      </c>
      <c r="O36" s="22">
        <f t="shared" si="2"/>
        <v>475</v>
      </c>
      <c r="P36" s="24">
        <f t="shared" si="3"/>
        <v>1</v>
      </c>
    </row>
    <row r="37" spans="2:16" ht="24" customHeight="1" x14ac:dyDescent="0.25">
      <c r="B37" s="1">
        <v>28</v>
      </c>
      <c r="C37" s="6">
        <v>16337118</v>
      </c>
      <c r="D37" s="2" t="s">
        <v>34</v>
      </c>
      <c r="E37" s="2" t="s">
        <v>565</v>
      </c>
      <c r="F37" s="2">
        <v>4954665017</v>
      </c>
      <c r="G37" s="35" t="s">
        <v>626</v>
      </c>
      <c r="H37">
        <v>5000</v>
      </c>
      <c r="I37" s="43">
        <f t="shared" si="0"/>
        <v>5000</v>
      </c>
      <c r="J37" s="3">
        <v>500</v>
      </c>
      <c r="K37" s="44">
        <f t="shared" si="4"/>
        <v>4500</v>
      </c>
      <c r="L37" s="23">
        <v>0</v>
      </c>
      <c r="M37" s="24">
        <f t="shared" si="1"/>
        <v>0</v>
      </c>
      <c r="N37" s="25">
        <v>10</v>
      </c>
      <c r="O37" s="22">
        <f t="shared" si="2"/>
        <v>500</v>
      </c>
      <c r="P37" s="24">
        <f t="shared" si="3"/>
        <v>1</v>
      </c>
    </row>
    <row r="38" spans="2:16" ht="24" customHeight="1" x14ac:dyDescent="0.25">
      <c r="B38" s="1">
        <v>29</v>
      </c>
      <c r="C38" s="6">
        <v>14797754</v>
      </c>
      <c r="D38" s="2" t="s">
        <v>35</v>
      </c>
      <c r="E38" s="2" t="s">
        <v>573</v>
      </c>
      <c r="F38" s="2">
        <v>6876631</v>
      </c>
      <c r="G38" s="35" t="s">
        <v>627</v>
      </c>
      <c r="H38">
        <v>5000</v>
      </c>
      <c r="I38" s="43">
        <f t="shared" si="0"/>
        <v>5000</v>
      </c>
      <c r="J38" s="3">
        <v>500</v>
      </c>
      <c r="K38" s="44">
        <f t="shared" si="4"/>
        <v>4500</v>
      </c>
      <c r="L38" s="23">
        <v>0</v>
      </c>
      <c r="M38" s="24">
        <f t="shared" si="1"/>
        <v>0</v>
      </c>
      <c r="N38" s="25">
        <v>10</v>
      </c>
      <c r="O38" s="22">
        <f t="shared" si="2"/>
        <v>500</v>
      </c>
      <c r="P38" s="24">
        <f t="shared" si="3"/>
        <v>1</v>
      </c>
    </row>
    <row r="39" spans="2:16" ht="24" customHeight="1" x14ac:dyDescent="0.25">
      <c r="B39" s="1">
        <v>29</v>
      </c>
      <c r="C39" s="6">
        <v>14797755</v>
      </c>
      <c r="D39" s="2" t="s">
        <v>36</v>
      </c>
      <c r="E39" s="2" t="s">
        <v>575</v>
      </c>
      <c r="F39" s="2">
        <v>6876631</v>
      </c>
      <c r="G39" s="35" t="s">
        <v>627</v>
      </c>
      <c r="H39">
        <v>5000</v>
      </c>
      <c r="I39" s="43">
        <f t="shared" si="0"/>
        <v>4750</v>
      </c>
      <c r="J39" s="3">
        <v>475</v>
      </c>
      <c r="K39" s="44">
        <f t="shared" si="4"/>
        <v>4275</v>
      </c>
      <c r="L39" s="23">
        <v>0.05</v>
      </c>
      <c r="M39" s="24">
        <f t="shared" si="1"/>
        <v>250</v>
      </c>
      <c r="N39" s="25">
        <v>10</v>
      </c>
      <c r="O39" s="22">
        <f t="shared" si="2"/>
        <v>475</v>
      </c>
      <c r="P39" s="24">
        <f t="shared" si="3"/>
        <v>1</v>
      </c>
    </row>
    <row r="40" spans="2:16" ht="24" customHeight="1" x14ac:dyDescent="0.25">
      <c r="B40" s="1">
        <v>29</v>
      </c>
      <c r="C40" s="6">
        <v>17193786</v>
      </c>
      <c r="D40" s="2" t="s">
        <v>37</v>
      </c>
      <c r="E40" s="2" t="s">
        <v>568</v>
      </c>
      <c r="F40" s="2">
        <v>6876631</v>
      </c>
      <c r="G40" s="35" t="s">
        <v>627</v>
      </c>
      <c r="H40">
        <v>5000</v>
      </c>
      <c r="I40" s="43">
        <f t="shared" si="0"/>
        <v>4500</v>
      </c>
      <c r="J40" s="3">
        <v>450</v>
      </c>
      <c r="K40" s="44">
        <f t="shared" si="4"/>
        <v>4050</v>
      </c>
      <c r="L40" s="23">
        <v>0.1</v>
      </c>
      <c r="M40" s="24">
        <f t="shared" si="1"/>
        <v>500</v>
      </c>
      <c r="N40" s="25">
        <v>10</v>
      </c>
      <c r="O40" s="22">
        <f t="shared" si="2"/>
        <v>450</v>
      </c>
      <c r="P40" s="24">
        <f t="shared" si="3"/>
        <v>1</v>
      </c>
    </row>
    <row r="41" spans="2:16" ht="24" customHeight="1" x14ac:dyDescent="0.25">
      <c r="B41" s="1">
        <v>30</v>
      </c>
      <c r="C41" s="6">
        <v>17317953</v>
      </c>
      <c r="D41" s="2" t="s">
        <v>38</v>
      </c>
      <c r="E41" s="2" t="s">
        <v>572</v>
      </c>
      <c r="F41" s="2">
        <v>4984455</v>
      </c>
      <c r="G41" s="35" t="s">
        <v>628</v>
      </c>
      <c r="H41">
        <v>5000</v>
      </c>
      <c r="I41" s="43">
        <f t="shared" si="0"/>
        <v>5000</v>
      </c>
      <c r="J41" s="3">
        <v>500</v>
      </c>
      <c r="K41" s="44">
        <f t="shared" si="4"/>
        <v>4500</v>
      </c>
      <c r="L41" s="23">
        <v>0</v>
      </c>
      <c r="M41" s="24">
        <f t="shared" si="1"/>
        <v>0</v>
      </c>
      <c r="N41" s="25">
        <v>10</v>
      </c>
      <c r="O41" s="22">
        <f t="shared" si="2"/>
        <v>500</v>
      </c>
      <c r="P41" s="24">
        <f t="shared" si="3"/>
        <v>1</v>
      </c>
    </row>
    <row r="42" spans="2:16" ht="24" customHeight="1" x14ac:dyDescent="0.25">
      <c r="B42" s="1">
        <v>30</v>
      </c>
      <c r="C42" s="6">
        <v>17593498</v>
      </c>
      <c r="D42" s="2" t="s">
        <v>39</v>
      </c>
      <c r="E42" s="2" t="s">
        <v>570</v>
      </c>
      <c r="F42" s="2">
        <v>4984455</v>
      </c>
      <c r="G42" s="35" t="s">
        <v>628</v>
      </c>
      <c r="H42">
        <v>5000</v>
      </c>
      <c r="I42" s="43">
        <f t="shared" si="0"/>
        <v>4750</v>
      </c>
      <c r="J42" s="3">
        <v>475</v>
      </c>
      <c r="K42" s="44">
        <f t="shared" si="4"/>
        <v>4275</v>
      </c>
      <c r="L42" s="23">
        <v>0.05</v>
      </c>
      <c r="M42" s="24">
        <f t="shared" si="1"/>
        <v>250</v>
      </c>
      <c r="N42" s="25">
        <v>10</v>
      </c>
      <c r="O42" s="22">
        <f t="shared" si="2"/>
        <v>475</v>
      </c>
      <c r="P42" s="24">
        <f t="shared" si="3"/>
        <v>1</v>
      </c>
    </row>
    <row r="43" spans="2:16" ht="24" customHeight="1" x14ac:dyDescent="0.25">
      <c r="B43" s="1">
        <v>31</v>
      </c>
      <c r="C43" s="6">
        <v>17066111</v>
      </c>
      <c r="D43" s="2" t="s">
        <v>40</v>
      </c>
      <c r="E43" s="2" t="s">
        <v>568</v>
      </c>
      <c r="F43" s="2">
        <v>7020409017</v>
      </c>
      <c r="G43" s="35" t="s">
        <v>629</v>
      </c>
      <c r="H43">
        <v>5000</v>
      </c>
      <c r="I43" s="43">
        <f t="shared" si="0"/>
        <v>5000</v>
      </c>
      <c r="J43" s="3">
        <v>500</v>
      </c>
      <c r="K43" s="44">
        <f t="shared" si="4"/>
        <v>4500</v>
      </c>
      <c r="L43" s="23">
        <v>0</v>
      </c>
      <c r="M43" s="24">
        <f t="shared" si="1"/>
        <v>0</v>
      </c>
      <c r="N43" s="25">
        <v>10</v>
      </c>
      <c r="O43" s="22">
        <f t="shared" si="2"/>
        <v>500</v>
      </c>
      <c r="P43" s="24">
        <f t="shared" si="3"/>
        <v>1</v>
      </c>
    </row>
    <row r="44" spans="2:16" ht="24" customHeight="1" x14ac:dyDescent="0.25">
      <c r="B44" s="1">
        <v>32</v>
      </c>
      <c r="C44" s="6">
        <v>13215065</v>
      </c>
      <c r="D44" s="2" t="s">
        <v>41</v>
      </c>
      <c r="E44" s="2" t="s">
        <v>566</v>
      </c>
      <c r="F44" s="2">
        <v>2708987</v>
      </c>
      <c r="G44" s="35" t="s">
        <v>630</v>
      </c>
      <c r="H44">
        <v>5000</v>
      </c>
      <c r="I44" s="43">
        <f t="shared" si="0"/>
        <v>5000</v>
      </c>
      <c r="J44" s="3">
        <v>500</v>
      </c>
      <c r="K44" s="44">
        <f t="shared" si="4"/>
        <v>4500</v>
      </c>
      <c r="L44" s="23">
        <v>0</v>
      </c>
      <c r="M44" s="24">
        <f t="shared" si="1"/>
        <v>0</v>
      </c>
      <c r="N44" s="25">
        <v>10</v>
      </c>
      <c r="O44" s="22">
        <f t="shared" si="2"/>
        <v>500</v>
      </c>
      <c r="P44" s="24">
        <f t="shared" si="3"/>
        <v>1</v>
      </c>
    </row>
    <row r="45" spans="2:16" ht="24" customHeight="1" x14ac:dyDescent="0.25">
      <c r="B45" s="1">
        <v>33</v>
      </c>
      <c r="C45" s="6">
        <v>15999492</v>
      </c>
      <c r="D45" s="2" t="s">
        <v>42</v>
      </c>
      <c r="E45" s="2" t="s">
        <v>570</v>
      </c>
      <c r="F45" s="2">
        <v>67470618</v>
      </c>
      <c r="G45" s="35" t="s">
        <v>631</v>
      </c>
      <c r="H45">
        <v>5000</v>
      </c>
      <c r="I45" s="43">
        <f t="shared" si="0"/>
        <v>5000</v>
      </c>
      <c r="J45" s="3">
        <v>500</v>
      </c>
      <c r="K45" s="44">
        <f t="shared" si="4"/>
        <v>4500</v>
      </c>
      <c r="L45" s="23">
        <v>0</v>
      </c>
      <c r="M45" s="24">
        <f t="shared" si="1"/>
        <v>0</v>
      </c>
      <c r="N45" s="25">
        <v>10</v>
      </c>
      <c r="O45" s="22">
        <f t="shared" si="2"/>
        <v>500</v>
      </c>
      <c r="P45" s="24">
        <f t="shared" si="3"/>
        <v>1</v>
      </c>
    </row>
    <row r="46" spans="2:16" ht="24" customHeight="1" x14ac:dyDescent="0.25">
      <c r="B46" s="1">
        <v>34</v>
      </c>
      <c r="C46" s="6">
        <v>16809164</v>
      </c>
      <c r="D46" s="2" t="s">
        <v>43</v>
      </c>
      <c r="E46" s="2" t="s">
        <v>571</v>
      </c>
      <c r="F46" s="2">
        <v>6954446018</v>
      </c>
      <c r="G46" s="35" t="s">
        <v>632</v>
      </c>
      <c r="H46">
        <v>5000</v>
      </c>
      <c r="I46" s="43">
        <f t="shared" si="0"/>
        <v>4750</v>
      </c>
      <c r="J46" s="3">
        <v>475</v>
      </c>
      <c r="K46" s="44">
        <f t="shared" si="4"/>
        <v>4275</v>
      </c>
      <c r="L46" s="23">
        <v>0.05</v>
      </c>
      <c r="M46" s="24">
        <f t="shared" si="1"/>
        <v>250</v>
      </c>
      <c r="N46" s="25">
        <v>10</v>
      </c>
      <c r="O46" s="22">
        <f t="shared" si="2"/>
        <v>475</v>
      </c>
      <c r="P46" s="24">
        <f t="shared" si="3"/>
        <v>1</v>
      </c>
    </row>
    <row r="47" spans="2:16" ht="24" customHeight="1" x14ac:dyDescent="0.25">
      <c r="B47" s="1">
        <v>34</v>
      </c>
      <c r="C47" s="6">
        <v>15390843</v>
      </c>
      <c r="D47" s="2" t="s">
        <v>44</v>
      </c>
      <c r="E47" s="2" t="s">
        <v>569</v>
      </c>
      <c r="F47" s="2">
        <v>6954446018</v>
      </c>
      <c r="G47" s="35" t="s">
        <v>632</v>
      </c>
      <c r="H47">
        <v>5000</v>
      </c>
      <c r="I47" s="43">
        <f t="shared" si="0"/>
        <v>5000</v>
      </c>
      <c r="J47" s="3">
        <v>500</v>
      </c>
      <c r="K47" s="44">
        <f t="shared" si="4"/>
        <v>4500</v>
      </c>
      <c r="L47" s="23">
        <v>0</v>
      </c>
      <c r="M47" s="24">
        <f t="shared" si="1"/>
        <v>0</v>
      </c>
      <c r="N47" s="25">
        <v>10</v>
      </c>
      <c r="O47" s="22">
        <f t="shared" si="2"/>
        <v>500</v>
      </c>
      <c r="P47" s="24">
        <f t="shared" si="3"/>
        <v>1</v>
      </c>
    </row>
    <row r="48" spans="2:16" ht="24" customHeight="1" x14ac:dyDescent="0.25">
      <c r="B48" s="1">
        <v>35</v>
      </c>
      <c r="C48" s="6">
        <v>14055344</v>
      </c>
      <c r="D48" s="2" t="s">
        <v>45</v>
      </c>
      <c r="E48" s="2" t="s">
        <v>573</v>
      </c>
      <c r="F48" s="2">
        <v>6973488</v>
      </c>
      <c r="G48" s="35" t="s">
        <v>633</v>
      </c>
      <c r="H48">
        <v>5000</v>
      </c>
      <c r="I48" s="43">
        <f t="shared" si="0"/>
        <v>5000</v>
      </c>
      <c r="J48" s="3">
        <v>500</v>
      </c>
      <c r="K48" s="44">
        <f t="shared" si="4"/>
        <v>4500</v>
      </c>
      <c r="L48" s="23">
        <v>0</v>
      </c>
      <c r="M48" s="24">
        <f t="shared" si="1"/>
        <v>0</v>
      </c>
      <c r="N48" s="25">
        <v>10</v>
      </c>
      <c r="O48" s="22">
        <f t="shared" si="2"/>
        <v>500</v>
      </c>
      <c r="P48" s="24">
        <f t="shared" si="3"/>
        <v>1</v>
      </c>
    </row>
    <row r="49" spans="2:16" ht="24" customHeight="1" x14ac:dyDescent="0.25">
      <c r="B49" s="1">
        <v>35</v>
      </c>
      <c r="C49" s="6">
        <v>17069540</v>
      </c>
      <c r="D49" s="2" t="s">
        <v>46</v>
      </c>
      <c r="E49" s="2" t="s">
        <v>572</v>
      </c>
      <c r="F49" s="2">
        <v>6973488</v>
      </c>
      <c r="G49" s="35" t="s">
        <v>634</v>
      </c>
      <c r="H49">
        <v>5000</v>
      </c>
      <c r="I49" s="43">
        <f t="shared" si="0"/>
        <v>4750</v>
      </c>
      <c r="J49" s="3">
        <v>475</v>
      </c>
      <c r="K49" s="44">
        <f t="shared" si="4"/>
        <v>4275</v>
      </c>
      <c r="L49" s="23">
        <v>0.05</v>
      </c>
      <c r="M49" s="24">
        <f t="shared" si="1"/>
        <v>250</v>
      </c>
      <c r="N49" s="25">
        <v>10</v>
      </c>
      <c r="O49" s="22">
        <f t="shared" si="2"/>
        <v>475</v>
      </c>
      <c r="P49" s="24">
        <f t="shared" si="3"/>
        <v>1</v>
      </c>
    </row>
    <row r="50" spans="2:16" ht="24" customHeight="1" x14ac:dyDescent="0.25">
      <c r="B50" s="1">
        <v>36</v>
      </c>
      <c r="C50" s="6">
        <v>13960305</v>
      </c>
      <c r="D50" s="2" t="s">
        <v>47</v>
      </c>
      <c r="E50" s="2" t="s">
        <v>574</v>
      </c>
      <c r="F50" s="2">
        <v>7029168</v>
      </c>
      <c r="G50" s="35" t="s">
        <v>635</v>
      </c>
      <c r="H50">
        <v>5000</v>
      </c>
      <c r="I50" s="43">
        <f t="shared" si="0"/>
        <v>5000</v>
      </c>
      <c r="J50" s="3">
        <v>500</v>
      </c>
      <c r="K50" s="44">
        <f t="shared" si="4"/>
        <v>4500</v>
      </c>
      <c r="L50" s="23">
        <v>0</v>
      </c>
      <c r="M50" s="24">
        <f t="shared" si="1"/>
        <v>0</v>
      </c>
      <c r="N50" s="25">
        <v>10</v>
      </c>
      <c r="O50" s="22">
        <f t="shared" si="2"/>
        <v>500</v>
      </c>
      <c r="P50" s="24">
        <f t="shared" si="3"/>
        <v>1</v>
      </c>
    </row>
    <row r="51" spans="2:16" ht="24" customHeight="1" x14ac:dyDescent="0.25">
      <c r="B51" s="1">
        <v>36</v>
      </c>
      <c r="C51" s="6">
        <v>15983380</v>
      </c>
      <c r="D51" s="2" t="s">
        <v>48</v>
      </c>
      <c r="E51" s="2" t="s">
        <v>570</v>
      </c>
      <c r="F51" s="2">
        <v>7029168</v>
      </c>
      <c r="G51" s="35" t="s">
        <v>635</v>
      </c>
      <c r="H51">
        <v>5000</v>
      </c>
      <c r="I51" s="43">
        <f t="shared" si="0"/>
        <v>4750</v>
      </c>
      <c r="J51" s="3">
        <v>475</v>
      </c>
      <c r="K51" s="44">
        <f t="shared" si="4"/>
        <v>4275</v>
      </c>
      <c r="L51" s="23">
        <v>0.05</v>
      </c>
      <c r="M51" s="24">
        <f t="shared" si="1"/>
        <v>250</v>
      </c>
      <c r="N51" s="25">
        <v>10</v>
      </c>
      <c r="O51" s="22">
        <f t="shared" si="2"/>
        <v>475</v>
      </c>
      <c r="P51" s="24">
        <f t="shared" si="3"/>
        <v>1</v>
      </c>
    </row>
    <row r="52" spans="2:16" ht="24" customHeight="1" x14ac:dyDescent="0.25">
      <c r="B52" s="1">
        <v>37</v>
      </c>
      <c r="C52" s="6">
        <v>16941496</v>
      </c>
      <c r="D52" s="2" t="s">
        <v>49</v>
      </c>
      <c r="E52" s="2" t="s">
        <v>571</v>
      </c>
      <c r="F52" s="2">
        <v>703981</v>
      </c>
      <c r="G52" s="35" t="s">
        <v>636</v>
      </c>
      <c r="H52">
        <v>5000</v>
      </c>
      <c r="I52" s="43">
        <f t="shared" si="0"/>
        <v>5000</v>
      </c>
      <c r="J52" s="3">
        <v>500</v>
      </c>
      <c r="K52" s="44">
        <f t="shared" si="4"/>
        <v>4500</v>
      </c>
      <c r="L52" s="23">
        <v>0</v>
      </c>
      <c r="M52" s="24">
        <f t="shared" si="1"/>
        <v>0</v>
      </c>
      <c r="N52" s="25">
        <v>10</v>
      </c>
      <c r="O52" s="22">
        <f t="shared" si="2"/>
        <v>500</v>
      </c>
      <c r="P52" s="24">
        <f t="shared" si="3"/>
        <v>1</v>
      </c>
    </row>
    <row r="53" spans="2:16" ht="24" customHeight="1" x14ac:dyDescent="0.25">
      <c r="B53" s="1">
        <v>38</v>
      </c>
      <c r="C53" s="6">
        <v>15567127</v>
      </c>
      <c r="D53" s="2" t="s">
        <v>50</v>
      </c>
      <c r="E53" s="2" t="s">
        <v>573</v>
      </c>
      <c r="F53" s="2">
        <v>6820264</v>
      </c>
      <c r="G53" s="35" t="s">
        <v>637</v>
      </c>
      <c r="H53">
        <v>5000</v>
      </c>
      <c r="I53" s="43">
        <f t="shared" si="0"/>
        <v>5000</v>
      </c>
      <c r="J53" s="3">
        <v>500</v>
      </c>
      <c r="K53" s="44">
        <f t="shared" si="4"/>
        <v>4500</v>
      </c>
      <c r="L53" s="23">
        <v>0</v>
      </c>
      <c r="M53" s="24">
        <f t="shared" si="1"/>
        <v>0</v>
      </c>
      <c r="N53" s="25">
        <v>10</v>
      </c>
      <c r="O53" s="22">
        <f t="shared" si="2"/>
        <v>500</v>
      </c>
      <c r="P53" s="24">
        <f t="shared" si="3"/>
        <v>1</v>
      </c>
    </row>
    <row r="54" spans="2:16" ht="24" customHeight="1" x14ac:dyDescent="0.25">
      <c r="B54" s="1">
        <v>39</v>
      </c>
      <c r="C54" s="6">
        <v>16860380</v>
      </c>
      <c r="D54" s="2" t="s">
        <v>51</v>
      </c>
      <c r="E54" s="2" t="s">
        <v>567</v>
      </c>
      <c r="F54" s="2">
        <v>6053416</v>
      </c>
      <c r="G54" s="35" t="s">
        <v>630</v>
      </c>
      <c r="H54">
        <v>5000</v>
      </c>
      <c r="I54" s="43">
        <f t="shared" si="0"/>
        <v>5000</v>
      </c>
      <c r="J54" s="3">
        <v>500</v>
      </c>
      <c r="K54" s="44">
        <f t="shared" si="4"/>
        <v>4500</v>
      </c>
      <c r="L54" s="23">
        <v>0</v>
      </c>
      <c r="M54" s="24">
        <f t="shared" si="1"/>
        <v>0</v>
      </c>
      <c r="N54" s="25">
        <v>10</v>
      </c>
      <c r="O54" s="22">
        <f t="shared" si="2"/>
        <v>500</v>
      </c>
      <c r="P54" s="24">
        <f t="shared" si="3"/>
        <v>1</v>
      </c>
    </row>
    <row r="55" spans="2:16" ht="24" customHeight="1" x14ac:dyDescent="0.25">
      <c r="B55" s="1">
        <v>39</v>
      </c>
      <c r="C55" s="6">
        <v>171484465</v>
      </c>
      <c r="D55" s="2" t="s">
        <v>52</v>
      </c>
      <c r="E55" s="2" t="s">
        <v>568</v>
      </c>
      <c r="F55" s="2">
        <v>6053416</v>
      </c>
      <c r="G55" s="35" t="s">
        <v>630</v>
      </c>
      <c r="H55">
        <v>5000</v>
      </c>
      <c r="I55" s="43">
        <f t="shared" si="0"/>
        <v>4750</v>
      </c>
      <c r="J55" s="3">
        <v>475</v>
      </c>
      <c r="K55" s="44">
        <f t="shared" si="4"/>
        <v>4275</v>
      </c>
      <c r="L55" s="23">
        <v>0.05</v>
      </c>
      <c r="M55" s="24">
        <f t="shared" si="1"/>
        <v>250</v>
      </c>
      <c r="N55" s="25">
        <v>10</v>
      </c>
      <c r="O55" s="22">
        <f t="shared" si="2"/>
        <v>475</v>
      </c>
      <c r="P55" s="24">
        <f t="shared" si="3"/>
        <v>1</v>
      </c>
    </row>
    <row r="56" spans="2:16" ht="24" customHeight="1" x14ac:dyDescent="0.25">
      <c r="B56" s="1">
        <v>40</v>
      </c>
      <c r="C56" s="6">
        <v>13299427</v>
      </c>
      <c r="D56" s="2" t="s">
        <v>53</v>
      </c>
      <c r="E56" s="2" t="s">
        <v>574</v>
      </c>
      <c r="F56" s="2">
        <v>6984165</v>
      </c>
      <c r="G56" s="35" t="s">
        <v>638</v>
      </c>
      <c r="H56">
        <v>5000</v>
      </c>
      <c r="I56" s="43">
        <f t="shared" si="0"/>
        <v>5000</v>
      </c>
      <c r="J56" s="3">
        <v>500</v>
      </c>
      <c r="K56" s="44">
        <f t="shared" si="4"/>
        <v>4500</v>
      </c>
      <c r="L56" s="23">
        <v>0</v>
      </c>
      <c r="M56" s="24">
        <f t="shared" si="1"/>
        <v>0</v>
      </c>
      <c r="N56" s="25">
        <v>10</v>
      </c>
      <c r="O56" s="22">
        <f t="shared" si="2"/>
        <v>500</v>
      </c>
      <c r="P56" s="24">
        <f t="shared" si="3"/>
        <v>1</v>
      </c>
    </row>
    <row r="57" spans="2:16" ht="24" customHeight="1" x14ac:dyDescent="0.25">
      <c r="B57" s="1">
        <v>41</v>
      </c>
      <c r="C57" s="6">
        <v>1615209</v>
      </c>
      <c r="D57" s="2" t="s">
        <v>54</v>
      </c>
      <c r="E57" s="2" t="s">
        <v>569</v>
      </c>
      <c r="F57" s="2">
        <v>4939510</v>
      </c>
      <c r="G57" s="35" t="s">
        <v>628</v>
      </c>
      <c r="H57">
        <v>5000</v>
      </c>
      <c r="I57" s="43">
        <f t="shared" si="0"/>
        <v>5000</v>
      </c>
      <c r="J57" s="3">
        <v>500</v>
      </c>
      <c r="K57" s="44">
        <f t="shared" si="4"/>
        <v>4500</v>
      </c>
      <c r="L57" s="23">
        <v>0</v>
      </c>
      <c r="M57" s="24">
        <f t="shared" si="1"/>
        <v>0</v>
      </c>
      <c r="N57" s="25">
        <v>10</v>
      </c>
      <c r="O57" s="22">
        <f t="shared" si="2"/>
        <v>500</v>
      </c>
      <c r="P57" s="24">
        <f t="shared" si="3"/>
        <v>1</v>
      </c>
    </row>
    <row r="58" spans="2:16" ht="24" customHeight="1" x14ac:dyDescent="0.25">
      <c r="B58" s="1">
        <v>41</v>
      </c>
      <c r="C58" s="6">
        <v>1615209</v>
      </c>
      <c r="D58" s="2" t="s">
        <v>55</v>
      </c>
      <c r="E58" s="2" t="s">
        <v>568</v>
      </c>
      <c r="F58" s="2">
        <v>4939510</v>
      </c>
      <c r="G58" s="35" t="s">
        <v>628</v>
      </c>
      <c r="H58">
        <v>5000</v>
      </c>
      <c r="I58" s="43">
        <f t="shared" si="0"/>
        <v>4750</v>
      </c>
      <c r="J58" s="3">
        <v>475</v>
      </c>
      <c r="K58" s="44">
        <f t="shared" si="4"/>
        <v>4275</v>
      </c>
      <c r="L58" s="23">
        <v>0.05</v>
      </c>
      <c r="M58" s="24">
        <f t="shared" si="1"/>
        <v>250</v>
      </c>
      <c r="N58" s="25">
        <v>10</v>
      </c>
      <c r="O58" s="22">
        <f t="shared" si="2"/>
        <v>475</v>
      </c>
      <c r="P58" s="24">
        <f t="shared" si="3"/>
        <v>1</v>
      </c>
    </row>
    <row r="59" spans="2:16" ht="24" customHeight="1" x14ac:dyDescent="0.25">
      <c r="B59" s="1">
        <v>42</v>
      </c>
      <c r="C59" s="6">
        <v>14046395</v>
      </c>
      <c r="D59" s="2" t="s">
        <v>56</v>
      </c>
      <c r="E59" s="2" t="s">
        <v>565</v>
      </c>
      <c r="F59" s="2">
        <v>5965976</v>
      </c>
      <c r="G59" s="35" t="s">
        <v>639</v>
      </c>
      <c r="H59">
        <v>5000</v>
      </c>
      <c r="I59" s="43">
        <f t="shared" si="0"/>
        <v>5000</v>
      </c>
      <c r="J59" s="3">
        <v>500</v>
      </c>
      <c r="K59" s="44">
        <f t="shared" si="4"/>
        <v>4500</v>
      </c>
      <c r="L59" s="23">
        <v>0</v>
      </c>
      <c r="M59" s="24">
        <f t="shared" si="1"/>
        <v>0</v>
      </c>
      <c r="N59" s="25">
        <v>10</v>
      </c>
      <c r="O59" s="22">
        <f t="shared" si="2"/>
        <v>500</v>
      </c>
      <c r="P59" s="24">
        <f t="shared" si="3"/>
        <v>1</v>
      </c>
    </row>
    <row r="60" spans="2:16" ht="24" customHeight="1" x14ac:dyDescent="0.25">
      <c r="B60" s="1">
        <v>42</v>
      </c>
      <c r="C60" s="6">
        <v>14046395</v>
      </c>
      <c r="D60" s="2" t="s">
        <v>57</v>
      </c>
      <c r="E60" s="2" t="s">
        <v>567</v>
      </c>
      <c r="F60" s="2">
        <v>5965976</v>
      </c>
      <c r="G60" s="35" t="s">
        <v>639</v>
      </c>
      <c r="H60">
        <v>5000</v>
      </c>
      <c r="I60" s="43">
        <f t="shared" si="0"/>
        <v>4750</v>
      </c>
      <c r="J60" s="3">
        <v>475</v>
      </c>
      <c r="K60" s="44">
        <f t="shared" si="4"/>
        <v>4275</v>
      </c>
      <c r="L60" s="23">
        <v>0.05</v>
      </c>
      <c r="M60" s="24">
        <f t="shared" si="1"/>
        <v>250</v>
      </c>
      <c r="N60" s="25">
        <v>10</v>
      </c>
      <c r="O60" s="22">
        <f t="shared" si="2"/>
        <v>475</v>
      </c>
      <c r="P60" s="24">
        <f t="shared" si="3"/>
        <v>1</v>
      </c>
    </row>
    <row r="61" spans="2:16" ht="24" customHeight="1" x14ac:dyDescent="0.25">
      <c r="B61" s="1">
        <v>43</v>
      </c>
      <c r="C61" s="6">
        <v>14046394</v>
      </c>
      <c r="D61" s="2" t="s">
        <v>58</v>
      </c>
      <c r="E61" s="2" t="s">
        <v>565</v>
      </c>
      <c r="F61" s="2">
        <v>4761692</v>
      </c>
      <c r="G61" s="35" t="s">
        <v>640</v>
      </c>
      <c r="H61">
        <v>5000</v>
      </c>
      <c r="I61" s="43">
        <f t="shared" si="0"/>
        <v>5000</v>
      </c>
      <c r="J61" s="3">
        <v>500</v>
      </c>
      <c r="K61" s="44">
        <f t="shared" si="4"/>
        <v>4500</v>
      </c>
      <c r="L61" s="23">
        <v>0</v>
      </c>
      <c r="M61" s="24">
        <f t="shared" si="1"/>
        <v>0</v>
      </c>
      <c r="N61" s="25">
        <v>10</v>
      </c>
      <c r="O61" s="22">
        <f t="shared" si="2"/>
        <v>500</v>
      </c>
      <c r="P61" s="24">
        <f t="shared" si="3"/>
        <v>1</v>
      </c>
    </row>
    <row r="62" spans="2:16" ht="24" customHeight="1" x14ac:dyDescent="0.25">
      <c r="B62" s="1">
        <v>44</v>
      </c>
      <c r="C62" s="6">
        <v>17591895</v>
      </c>
      <c r="D62" s="2" t="s">
        <v>59</v>
      </c>
      <c r="E62" s="2" t="s">
        <v>570</v>
      </c>
      <c r="F62" s="2">
        <v>4815056015</v>
      </c>
      <c r="G62" s="35" t="s">
        <v>641</v>
      </c>
      <c r="H62">
        <v>5000</v>
      </c>
      <c r="I62" s="43">
        <f t="shared" si="0"/>
        <v>5000</v>
      </c>
      <c r="J62" s="3">
        <v>500</v>
      </c>
      <c r="K62" s="44">
        <f t="shared" si="4"/>
        <v>4500</v>
      </c>
      <c r="L62" s="23">
        <v>0</v>
      </c>
      <c r="M62" s="24">
        <f t="shared" si="1"/>
        <v>0</v>
      </c>
      <c r="N62" s="25">
        <v>10</v>
      </c>
      <c r="O62" s="22">
        <f t="shared" si="2"/>
        <v>500</v>
      </c>
      <c r="P62" s="24">
        <f t="shared" si="3"/>
        <v>1</v>
      </c>
    </row>
    <row r="63" spans="2:16" ht="24" customHeight="1" x14ac:dyDescent="0.25">
      <c r="B63" s="1">
        <v>45</v>
      </c>
      <c r="C63" s="6">
        <v>17033370</v>
      </c>
      <c r="D63" s="2" t="s">
        <v>60</v>
      </c>
      <c r="E63" s="2" t="s">
        <v>568</v>
      </c>
      <c r="F63" s="2">
        <v>8358444</v>
      </c>
      <c r="G63" s="35" t="s">
        <v>642</v>
      </c>
      <c r="H63">
        <v>5000</v>
      </c>
      <c r="I63" s="43">
        <f t="shared" si="0"/>
        <v>4750</v>
      </c>
      <c r="J63" s="3">
        <v>475</v>
      </c>
      <c r="K63" s="44">
        <f t="shared" si="4"/>
        <v>4275</v>
      </c>
      <c r="L63" s="23">
        <v>0.05</v>
      </c>
      <c r="M63" s="24">
        <f t="shared" si="1"/>
        <v>250</v>
      </c>
      <c r="N63" s="25">
        <v>10</v>
      </c>
      <c r="O63" s="22">
        <f t="shared" si="2"/>
        <v>475</v>
      </c>
      <c r="P63" s="24">
        <f t="shared" si="3"/>
        <v>1</v>
      </c>
    </row>
    <row r="64" spans="2:16" ht="24" customHeight="1" x14ac:dyDescent="0.25">
      <c r="B64" s="1">
        <v>45</v>
      </c>
      <c r="C64" s="6">
        <v>15208948</v>
      </c>
      <c r="D64" s="2" t="s">
        <v>61</v>
      </c>
      <c r="E64" s="2" t="s">
        <v>572</v>
      </c>
      <c r="F64" s="2">
        <v>8358444</v>
      </c>
      <c r="G64" s="35" t="s">
        <v>642</v>
      </c>
      <c r="H64">
        <v>5000</v>
      </c>
      <c r="I64" s="43">
        <f t="shared" si="0"/>
        <v>5000</v>
      </c>
      <c r="J64" s="45">
        <v>500</v>
      </c>
      <c r="K64" s="44">
        <f t="shared" si="4"/>
        <v>4500</v>
      </c>
      <c r="L64" s="23">
        <v>0</v>
      </c>
      <c r="M64" s="24">
        <f t="shared" si="1"/>
        <v>0</v>
      </c>
      <c r="N64" s="25">
        <v>10</v>
      </c>
      <c r="O64" s="22">
        <f t="shared" si="2"/>
        <v>500</v>
      </c>
      <c r="P64" s="24">
        <f t="shared" si="3"/>
        <v>1</v>
      </c>
    </row>
    <row r="65" spans="2:16" ht="24" customHeight="1" x14ac:dyDescent="0.25">
      <c r="B65" s="1">
        <v>46</v>
      </c>
      <c r="C65" s="6">
        <v>13694725</v>
      </c>
      <c r="D65" s="2" t="s">
        <v>62</v>
      </c>
      <c r="E65" s="2" t="s">
        <v>566</v>
      </c>
      <c r="F65" s="2">
        <v>4920561</v>
      </c>
      <c r="G65" s="35" t="s">
        <v>643</v>
      </c>
      <c r="H65">
        <v>5000</v>
      </c>
      <c r="I65" s="43">
        <f t="shared" si="0"/>
        <v>5000</v>
      </c>
      <c r="J65" s="45">
        <v>500</v>
      </c>
      <c r="K65" s="44">
        <f t="shared" si="4"/>
        <v>4500</v>
      </c>
      <c r="L65" s="23">
        <v>0</v>
      </c>
      <c r="M65" s="24">
        <f t="shared" si="1"/>
        <v>0</v>
      </c>
      <c r="N65" s="25">
        <v>10</v>
      </c>
      <c r="O65" s="22">
        <f t="shared" si="2"/>
        <v>500</v>
      </c>
      <c r="P65" s="24">
        <f t="shared" si="3"/>
        <v>1</v>
      </c>
    </row>
    <row r="66" spans="2:16" ht="24" customHeight="1" x14ac:dyDescent="0.25">
      <c r="B66" s="1">
        <v>46</v>
      </c>
      <c r="C66" s="6">
        <v>16857329</v>
      </c>
      <c r="D66" s="2" t="s">
        <v>63</v>
      </c>
      <c r="E66" s="2" t="s">
        <v>565</v>
      </c>
      <c r="F66" s="2">
        <v>4920561</v>
      </c>
      <c r="G66" s="35" t="s">
        <v>643</v>
      </c>
      <c r="H66">
        <v>5000</v>
      </c>
      <c r="I66" s="43">
        <f t="shared" ref="I66:I129" si="5">H66-M66</f>
        <v>4750</v>
      </c>
      <c r="J66" s="45">
        <v>475</v>
      </c>
      <c r="K66" s="44">
        <f t="shared" si="4"/>
        <v>4275</v>
      </c>
      <c r="L66" s="23">
        <v>0.05</v>
      </c>
      <c r="M66" s="24">
        <f t="shared" ref="M66:M129" si="6">H66*L66</f>
        <v>250</v>
      </c>
      <c r="N66" s="25">
        <v>10</v>
      </c>
      <c r="O66" s="22">
        <f t="shared" ref="O66:O129" si="7">I66/N66</f>
        <v>475</v>
      </c>
      <c r="P66" s="24">
        <f t="shared" ref="P66:P129" si="8">INT(J66/O66)</f>
        <v>1</v>
      </c>
    </row>
    <row r="67" spans="2:16" ht="24" customHeight="1" x14ac:dyDescent="0.25">
      <c r="B67" s="1">
        <v>47</v>
      </c>
      <c r="C67" s="6">
        <v>16147158</v>
      </c>
      <c r="D67" s="2" t="s">
        <v>64</v>
      </c>
      <c r="E67" s="2" t="s">
        <v>570</v>
      </c>
      <c r="F67" s="2">
        <v>4992106</v>
      </c>
      <c r="G67" s="35" t="s">
        <v>644</v>
      </c>
      <c r="H67">
        <v>5000</v>
      </c>
      <c r="I67" s="43">
        <f t="shared" si="5"/>
        <v>4750</v>
      </c>
      <c r="J67" s="45">
        <v>4750</v>
      </c>
      <c r="K67" s="44">
        <f t="shared" ref="K67:K129" si="9">I67-J67</f>
        <v>0</v>
      </c>
      <c r="L67" s="23">
        <v>0.05</v>
      </c>
      <c r="M67" s="24">
        <f t="shared" si="6"/>
        <v>250</v>
      </c>
      <c r="N67" s="25">
        <v>10</v>
      </c>
      <c r="O67" s="22">
        <f t="shared" si="7"/>
        <v>475</v>
      </c>
      <c r="P67" s="24">
        <f t="shared" si="8"/>
        <v>10</v>
      </c>
    </row>
    <row r="68" spans="2:16" ht="24" customHeight="1" x14ac:dyDescent="0.25">
      <c r="B68" s="1">
        <v>47</v>
      </c>
      <c r="C68" s="6">
        <v>15010035</v>
      </c>
      <c r="D68" s="2" t="s">
        <v>65</v>
      </c>
      <c r="E68" s="2" t="s">
        <v>572</v>
      </c>
      <c r="F68" s="2">
        <v>4992106</v>
      </c>
      <c r="G68" s="35" t="s">
        <v>644</v>
      </c>
      <c r="H68">
        <v>5000</v>
      </c>
      <c r="I68" s="43">
        <f t="shared" si="5"/>
        <v>4750</v>
      </c>
      <c r="J68" s="45">
        <v>4750</v>
      </c>
      <c r="K68" s="44">
        <f t="shared" si="9"/>
        <v>0</v>
      </c>
      <c r="L68" s="23">
        <v>0.05</v>
      </c>
      <c r="M68" s="24">
        <f t="shared" si="6"/>
        <v>250</v>
      </c>
      <c r="N68" s="25">
        <v>10</v>
      </c>
      <c r="O68" s="22">
        <f t="shared" si="7"/>
        <v>475</v>
      </c>
      <c r="P68" s="24">
        <f t="shared" si="8"/>
        <v>10</v>
      </c>
    </row>
    <row r="69" spans="2:16" ht="24" customHeight="1" x14ac:dyDescent="0.25">
      <c r="B69" s="1">
        <v>48</v>
      </c>
      <c r="C69" s="6">
        <v>15192394</v>
      </c>
      <c r="D69" s="2" t="s">
        <v>66</v>
      </c>
      <c r="E69" s="2" t="s">
        <v>567</v>
      </c>
      <c r="F69" s="2">
        <v>4916748</v>
      </c>
      <c r="G69" s="35" t="s">
        <v>645</v>
      </c>
      <c r="H69">
        <v>5000</v>
      </c>
      <c r="I69" s="43">
        <f t="shared" si="5"/>
        <v>4750</v>
      </c>
      <c r="J69" s="45">
        <v>475</v>
      </c>
      <c r="K69" s="44">
        <f t="shared" si="9"/>
        <v>4275</v>
      </c>
      <c r="L69" s="23">
        <v>0.05</v>
      </c>
      <c r="M69" s="24">
        <f t="shared" si="6"/>
        <v>250</v>
      </c>
      <c r="N69" s="25">
        <v>10</v>
      </c>
      <c r="O69" s="22">
        <f t="shared" si="7"/>
        <v>475</v>
      </c>
      <c r="P69" s="24">
        <f t="shared" si="8"/>
        <v>1</v>
      </c>
    </row>
    <row r="70" spans="2:16" ht="24" customHeight="1" x14ac:dyDescent="0.25">
      <c r="B70" s="1">
        <v>48</v>
      </c>
      <c r="C70" s="6">
        <v>15192374</v>
      </c>
      <c r="D70" s="2" t="s">
        <v>67</v>
      </c>
      <c r="E70" s="2" t="s">
        <v>565</v>
      </c>
      <c r="F70" s="2">
        <v>4916748</v>
      </c>
      <c r="G70" s="35" t="s">
        <v>645</v>
      </c>
      <c r="H70">
        <v>5000</v>
      </c>
      <c r="I70" s="43">
        <f t="shared" si="5"/>
        <v>5000</v>
      </c>
      <c r="J70" s="45">
        <v>500</v>
      </c>
      <c r="K70" s="44">
        <f t="shared" si="9"/>
        <v>4500</v>
      </c>
      <c r="L70" s="23">
        <v>0</v>
      </c>
      <c r="M70" s="24">
        <f t="shared" si="6"/>
        <v>0</v>
      </c>
      <c r="N70" s="25">
        <v>10</v>
      </c>
      <c r="O70" s="22">
        <f t="shared" si="7"/>
        <v>500</v>
      </c>
      <c r="P70" s="24">
        <f t="shared" si="8"/>
        <v>1</v>
      </c>
    </row>
    <row r="71" spans="2:16" ht="24" customHeight="1" x14ac:dyDescent="0.25">
      <c r="B71" s="1">
        <v>49</v>
      </c>
      <c r="C71" s="6">
        <v>14686748</v>
      </c>
      <c r="D71" s="2" t="s">
        <v>68</v>
      </c>
      <c r="E71" s="2" t="s">
        <v>565</v>
      </c>
      <c r="F71" s="2">
        <v>9863148</v>
      </c>
      <c r="G71" s="35" t="s">
        <v>646</v>
      </c>
      <c r="H71">
        <v>5000</v>
      </c>
      <c r="I71" s="43">
        <f t="shared" si="5"/>
        <v>4750</v>
      </c>
      <c r="J71" s="45">
        <v>4750</v>
      </c>
      <c r="K71" s="44">
        <f t="shared" si="9"/>
        <v>0</v>
      </c>
      <c r="L71" s="23">
        <v>0.05</v>
      </c>
      <c r="M71" s="24">
        <f t="shared" si="6"/>
        <v>250</v>
      </c>
      <c r="N71" s="25">
        <v>10</v>
      </c>
      <c r="O71" s="22">
        <f t="shared" si="7"/>
        <v>475</v>
      </c>
      <c r="P71" s="24">
        <f t="shared" si="8"/>
        <v>10</v>
      </c>
    </row>
    <row r="72" spans="2:16" ht="24" customHeight="1" x14ac:dyDescent="0.25">
      <c r="B72" s="1">
        <v>50</v>
      </c>
      <c r="C72" s="6">
        <v>16943028</v>
      </c>
      <c r="D72" s="2" t="s">
        <v>69</v>
      </c>
      <c r="E72" s="2" t="s">
        <v>568</v>
      </c>
      <c r="F72" s="2">
        <v>8279931</v>
      </c>
      <c r="G72" s="35" t="s">
        <v>647</v>
      </c>
      <c r="H72">
        <v>5000</v>
      </c>
      <c r="I72" s="43">
        <f t="shared" si="5"/>
        <v>5000</v>
      </c>
      <c r="J72" s="45">
        <v>500</v>
      </c>
      <c r="K72" s="44">
        <f t="shared" si="9"/>
        <v>4500</v>
      </c>
      <c r="L72" s="23">
        <v>0</v>
      </c>
      <c r="M72" s="24">
        <f t="shared" si="6"/>
        <v>0</v>
      </c>
      <c r="N72" s="25">
        <v>10</v>
      </c>
      <c r="O72" s="22">
        <f t="shared" si="7"/>
        <v>500</v>
      </c>
      <c r="P72" s="24">
        <f t="shared" si="8"/>
        <v>1</v>
      </c>
    </row>
    <row r="73" spans="2:16" ht="24" customHeight="1" x14ac:dyDescent="0.25">
      <c r="B73" s="1">
        <v>51</v>
      </c>
      <c r="C73" s="6">
        <v>15118825</v>
      </c>
      <c r="D73" s="2" t="s">
        <v>70</v>
      </c>
      <c r="E73" s="2" t="s">
        <v>574</v>
      </c>
      <c r="F73" s="2">
        <v>3312854</v>
      </c>
      <c r="G73" s="35" t="s">
        <v>635</v>
      </c>
      <c r="H73">
        <v>5000</v>
      </c>
      <c r="I73" s="43">
        <f t="shared" si="5"/>
        <v>5000</v>
      </c>
      <c r="J73" s="45">
        <v>500</v>
      </c>
      <c r="K73" s="44">
        <f t="shared" si="9"/>
        <v>4500</v>
      </c>
      <c r="L73" s="23">
        <v>0</v>
      </c>
      <c r="M73" s="24">
        <f t="shared" si="6"/>
        <v>0</v>
      </c>
      <c r="N73" s="25">
        <v>10</v>
      </c>
      <c r="O73" s="22">
        <f t="shared" si="7"/>
        <v>500</v>
      </c>
      <c r="P73" s="24">
        <f t="shared" si="8"/>
        <v>1</v>
      </c>
    </row>
    <row r="74" spans="2:16" ht="24" customHeight="1" x14ac:dyDescent="0.25">
      <c r="B74" s="1">
        <v>52</v>
      </c>
      <c r="C74" s="6">
        <v>16462364</v>
      </c>
      <c r="D74" s="2" t="s">
        <v>71</v>
      </c>
      <c r="E74" s="2" t="s">
        <v>570</v>
      </c>
      <c r="F74" s="2">
        <v>8440248</v>
      </c>
      <c r="G74" s="35" t="s">
        <v>648</v>
      </c>
      <c r="H74">
        <v>5000</v>
      </c>
      <c r="I74" s="43">
        <f t="shared" si="5"/>
        <v>4750</v>
      </c>
      <c r="J74" s="45">
        <v>950</v>
      </c>
      <c r="K74" s="44">
        <f t="shared" si="9"/>
        <v>3800</v>
      </c>
      <c r="L74" s="23">
        <v>0.05</v>
      </c>
      <c r="M74" s="24">
        <f t="shared" si="6"/>
        <v>250</v>
      </c>
      <c r="N74" s="25">
        <v>10</v>
      </c>
      <c r="O74" s="22">
        <f t="shared" si="7"/>
        <v>475</v>
      </c>
      <c r="P74" s="24">
        <f t="shared" si="8"/>
        <v>2</v>
      </c>
    </row>
    <row r="75" spans="2:16" ht="24" customHeight="1" x14ac:dyDescent="0.25">
      <c r="B75" s="1">
        <v>52</v>
      </c>
      <c r="C75" s="6">
        <v>16247804</v>
      </c>
      <c r="D75" s="2" t="s">
        <v>72</v>
      </c>
      <c r="E75" s="2" t="s">
        <v>569</v>
      </c>
      <c r="F75" s="2">
        <v>8440248</v>
      </c>
      <c r="G75" s="35" t="s">
        <v>648</v>
      </c>
      <c r="H75">
        <v>5000</v>
      </c>
      <c r="I75" s="43">
        <f t="shared" si="5"/>
        <v>5000</v>
      </c>
      <c r="J75" s="45">
        <v>1000</v>
      </c>
      <c r="K75" s="44">
        <f t="shared" si="9"/>
        <v>4000</v>
      </c>
      <c r="L75" s="23">
        <v>0</v>
      </c>
      <c r="M75" s="24">
        <f t="shared" si="6"/>
        <v>0</v>
      </c>
      <c r="N75" s="25">
        <v>10</v>
      </c>
      <c r="O75" s="22">
        <f t="shared" si="7"/>
        <v>500</v>
      </c>
      <c r="P75" s="24">
        <f t="shared" si="8"/>
        <v>2</v>
      </c>
    </row>
    <row r="76" spans="2:16" ht="24" customHeight="1" x14ac:dyDescent="0.25">
      <c r="B76" s="1">
        <v>53</v>
      </c>
      <c r="C76" s="6">
        <v>16313438</v>
      </c>
      <c r="D76" s="2" t="s">
        <v>73</v>
      </c>
      <c r="E76" s="2" t="s">
        <v>570</v>
      </c>
      <c r="F76" s="2">
        <v>4363391</v>
      </c>
      <c r="G76" s="35" t="s">
        <v>649</v>
      </c>
      <c r="H76">
        <v>5000</v>
      </c>
      <c r="I76" s="43">
        <f t="shared" si="5"/>
        <v>5000</v>
      </c>
      <c r="J76" s="45">
        <v>500</v>
      </c>
      <c r="K76" s="44">
        <f t="shared" si="9"/>
        <v>4500</v>
      </c>
      <c r="L76" s="23">
        <v>0</v>
      </c>
      <c r="M76" s="24">
        <f t="shared" si="6"/>
        <v>0</v>
      </c>
      <c r="N76" s="25">
        <v>10</v>
      </c>
      <c r="O76" s="22">
        <f t="shared" si="7"/>
        <v>500</v>
      </c>
      <c r="P76" s="24">
        <f t="shared" si="8"/>
        <v>1</v>
      </c>
    </row>
    <row r="77" spans="2:16" ht="24" customHeight="1" x14ac:dyDescent="0.25">
      <c r="B77" s="1">
        <v>54</v>
      </c>
      <c r="C77" s="6">
        <v>16278863</v>
      </c>
      <c r="D77" s="2" t="s">
        <v>74</v>
      </c>
      <c r="E77" s="2" t="s">
        <v>570</v>
      </c>
      <c r="F77" s="2">
        <v>7280612</v>
      </c>
      <c r="G77" s="35" t="s">
        <v>650</v>
      </c>
      <c r="H77">
        <v>5000</v>
      </c>
      <c r="I77" s="43">
        <f t="shared" si="5"/>
        <v>4750</v>
      </c>
      <c r="J77" s="45">
        <v>475</v>
      </c>
      <c r="K77" s="44">
        <f t="shared" si="9"/>
        <v>4275</v>
      </c>
      <c r="L77" s="23">
        <v>0.05</v>
      </c>
      <c r="M77" s="24">
        <f t="shared" si="6"/>
        <v>250</v>
      </c>
      <c r="N77" s="25">
        <v>10</v>
      </c>
      <c r="O77" s="22">
        <f t="shared" si="7"/>
        <v>475</v>
      </c>
      <c r="P77" s="24">
        <f t="shared" si="8"/>
        <v>1</v>
      </c>
    </row>
    <row r="78" spans="2:16" ht="24" customHeight="1" x14ac:dyDescent="0.25">
      <c r="B78" s="1">
        <v>54</v>
      </c>
      <c r="C78" s="6">
        <v>15281322</v>
      </c>
      <c r="D78" s="2" t="s">
        <v>75</v>
      </c>
      <c r="E78" s="2" t="s">
        <v>572</v>
      </c>
      <c r="F78" s="2">
        <v>7280612</v>
      </c>
      <c r="G78" s="35" t="s">
        <v>650</v>
      </c>
      <c r="H78">
        <v>5000</v>
      </c>
      <c r="I78" s="43">
        <f t="shared" si="5"/>
        <v>5000</v>
      </c>
      <c r="J78" s="45">
        <v>500</v>
      </c>
      <c r="K78" s="44">
        <f t="shared" si="9"/>
        <v>4500</v>
      </c>
      <c r="L78" s="23">
        <v>0</v>
      </c>
      <c r="M78" s="24">
        <f t="shared" si="6"/>
        <v>0</v>
      </c>
      <c r="N78" s="25">
        <v>10</v>
      </c>
      <c r="O78" s="22">
        <f t="shared" si="7"/>
        <v>500</v>
      </c>
      <c r="P78" s="24">
        <f t="shared" si="8"/>
        <v>1</v>
      </c>
    </row>
    <row r="79" spans="2:16" ht="24" customHeight="1" x14ac:dyDescent="0.25">
      <c r="B79" s="1">
        <v>55</v>
      </c>
      <c r="C79" s="6">
        <v>15654532</v>
      </c>
      <c r="D79" s="2" t="s">
        <v>76</v>
      </c>
      <c r="E79" s="2" t="s">
        <v>572</v>
      </c>
      <c r="F79" s="2">
        <v>6758715</v>
      </c>
      <c r="G79" s="35" t="s">
        <v>639</v>
      </c>
      <c r="H79">
        <v>5000</v>
      </c>
      <c r="I79" s="43">
        <f t="shared" si="5"/>
        <v>4500</v>
      </c>
      <c r="J79" s="45">
        <v>900</v>
      </c>
      <c r="K79" s="44">
        <f t="shared" si="9"/>
        <v>3600</v>
      </c>
      <c r="L79" s="23">
        <v>0.1</v>
      </c>
      <c r="M79" s="24">
        <f t="shared" si="6"/>
        <v>500</v>
      </c>
      <c r="N79" s="25">
        <v>10</v>
      </c>
      <c r="O79" s="22">
        <f t="shared" si="7"/>
        <v>450</v>
      </c>
      <c r="P79" s="24">
        <f t="shared" si="8"/>
        <v>2</v>
      </c>
    </row>
    <row r="80" spans="2:16" ht="24" customHeight="1" x14ac:dyDescent="0.25">
      <c r="B80" s="1">
        <v>55</v>
      </c>
      <c r="C80" s="6">
        <v>13846648</v>
      </c>
      <c r="D80" s="2" t="s">
        <v>77</v>
      </c>
      <c r="E80" s="2" t="s">
        <v>565</v>
      </c>
      <c r="F80" s="2">
        <v>6758715</v>
      </c>
      <c r="G80" s="35" t="s">
        <v>639</v>
      </c>
      <c r="H80">
        <v>5000</v>
      </c>
      <c r="I80" s="43">
        <f t="shared" si="5"/>
        <v>4750</v>
      </c>
      <c r="J80" s="45">
        <v>950</v>
      </c>
      <c r="K80" s="44">
        <f t="shared" si="9"/>
        <v>3800</v>
      </c>
      <c r="L80" s="23">
        <v>0.05</v>
      </c>
      <c r="M80" s="24">
        <f t="shared" si="6"/>
        <v>250</v>
      </c>
      <c r="N80" s="25">
        <v>10</v>
      </c>
      <c r="O80" s="22">
        <f t="shared" si="7"/>
        <v>475</v>
      </c>
      <c r="P80" s="24">
        <f t="shared" si="8"/>
        <v>2</v>
      </c>
    </row>
    <row r="81" spans="2:16" ht="24" customHeight="1" x14ac:dyDescent="0.25">
      <c r="B81" s="1">
        <v>55</v>
      </c>
      <c r="C81" s="6">
        <v>12829981</v>
      </c>
      <c r="D81" s="2" t="s">
        <v>78</v>
      </c>
      <c r="E81" s="2" t="s">
        <v>566</v>
      </c>
      <c r="F81" s="2">
        <v>6758715</v>
      </c>
      <c r="G81" s="35" t="s">
        <v>639</v>
      </c>
      <c r="H81">
        <v>5000</v>
      </c>
      <c r="I81" s="43">
        <f t="shared" si="5"/>
        <v>5000</v>
      </c>
      <c r="J81" s="45">
        <v>1000</v>
      </c>
      <c r="K81" s="44">
        <f t="shared" si="9"/>
        <v>4000</v>
      </c>
      <c r="L81" s="23">
        <v>0</v>
      </c>
      <c r="M81" s="24">
        <f t="shared" si="6"/>
        <v>0</v>
      </c>
      <c r="N81" s="25">
        <v>10</v>
      </c>
      <c r="O81" s="22">
        <f t="shared" si="7"/>
        <v>500</v>
      </c>
      <c r="P81" s="24">
        <f t="shared" si="8"/>
        <v>2</v>
      </c>
    </row>
    <row r="82" spans="2:16" ht="24" customHeight="1" x14ac:dyDescent="0.25">
      <c r="B82" s="1">
        <v>56</v>
      </c>
      <c r="C82" s="6">
        <v>14181365</v>
      </c>
      <c r="D82" s="2" t="s">
        <v>79</v>
      </c>
      <c r="E82" s="2" t="s">
        <v>576</v>
      </c>
      <c r="F82" s="2">
        <v>5941254</v>
      </c>
      <c r="G82" s="35" t="s">
        <v>651</v>
      </c>
      <c r="H82">
        <v>5000</v>
      </c>
      <c r="I82" s="43">
        <f t="shared" si="5"/>
        <v>5000</v>
      </c>
      <c r="J82" s="45">
        <v>500</v>
      </c>
      <c r="K82" s="44">
        <f t="shared" si="9"/>
        <v>4500</v>
      </c>
      <c r="L82" s="23">
        <v>0</v>
      </c>
      <c r="M82" s="24">
        <f t="shared" si="6"/>
        <v>0</v>
      </c>
      <c r="N82" s="25">
        <v>10</v>
      </c>
      <c r="O82" s="22">
        <f t="shared" si="7"/>
        <v>500</v>
      </c>
      <c r="P82" s="24">
        <f t="shared" si="8"/>
        <v>1</v>
      </c>
    </row>
    <row r="83" spans="2:16" ht="24" customHeight="1" x14ac:dyDescent="0.25">
      <c r="B83" s="1">
        <v>56</v>
      </c>
      <c r="C83" s="6">
        <v>16219640</v>
      </c>
      <c r="D83" s="2" t="s">
        <v>80</v>
      </c>
      <c r="E83" s="2" t="s">
        <v>565</v>
      </c>
      <c r="F83" s="2">
        <v>5941254</v>
      </c>
      <c r="G83" s="35" t="s">
        <v>651</v>
      </c>
      <c r="H83">
        <v>5000</v>
      </c>
      <c r="I83" s="43">
        <f t="shared" si="5"/>
        <v>4750</v>
      </c>
      <c r="J83" s="45">
        <v>475</v>
      </c>
      <c r="K83" s="44">
        <f t="shared" si="9"/>
        <v>4275</v>
      </c>
      <c r="L83" s="23">
        <v>0.05</v>
      </c>
      <c r="M83" s="24">
        <f t="shared" si="6"/>
        <v>250</v>
      </c>
      <c r="N83" s="25">
        <v>10</v>
      </c>
      <c r="O83" s="22">
        <f t="shared" si="7"/>
        <v>475</v>
      </c>
      <c r="P83" s="24">
        <f t="shared" si="8"/>
        <v>1</v>
      </c>
    </row>
    <row r="84" spans="2:16" ht="24" customHeight="1" x14ac:dyDescent="0.25">
      <c r="B84" s="1">
        <v>57</v>
      </c>
      <c r="C84" s="6">
        <v>17104238</v>
      </c>
      <c r="D84" s="2" t="s">
        <v>81</v>
      </c>
      <c r="E84" s="2" t="s">
        <v>568</v>
      </c>
      <c r="F84" s="2">
        <v>8307970</v>
      </c>
      <c r="G84" s="35" t="s">
        <v>652</v>
      </c>
      <c r="H84">
        <v>5000</v>
      </c>
      <c r="I84" s="43">
        <f t="shared" si="5"/>
        <v>5000</v>
      </c>
      <c r="J84" s="45">
        <v>500</v>
      </c>
      <c r="K84" s="44">
        <f t="shared" si="9"/>
        <v>4500</v>
      </c>
      <c r="L84" s="23">
        <v>0</v>
      </c>
      <c r="M84" s="24">
        <f t="shared" si="6"/>
        <v>0</v>
      </c>
      <c r="N84" s="25">
        <v>10</v>
      </c>
      <c r="O84" s="22">
        <f t="shared" si="7"/>
        <v>500</v>
      </c>
      <c r="P84" s="24">
        <f t="shared" si="8"/>
        <v>1</v>
      </c>
    </row>
    <row r="85" spans="2:16" ht="24" customHeight="1" x14ac:dyDescent="0.25">
      <c r="B85" s="1">
        <v>58</v>
      </c>
      <c r="C85" s="6">
        <v>14947466</v>
      </c>
      <c r="D85" s="2" t="s">
        <v>82</v>
      </c>
      <c r="E85" s="2" t="s">
        <v>565</v>
      </c>
      <c r="F85" s="2">
        <v>13085333</v>
      </c>
      <c r="G85" s="35" t="s">
        <v>653</v>
      </c>
      <c r="H85">
        <v>5000</v>
      </c>
      <c r="I85" s="43">
        <f t="shared" si="5"/>
        <v>5000</v>
      </c>
      <c r="J85" s="45">
        <v>500</v>
      </c>
      <c r="K85" s="44">
        <f t="shared" si="9"/>
        <v>4500</v>
      </c>
      <c r="L85" s="23">
        <v>0</v>
      </c>
      <c r="M85" s="24">
        <f t="shared" si="6"/>
        <v>0</v>
      </c>
      <c r="N85" s="25">
        <v>10</v>
      </c>
      <c r="O85" s="22">
        <f t="shared" si="7"/>
        <v>500</v>
      </c>
      <c r="P85" s="24">
        <f t="shared" si="8"/>
        <v>1</v>
      </c>
    </row>
    <row r="86" spans="2:16" ht="24" customHeight="1" x14ac:dyDescent="0.25">
      <c r="B86" s="1">
        <v>58</v>
      </c>
      <c r="C86" s="6">
        <v>17080870</v>
      </c>
      <c r="D86" s="2" t="s">
        <v>83</v>
      </c>
      <c r="E86" s="2" t="s">
        <v>568</v>
      </c>
      <c r="F86" s="2">
        <v>13085333</v>
      </c>
      <c r="G86" s="35" t="s">
        <v>653</v>
      </c>
      <c r="H86">
        <v>5000</v>
      </c>
      <c r="I86" s="43">
        <f t="shared" si="5"/>
        <v>4750</v>
      </c>
      <c r="J86" s="45">
        <v>475</v>
      </c>
      <c r="K86" s="44">
        <f t="shared" si="9"/>
        <v>4275</v>
      </c>
      <c r="L86" s="23">
        <v>0.05</v>
      </c>
      <c r="M86" s="24">
        <f t="shared" si="6"/>
        <v>250</v>
      </c>
      <c r="N86" s="25">
        <v>10</v>
      </c>
      <c r="O86" s="22">
        <f t="shared" si="7"/>
        <v>475</v>
      </c>
      <c r="P86" s="24">
        <f t="shared" si="8"/>
        <v>1</v>
      </c>
    </row>
    <row r="87" spans="2:16" ht="24" customHeight="1" x14ac:dyDescent="0.25">
      <c r="B87" s="1">
        <v>59</v>
      </c>
      <c r="C87" s="6">
        <v>16146854</v>
      </c>
      <c r="D87" s="2" t="s">
        <v>84</v>
      </c>
      <c r="E87" s="2" t="s">
        <v>570</v>
      </c>
      <c r="F87" s="2">
        <v>10066725</v>
      </c>
      <c r="G87" s="35" t="s">
        <v>654</v>
      </c>
      <c r="H87">
        <v>5000</v>
      </c>
      <c r="I87" s="43">
        <f t="shared" si="5"/>
        <v>5000</v>
      </c>
      <c r="J87" s="45">
        <v>500</v>
      </c>
      <c r="K87" s="44">
        <f t="shared" si="9"/>
        <v>4500</v>
      </c>
      <c r="L87" s="23">
        <v>0</v>
      </c>
      <c r="M87" s="24">
        <f t="shared" si="6"/>
        <v>0</v>
      </c>
      <c r="N87" s="25">
        <v>10</v>
      </c>
      <c r="O87" s="22">
        <f t="shared" si="7"/>
        <v>500</v>
      </c>
      <c r="P87" s="24">
        <f t="shared" si="8"/>
        <v>1</v>
      </c>
    </row>
    <row r="88" spans="2:16" ht="24" customHeight="1" x14ac:dyDescent="0.25">
      <c r="B88" s="1">
        <v>60</v>
      </c>
      <c r="C88" s="6">
        <v>15164898</v>
      </c>
      <c r="D88" s="2" t="s">
        <v>85</v>
      </c>
      <c r="E88" s="2" t="s">
        <v>572</v>
      </c>
      <c r="F88" s="2">
        <v>6004461019</v>
      </c>
      <c r="G88" s="35" t="s">
        <v>655</v>
      </c>
      <c r="H88">
        <v>5000</v>
      </c>
      <c r="I88" s="43">
        <f t="shared" si="5"/>
        <v>4750</v>
      </c>
      <c r="J88" s="45">
        <v>475</v>
      </c>
      <c r="K88" s="44">
        <f t="shared" si="9"/>
        <v>4275</v>
      </c>
      <c r="L88" s="23">
        <v>0.05</v>
      </c>
      <c r="M88" s="24">
        <f t="shared" si="6"/>
        <v>250</v>
      </c>
      <c r="N88" s="25">
        <v>10</v>
      </c>
      <c r="O88" s="22">
        <f t="shared" si="7"/>
        <v>475</v>
      </c>
      <c r="P88" s="24">
        <f t="shared" si="8"/>
        <v>1</v>
      </c>
    </row>
    <row r="89" spans="2:16" ht="24" customHeight="1" x14ac:dyDescent="0.25">
      <c r="B89" s="1">
        <v>60</v>
      </c>
      <c r="C89" s="6">
        <v>16301142</v>
      </c>
      <c r="D89" s="2" t="s">
        <v>86</v>
      </c>
      <c r="E89" s="2" t="s">
        <v>565</v>
      </c>
      <c r="F89" s="2">
        <v>6004461019</v>
      </c>
      <c r="G89" s="35" t="s">
        <v>655</v>
      </c>
      <c r="H89">
        <v>5000</v>
      </c>
      <c r="I89" s="43">
        <f t="shared" si="5"/>
        <v>5000</v>
      </c>
      <c r="J89" s="45">
        <v>500</v>
      </c>
      <c r="K89" s="44">
        <f t="shared" si="9"/>
        <v>4500</v>
      </c>
      <c r="L89" s="23">
        <v>0</v>
      </c>
      <c r="M89" s="24">
        <f t="shared" si="6"/>
        <v>0</v>
      </c>
      <c r="N89" s="25">
        <v>10</v>
      </c>
      <c r="O89" s="22">
        <f t="shared" si="7"/>
        <v>500</v>
      </c>
      <c r="P89" s="24">
        <f t="shared" si="8"/>
        <v>1</v>
      </c>
    </row>
    <row r="90" spans="2:16" ht="24" customHeight="1" x14ac:dyDescent="0.25">
      <c r="B90" s="1">
        <v>61</v>
      </c>
      <c r="C90" s="6">
        <v>14182965</v>
      </c>
      <c r="D90" s="2" t="s">
        <v>87</v>
      </c>
      <c r="E90" s="2" t="s">
        <v>565</v>
      </c>
      <c r="F90" s="2">
        <v>6805635013</v>
      </c>
      <c r="G90" s="35" t="s">
        <v>656</v>
      </c>
      <c r="H90">
        <v>5000</v>
      </c>
      <c r="I90" s="43">
        <f t="shared" si="5"/>
        <v>4750</v>
      </c>
      <c r="J90" s="45">
        <v>475</v>
      </c>
      <c r="K90" s="44">
        <f t="shared" si="9"/>
        <v>4275</v>
      </c>
      <c r="L90" s="23">
        <v>0.05</v>
      </c>
      <c r="M90" s="24">
        <f t="shared" si="6"/>
        <v>250</v>
      </c>
      <c r="N90" s="25">
        <v>10</v>
      </c>
      <c r="O90" s="22">
        <f t="shared" si="7"/>
        <v>475</v>
      </c>
      <c r="P90" s="24">
        <f t="shared" si="8"/>
        <v>1</v>
      </c>
    </row>
    <row r="91" spans="2:16" ht="24" customHeight="1" x14ac:dyDescent="0.25">
      <c r="B91" s="1">
        <v>61</v>
      </c>
      <c r="C91" s="6">
        <v>16853616</v>
      </c>
      <c r="D91" s="2" t="s">
        <v>88</v>
      </c>
      <c r="E91" s="2" t="s">
        <v>568</v>
      </c>
      <c r="F91" s="2">
        <v>6805635013</v>
      </c>
      <c r="G91" s="35" t="s">
        <v>656</v>
      </c>
      <c r="H91">
        <v>5000</v>
      </c>
      <c r="I91" s="43">
        <f t="shared" si="5"/>
        <v>5000</v>
      </c>
      <c r="J91" s="45">
        <v>500</v>
      </c>
      <c r="K91" s="44">
        <f t="shared" si="9"/>
        <v>4500</v>
      </c>
      <c r="L91" s="23">
        <v>0</v>
      </c>
      <c r="M91" s="24">
        <f t="shared" si="6"/>
        <v>0</v>
      </c>
      <c r="N91" s="25">
        <v>10</v>
      </c>
      <c r="O91" s="22">
        <f t="shared" si="7"/>
        <v>500</v>
      </c>
      <c r="P91" s="24">
        <f t="shared" si="8"/>
        <v>1</v>
      </c>
    </row>
    <row r="92" spans="2:16" ht="24" customHeight="1" x14ac:dyDescent="0.25">
      <c r="B92" s="1">
        <v>62</v>
      </c>
      <c r="C92" s="6">
        <v>13971523</v>
      </c>
      <c r="D92" s="2" t="s">
        <v>89</v>
      </c>
      <c r="E92" s="2" t="s">
        <v>565</v>
      </c>
      <c r="F92" s="2">
        <v>6906258013</v>
      </c>
      <c r="G92" s="35" t="s">
        <v>657</v>
      </c>
      <c r="H92">
        <v>5000</v>
      </c>
      <c r="I92" s="43">
        <f t="shared" si="5"/>
        <v>5000</v>
      </c>
      <c r="J92" s="45">
        <v>500</v>
      </c>
      <c r="K92" s="44">
        <f t="shared" si="9"/>
        <v>4500</v>
      </c>
      <c r="L92" s="23">
        <v>0</v>
      </c>
      <c r="M92" s="24">
        <f t="shared" si="6"/>
        <v>0</v>
      </c>
      <c r="N92" s="25">
        <v>10</v>
      </c>
      <c r="O92" s="22">
        <f t="shared" si="7"/>
        <v>500</v>
      </c>
      <c r="P92" s="24">
        <f t="shared" si="8"/>
        <v>1</v>
      </c>
    </row>
    <row r="93" spans="2:16" ht="24" customHeight="1" x14ac:dyDescent="0.25">
      <c r="B93" s="1">
        <v>62</v>
      </c>
      <c r="C93" s="6">
        <v>1591366</v>
      </c>
      <c r="D93" s="2" t="s">
        <v>90</v>
      </c>
      <c r="E93" s="2" t="s">
        <v>569</v>
      </c>
      <c r="F93" s="2">
        <v>6906258013</v>
      </c>
      <c r="G93" s="35" t="s">
        <v>657</v>
      </c>
      <c r="H93">
        <v>5000</v>
      </c>
      <c r="I93" s="43">
        <f t="shared" si="5"/>
        <v>4750</v>
      </c>
      <c r="J93" s="45">
        <v>475</v>
      </c>
      <c r="K93" s="44">
        <f t="shared" si="9"/>
        <v>4275</v>
      </c>
      <c r="L93" s="23">
        <v>0.05</v>
      </c>
      <c r="M93" s="24">
        <f t="shared" si="6"/>
        <v>250</v>
      </c>
      <c r="N93" s="25">
        <v>10</v>
      </c>
      <c r="O93" s="22">
        <f t="shared" si="7"/>
        <v>475</v>
      </c>
      <c r="P93" s="24">
        <f t="shared" si="8"/>
        <v>1</v>
      </c>
    </row>
    <row r="94" spans="2:16" ht="24" customHeight="1" x14ac:dyDescent="0.25">
      <c r="B94" s="1">
        <v>63</v>
      </c>
      <c r="C94" s="6">
        <v>12957404</v>
      </c>
      <c r="D94" s="2" t="s">
        <v>91</v>
      </c>
      <c r="E94" s="2" t="s">
        <v>576</v>
      </c>
      <c r="F94" s="2">
        <v>3495888</v>
      </c>
      <c r="G94" s="35" t="s">
        <v>658</v>
      </c>
      <c r="H94">
        <v>5000</v>
      </c>
      <c r="I94" s="43">
        <f t="shared" si="5"/>
        <v>5000</v>
      </c>
      <c r="J94" s="45">
        <v>500</v>
      </c>
      <c r="K94" s="44">
        <f t="shared" si="9"/>
        <v>4500</v>
      </c>
      <c r="L94" s="23">
        <v>0</v>
      </c>
      <c r="M94" s="24">
        <f t="shared" si="6"/>
        <v>0</v>
      </c>
      <c r="N94" s="25">
        <v>10</v>
      </c>
      <c r="O94" s="22">
        <f t="shared" si="7"/>
        <v>500</v>
      </c>
      <c r="P94" s="24">
        <f t="shared" si="8"/>
        <v>1</v>
      </c>
    </row>
    <row r="95" spans="2:16" ht="24" customHeight="1" x14ac:dyDescent="0.25">
      <c r="B95" s="1">
        <v>63</v>
      </c>
      <c r="C95" s="6">
        <v>16488712</v>
      </c>
      <c r="D95" s="2" t="s">
        <v>92</v>
      </c>
      <c r="E95" s="2" t="s">
        <v>571</v>
      </c>
      <c r="F95" s="2">
        <v>3495888</v>
      </c>
      <c r="G95" s="35" t="s">
        <v>658</v>
      </c>
      <c r="H95">
        <v>5000</v>
      </c>
      <c r="I95" s="43">
        <f t="shared" si="5"/>
        <v>4750</v>
      </c>
      <c r="J95" s="45">
        <v>475</v>
      </c>
      <c r="K95" s="44">
        <f t="shared" si="9"/>
        <v>4275</v>
      </c>
      <c r="L95" s="23">
        <v>0.05</v>
      </c>
      <c r="M95" s="24">
        <f t="shared" si="6"/>
        <v>250</v>
      </c>
      <c r="N95" s="25">
        <v>10</v>
      </c>
      <c r="O95" s="22">
        <f t="shared" si="7"/>
        <v>475</v>
      </c>
      <c r="P95" s="24">
        <f t="shared" si="8"/>
        <v>1</v>
      </c>
    </row>
    <row r="96" spans="2:16" ht="24" customHeight="1" x14ac:dyDescent="0.25">
      <c r="B96" s="1">
        <v>64</v>
      </c>
      <c r="C96" s="6">
        <v>16755129</v>
      </c>
      <c r="D96" s="2" t="s">
        <v>93</v>
      </c>
      <c r="E96" s="2" t="s">
        <v>570</v>
      </c>
      <c r="F96" s="2">
        <v>7052426</v>
      </c>
      <c r="G96" s="35" t="s">
        <v>659</v>
      </c>
      <c r="H96">
        <v>5000</v>
      </c>
      <c r="I96" s="43">
        <f t="shared" si="5"/>
        <v>5000</v>
      </c>
      <c r="J96" s="45">
        <v>500</v>
      </c>
      <c r="K96" s="44">
        <f t="shared" si="9"/>
        <v>4500</v>
      </c>
      <c r="L96" s="23">
        <v>0</v>
      </c>
      <c r="M96" s="24">
        <f t="shared" si="6"/>
        <v>0</v>
      </c>
      <c r="N96" s="25">
        <v>10</v>
      </c>
      <c r="O96" s="22">
        <f t="shared" si="7"/>
        <v>500</v>
      </c>
      <c r="P96" s="24">
        <f t="shared" si="8"/>
        <v>1</v>
      </c>
    </row>
    <row r="97" spans="2:16" ht="24" customHeight="1" x14ac:dyDescent="0.25">
      <c r="B97" s="1">
        <v>65</v>
      </c>
      <c r="C97" s="6">
        <v>15126266</v>
      </c>
      <c r="D97" s="2" t="s">
        <v>94</v>
      </c>
      <c r="E97" s="2" t="s">
        <v>565</v>
      </c>
      <c r="F97" s="2">
        <v>4997695</v>
      </c>
      <c r="G97" s="35" t="s">
        <v>660</v>
      </c>
      <c r="H97">
        <v>5000</v>
      </c>
      <c r="I97" s="43">
        <f t="shared" si="5"/>
        <v>5000</v>
      </c>
      <c r="J97" s="45">
        <v>500</v>
      </c>
      <c r="K97" s="44">
        <f t="shared" si="9"/>
        <v>4500</v>
      </c>
      <c r="L97" s="23">
        <v>0</v>
      </c>
      <c r="M97" s="24">
        <f t="shared" si="6"/>
        <v>0</v>
      </c>
      <c r="N97" s="25">
        <v>10</v>
      </c>
      <c r="O97" s="22">
        <f t="shared" si="7"/>
        <v>500</v>
      </c>
      <c r="P97" s="24">
        <f t="shared" si="8"/>
        <v>1</v>
      </c>
    </row>
    <row r="98" spans="2:16" ht="24" customHeight="1" x14ac:dyDescent="0.25">
      <c r="B98" s="1">
        <v>66</v>
      </c>
      <c r="C98" s="6">
        <v>16759704</v>
      </c>
      <c r="D98" s="2" t="s">
        <v>95</v>
      </c>
      <c r="E98" s="2" t="s">
        <v>570</v>
      </c>
      <c r="F98" s="2">
        <v>7269361</v>
      </c>
      <c r="G98" s="35" t="s">
        <v>661</v>
      </c>
      <c r="H98">
        <v>5000</v>
      </c>
      <c r="I98" s="43">
        <f t="shared" si="5"/>
        <v>4750</v>
      </c>
      <c r="J98" s="45">
        <v>475</v>
      </c>
      <c r="K98" s="44">
        <f t="shared" si="9"/>
        <v>4275</v>
      </c>
      <c r="L98" s="23">
        <v>0.05</v>
      </c>
      <c r="M98" s="24">
        <f t="shared" si="6"/>
        <v>250</v>
      </c>
      <c r="N98" s="25">
        <v>10</v>
      </c>
      <c r="O98" s="22">
        <f t="shared" si="7"/>
        <v>475</v>
      </c>
      <c r="P98" s="24">
        <f t="shared" si="8"/>
        <v>1</v>
      </c>
    </row>
    <row r="99" spans="2:16" ht="24" customHeight="1" x14ac:dyDescent="0.25">
      <c r="B99" s="1">
        <v>66</v>
      </c>
      <c r="C99" s="6">
        <v>14079823</v>
      </c>
      <c r="D99" s="2" t="s">
        <v>96</v>
      </c>
      <c r="E99" s="2" t="s">
        <v>565</v>
      </c>
      <c r="F99" s="2">
        <v>7269361</v>
      </c>
      <c r="G99" s="35" t="s">
        <v>661</v>
      </c>
      <c r="H99">
        <v>5000</v>
      </c>
      <c r="I99" s="43">
        <f t="shared" si="5"/>
        <v>5000</v>
      </c>
      <c r="J99" s="45">
        <v>500</v>
      </c>
      <c r="K99" s="44">
        <f t="shared" si="9"/>
        <v>4500</v>
      </c>
      <c r="L99" s="23">
        <v>0</v>
      </c>
      <c r="M99" s="24">
        <f t="shared" si="6"/>
        <v>0</v>
      </c>
      <c r="N99" s="25">
        <v>10</v>
      </c>
      <c r="O99" s="22">
        <f t="shared" si="7"/>
        <v>500</v>
      </c>
      <c r="P99" s="24">
        <f t="shared" si="8"/>
        <v>1</v>
      </c>
    </row>
    <row r="100" spans="2:16" ht="24" customHeight="1" x14ac:dyDescent="0.25">
      <c r="B100" s="1">
        <v>67</v>
      </c>
      <c r="C100" s="6">
        <v>14824641</v>
      </c>
      <c r="D100" s="2" t="s">
        <v>97</v>
      </c>
      <c r="E100" s="2" t="s">
        <v>567</v>
      </c>
      <c r="F100" s="2">
        <v>9947319</v>
      </c>
      <c r="G100" s="35" t="s">
        <v>662</v>
      </c>
      <c r="H100">
        <v>5000</v>
      </c>
      <c r="I100" s="43">
        <f t="shared" si="5"/>
        <v>4750</v>
      </c>
      <c r="J100" s="45">
        <v>475</v>
      </c>
      <c r="K100" s="44">
        <f t="shared" si="9"/>
        <v>4275</v>
      </c>
      <c r="L100" s="23">
        <v>0.05</v>
      </c>
      <c r="M100" s="24">
        <f t="shared" si="6"/>
        <v>250</v>
      </c>
      <c r="N100" s="25">
        <v>10</v>
      </c>
      <c r="O100" s="22">
        <f t="shared" si="7"/>
        <v>475</v>
      </c>
      <c r="P100" s="24">
        <f t="shared" si="8"/>
        <v>1</v>
      </c>
    </row>
    <row r="101" spans="2:16" ht="24" customHeight="1" x14ac:dyDescent="0.25">
      <c r="B101" s="1">
        <v>67</v>
      </c>
      <c r="C101" s="6">
        <v>14824787</v>
      </c>
      <c r="D101" s="2" t="s">
        <v>98</v>
      </c>
      <c r="E101" s="2" t="s">
        <v>565</v>
      </c>
      <c r="F101" s="2">
        <v>9947319</v>
      </c>
      <c r="G101" s="35" t="s">
        <v>662</v>
      </c>
      <c r="H101">
        <v>5000</v>
      </c>
      <c r="I101" s="43">
        <f t="shared" si="5"/>
        <v>5000</v>
      </c>
      <c r="J101" s="45">
        <v>500</v>
      </c>
      <c r="K101" s="44">
        <f t="shared" si="9"/>
        <v>4500</v>
      </c>
      <c r="L101" s="23">
        <v>0</v>
      </c>
      <c r="M101" s="24">
        <f t="shared" si="6"/>
        <v>0</v>
      </c>
      <c r="N101" s="25">
        <v>10</v>
      </c>
      <c r="O101" s="22">
        <f t="shared" si="7"/>
        <v>500</v>
      </c>
      <c r="P101" s="24">
        <f t="shared" si="8"/>
        <v>1</v>
      </c>
    </row>
    <row r="102" spans="2:16" ht="24" customHeight="1" x14ac:dyDescent="0.25">
      <c r="B102" s="1">
        <v>68</v>
      </c>
      <c r="C102" s="5"/>
      <c r="D102" s="2" t="s">
        <v>99</v>
      </c>
      <c r="E102" s="10"/>
      <c r="F102" s="10"/>
      <c r="G102" s="36"/>
      <c r="H102">
        <v>5000</v>
      </c>
      <c r="I102" s="43">
        <f t="shared" si="5"/>
        <v>5000</v>
      </c>
      <c r="J102" s="45">
        <v>0</v>
      </c>
      <c r="K102" s="44">
        <f t="shared" si="9"/>
        <v>5000</v>
      </c>
      <c r="L102" s="23">
        <v>0</v>
      </c>
      <c r="M102" s="24">
        <f t="shared" si="6"/>
        <v>0</v>
      </c>
      <c r="N102" s="25">
        <v>10</v>
      </c>
      <c r="O102" s="22">
        <f t="shared" si="7"/>
        <v>500</v>
      </c>
      <c r="P102" s="24">
        <f t="shared" si="8"/>
        <v>0</v>
      </c>
    </row>
    <row r="103" spans="2:16" ht="24" customHeight="1" x14ac:dyDescent="0.25">
      <c r="B103" s="5">
        <v>69</v>
      </c>
      <c r="C103" s="5"/>
      <c r="D103" s="2" t="s">
        <v>99</v>
      </c>
      <c r="E103" s="10"/>
      <c r="F103" s="10"/>
      <c r="G103" s="36"/>
      <c r="H103">
        <v>5000</v>
      </c>
      <c r="I103" s="43">
        <f t="shared" si="5"/>
        <v>5000</v>
      </c>
      <c r="J103" s="45">
        <v>0</v>
      </c>
      <c r="K103" s="44">
        <f t="shared" si="9"/>
        <v>5000</v>
      </c>
      <c r="L103" s="23">
        <v>0</v>
      </c>
      <c r="M103" s="24">
        <f t="shared" si="6"/>
        <v>0</v>
      </c>
      <c r="N103" s="25">
        <v>10</v>
      </c>
      <c r="O103" s="22">
        <f t="shared" si="7"/>
        <v>500</v>
      </c>
      <c r="P103" s="24">
        <f t="shared" si="8"/>
        <v>0</v>
      </c>
    </row>
    <row r="104" spans="2:16" ht="24" customHeight="1" x14ac:dyDescent="0.25">
      <c r="B104" s="6">
        <v>70</v>
      </c>
      <c r="C104" s="6">
        <v>14769707</v>
      </c>
      <c r="D104" s="2" t="s">
        <v>100</v>
      </c>
      <c r="E104" s="2" t="s">
        <v>578</v>
      </c>
      <c r="F104" s="2">
        <v>7022119014</v>
      </c>
      <c r="G104" s="35" t="s">
        <v>663</v>
      </c>
      <c r="H104">
        <v>5000</v>
      </c>
      <c r="I104" s="43">
        <f t="shared" si="5"/>
        <v>5000</v>
      </c>
      <c r="J104" s="46">
        <v>500</v>
      </c>
      <c r="K104" s="44">
        <f t="shared" si="9"/>
        <v>4500</v>
      </c>
      <c r="L104" s="23">
        <v>0</v>
      </c>
      <c r="M104" s="24">
        <f t="shared" si="6"/>
        <v>0</v>
      </c>
      <c r="N104" s="25">
        <v>10</v>
      </c>
      <c r="O104" s="22">
        <f t="shared" si="7"/>
        <v>500</v>
      </c>
      <c r="P104" s="24">
        <f t="shared" si="8"/>
        <v>1</v>
      </c>
    </row>
    <row r="105" spans="2:16" ht="24" customHeight="1" x14ac:dyDescent="0.25">
      <c r="B105" s="6">
        <v>71</v>
      </c>
      <c r="C105" s="6">
        <v>13792308</v>
      </c>
      <c r="D105" s="2" t="s">
        <v>101</v>
      </c>
      <c r="E105" s="2" t="s">
        <v>576</v>
      </c>
      <c r="F105" s="2">
        <v>4832444</v>
      </c>
      <c r="G105" s="35" t="s">
        <v>664</v>
      </c>
      <c r="H105">
        <v>5000</v>
      </c>
      <c r="I105" s="43">
        <f t="shared" si="5"/>
        <v>5000</v>
      </c>
      <c r="J105" s="46">
        <v>500</v>
      </c>
      <c r="K105" s="44">
        <f t="shared" si="9"/>
        <v>4500</v>
      </c>
      <c r="L105" s="23">
        <v>0</v>
      </c>
      <c r="M105" s="24">
        <f t="shared" si="6"/>
        <v>0</v>
      </c>
      <c r="N105" s="25">
        <v>10</v>
      </c>
      <c r="O105" s="22">
        <f t="shared" si="7"/>
        <v>500</v>
      </c>
      <c r="P105" s="24">
        <f t="shared" si="8"/>
        <v>1</v>
      </c>
    </row>
    <row r="106" spans="2:16" ht="24" customHeight="1" thickBot="1" x14ac:dyDescent="0.3">
      <c r="B106" s="6">
        <v>72</v>
      </c>
      <c r="C106" s="26">
        <v>14228533</v>
      </c>
      <c r="D106" s="2" t="s">
        <v>102</v>
      </c>
      <c r="E106" s="17" t="s">
        <v>578</v>
      </c>
      <c r="F106" s="17">
        <v>4761692</v>
      </c>
      <c r="G106" s="37" t="s">
        <v>640</v>
      </c>
      <c r="H106">
        <v>5000</v>
      </c>
      <c r="I106" s="43">
        <f t="shared" si="5"/>
        <v>4750</v>
      </c>
      <c r="J106" s="46">
        <v>475</v>
      </c>
      <c r="K106" s="44">
        <f t="shared" si="9"/>
        <v>4275</v>
      </c>
      <c r="L106" s="23">
        <v>0.05</v>
      </c>
      <c r="M106" s="24">
        <f t="shared" si="6"/>
        <v>250</v>
      </c>
      <c r="N106" s="25">
        <v>10</v>
      </c>
      <c r="O106" s="22">
        <f t="shared" si="7"/>
        <v>475</v>
      </c>
      <c r="P106" s="24">
        <f t="shared" si="8"/>
        <v>1</v>
      </c>
    </row>
    <row r="107" spans="2:16" ht="24" customHeight="1" x14ac:dyDescent="0.25">
      <c r="B107" s="1">
        <v>73</v>
      </c>
      <c r="C107" s="27">
        <v>16391092</v>
      </c>
      <c r="D107" s="2" t="s">
        <v>103</v>
      </c>
      <c r="E107" s="18" t="s">
        <v>570</v>
      </c>
      <c r="F107" s="18">
        <v>4883878</v>
      </c>
      <c r="G107" s="38" t="s">
        <v>665</v>
      </c>
      <c r="H107">
        <v>5000</v>
      </c>
      <c r="I107" s="43">
        <f t="shared" si="5"/>
        <v>5000</v>
      </c>
      <c r="J107" s="45">
        <v>1000</v>
      </c>
      <c r="K107" s="44">
        <f t="shared" si="9"/>
        <v>4000</v>
      </c>
      <c r="L107" s="23">
        <v>0</v>
      </c>
      <c r="M107" s="24">
        <f t="shared" si="6"/>
        <v>0</v>
      </c>
      <c r="N107" s="25">
        <v>10</v>
      </c>
      <c r="O107" s="22">
        <f t="shared" si="7"/>
        <v>500</v>
      </c>
      <c r="P107" s="24">
        <f t="shared" si="8"/>
        <v>2</v>
      </c>
    </row>
    <row r="108" spans="2:16" ht="24" customHeight="1" x14ac:dyDescent="0.25">
      <c r="B108" s="1">
        <v>74</v>
      </c>
      <c r="C108" s="6">
        <v>17283458</v>
      </c>
      <c r="D108" s="2" t="s">
        <v>104</v>
      </c>
      <c r="E108" s="2" t="s">
        <v>569</v>
      </c>
      <c r="F108" s="2">
        <v>6007189</v>
      </c>
      <c r="G108" s="35" t="s">
        <v>658</v>
      </c>
      <c r="H108">
        <v>5000</v>
      </c>
      <c r="I108" s="43">
        <f t="shared" si="5"/>
        <v>5000</v>
      </c>
      <c r="J108" s="45">
        <v>500</v>
      </c>
      <c r="K108" s="44">
        <f t="shared" si="9"/>
        <v>4500</v>
      </c>
      <c r="L108" s="23">
        <v>0</v>
      </c>
      <c r="M108" s="24">
        <f t="shared" si="6"/>
        <v>0</v>
      </c>
      <c r="N108" s="25">
        <v>10</v>
      </c>
      <c r="O108" s="22">
        <f t="shared" si="7"/>
        <v>500</v>
      </c>
      <c r="P108" s="24">
        <f t="shared" si="8"/>
        <v>1</v>
      </c>
    </row>
    <row r="109" spans="2:16" ht="24" customHeight="1" x14ac:dyDescent="0.25">
      <c r="B109" s="1">
        <v>75</v>
      </c>
      <c r="C109" s="6">
        <v>17139797</v>
      </c>
      <c r="D109" s="2" t="s">
        <v>105</v>
      </c>
      <c r="E109" s="2" t="s">
        <v>573</v>
      </c>
      <c r="F109" s="2">
        <v>6030864</v>
      </c>
      <c r="G109" s="35" t="s">
        <v>666</v>
      </c>
      <c r="H109">
        <v>5000</v>
      </c>
      <c r="I109" s="43">
        <f t="shared" si="5"/>
        <v>5000</v>
      </c>
      <c r="J109" s="45">
        <v>500</v>
      </c>
      <c r="K109" s="44">
        <f t="shared" si="9"/>
        <v>4500</v>
      </c>
      <c r="L109" s="23">
        <v>0</v>
      </c>
      <c r="M109" s="24">
        <f t="shared" si="6"/>
        <v>0</v>
      </c>
      <c r="N109" s="25">
        <v>10</v>
      </c>
      <c r="O109" s="22">
        <f t="shared" si="7"/>
        <v>500</v>
      </c>
      <c r="P109" s="24">
        <f t="shared" si="8"/>
        <v>1</v>
      </c>
    </row>
    <row r="110" spans="2:16" ht="24" customHeight="1" x14ac:dyDescent="0.25">
      <c r="B110" s="1">
        <v>76</v>
      </c>
      <c r="C110" s="6">
        <v>15460442</v>
      </c>
      <c r="D110" s="2" t="s">
        <v>106</v>
      </c>
      <c r="E110" s="2" t="s">
        <v>569</v>
      </c>
      <c r="F110" s="2">
        <v>6767300</v>
      </c>
      <c r="G110" s="35" t="s">
        <v>667</v>
      </c>
      <c r="H110">
        <v>5000</v>
      </c>
      <c r="I110" s="43">
        <f t="shared" si="5"/>
        <v>5000</v>
      </c>
      <c r="J110" s="45">
        <v>1500</v>
      </c>
      <c r="K110" s="44">
        <f t="shared" si="9"/>
        <v>3500</v>
      </c>
      <c r="L110" s="23">
        <v>0</v>
      </c>
      <c r="M110" s="24">
        <f t="shared" si="6"/>
        <v>0</v>
      </c>
      <c r="N110" s="25">
        <v>10</v>
      </c>
      <c r="O110" s="22">
        <f t="shared" si="7"/>
        <v>500</v>
      </c>
      <c r="P110" s="24">
        <f t="shared" si="8"/>
        <v>3</v>
      </c>
    </row>
    <row r="111" spans="2:16" ht="24" customHeight="1" x14ac:dyDescent="0.25">
      <c r="B111" s="1">
        <v>77</v>
      </c>
      <c r="C111" s="6">
        <v>15244068</v>
      </c>
      <c r="D111" s="2" t="s">
        <v>107</v>
      </c>
      <c r="E111" s="2" t="s">
        <v>565</v>
      </c>
      <c r="F111" s="2">
        <v>4781371</v>
      </c>
      <c r="G111" s="35" t="s">
        <v>668</v>
      </c>
      <c r="H111">
        <v>5000</v>
      </c>
      <c r="I111" s="43">
        <f t="shared" si="5"/>
        <v>5000</v>
      </c>
      <c r="J111" s="45">
        <v>500</v>
      </c>
      <c r="K111" s="44">
        <f t="shared" si="9"/>
        <v>4500</v>
      </c>
      <c r="L111" s="23">
        <v>0</v>
      </c>
      <c r="M111" s="24">
        <f t="shared" si="6"/>
        <v>0</v>
      </c>
      <c r="N111" s="25">
        <v>10</v>
      </c>
      <c r="O111" s="22">
        <f t="shared" si="7"/>
        <v>500</v>
      </c>
      <c r="P111" s="24">
        <f t="shared" si="8"/>
        <v>1</v>
      </c>
    </row>
    <row r="112" spans="2:16" ht="24" customHeight="1" x14ac:dyDescent="0.25">
      <c r="B112" s="1">
        <v>78</v>
      </c>
      <c r="C112" s="6">
        <v>15695558</v>
      </c>
      <c r="D112" s="2" t="s">
        <v>108</v>
      </c>
      <c r="E112" s="2" t="s">
        <v>569</v>
      </c>
      <c r="F112" s="2">
        <v>6084373018</v>
      </c>
      <c r="G112" s="35" t="s">
        <v>669</v>
      </c>
      <c r="H112">
        <v>5000</v>
      </c>
      <c r="I112" s="43">
        <f t="shared" si="5"/>
        <v>5000</v>
      </c>
      <c r="J112" s="45">
        <v>500</v>
      </c>
      <c r="K112" s="44">
        <f t="shared" si="9"/>
        <v>4500</v>
      </c>
      <c r="L112" s="23">
        <v>0</v>
      </c>
      <c r="M112" s="24">
        <f t="shared" si="6"/>
        <v>0</v>
      </c>
      <c r="N112" s="25">
        <v>10</v>
      </c>
      <c r="O112" s="22">
        <f t="shared" si="7"/>
        <v>500</v>
      </c>
      <c r="P112" s="24">
        <f t="shared" si="8"/>
        <v>1</v>
      </c>
    </row>
    <row r="113" spans="2:16" ht="24" customHeight="1" x14ac:dyDescent="0.25">
      <c r="B113" s="1">
        <v>78</v>
      </c>
      <c r="C113" s="6">
        <v>16698823</v>
      </c>
      <c r="D113" s="2" t="s">
        <v>109</v>
      </c>
      <c r="E113" s="2" t="s">
        <v>571</v>
      </c>
      <c r="F113" s="2">
        <v>6084373018</v>
      </c>
      <c r="G113" s="35" t="s">
        <v>669</v>
      </c>
      <c r="H113">
        <v>5000</v>
      </c>
      <c r="I113" s="43">
        <f t="shared" si="5"/>
        <v>4750</v>
      </c>
      <c r="J113" s="45">
        <v>475</v>
      </c>
      <c r="K113" s="44">
        <f t="shared" si="9"/>
        <v>4275</v>
      </c>
      <c r="L113" s="23">
        <v>0.05</v>
      </c>
      <c r="M113" s="24">
        <f t="shared" si="6"/>
        <v>250</v>
      </c>
      <c r="N113" s="25">
        <v>10</v>
      </c>
      <c r="O113" s="22">
        <f t="shared" si="7"/>
        <v>475</v>
      </c>
      <c r="P113" s="24">
        <f t="shared" si="8"/>
        <v>1</v>
      </c>
    </row>
    <row r="114" spans="2:16" ht="24" customHeight="1" x14ac:dyDescent="0.25">
      <c r="B114" s="1">
        <v>79</v>
      </c>
      <c r="C114" s="6">
        <v>15632301</v>
      </c>
      <c r="D114" s="2" t="s">
        <v>110</v>
      </c>
      <c r="E114" s="2" t="s">
        <v>569</v>
      </c>
      <c r="F114" s="2">
        <v>10917918014</v>
      </c>
      <c r="G114" s="35" t="s">
        <v>670</v>
      </c>
      <c r="H114">
        <v>5000</v>
      </c>
      <c r="I114" s="43">
        <f t="shared" si="5"/>
        <v>5000</v>
      </c>
      <c r="J114" s="45">
        <v>500</v>
      </c>
      <c r="K114" s="44">
        <f t="shared" si="9"/>
        <v>4500</v>
      </c>
      <c r="L114" s="23">
        <v>0</v>
      </c>
      <c r="M114" s="24">
        <f t="shared" si="6"/>
        <v>0</v>
      </c>
      <c r="N114" s="25">
        <v>10</v>
      </c>
      <c r="O114" s="22">
        <f t="shared" si="7"/>
        <v>500</v>
      </c>
      <c r="P114" s="24">
        <f t="shared" si="8"/>
        <v>1</v>
      </c>
    </row>
    <row r="115" spans="2:16" ht="24" customHeight="1" x14ac:dyDescent="0.25">
      <c r="B115" s="1">
        <v>80</v>
      </c>
      <c r="C115" s="6">
        <v>13216473</v>
      </c>
      <c r="D115" s="2" t="s">
        <v>111</v>
      </c>
      <c r="E115" s="2" t="s">
        <v>576</v>
      </c>
      <c r="F115" s="2">
        <v>7093308</v>
      </c>
      <c r="G115" s="35" t="s">
        <v>617</v>
      </c>
      <c r="H115">
        <v>5000</v>
      </c>
      <c r="I115" s="43">
        <f t="shared" si="5"/>
        <v>5000</v>
      </c>
      <c r="J115" s="45">
        <v>500</v>
      </c>
      <c r="K115" s="44">
        <f t="shared" si="9"/>
        <v>4500</v>
      </c>
      <c r="L115" s="23">
        <v>0</v>
      </c>
      <c r="M115" s="24">
        <f t="shared" si="6"/>
        <v>0</v>
      </c>
      <c r="N115" s="25">
        <v>10</v>
      </c>
      <c r="O115" s="22">
        <f t="shared" si="7"/>
        <v>500</v>
      </c>
      <c r="P115" s="24">
        <f t="shared" si="8"/>
        <v>1</v>
      </c>
    </row>
    <row r="116" spans="2:16" ht="24" customHeight="1" x14ac:dyDescent="0.25">
      <c r="B116" s="1">
        <v>80</v>
      </c>
      <c r="C116" s="6">
        <v>15589528</v>
      </c>
      <c r="D116" s="2" t="s">
        <v>112</v>
      </c>
      <c r="E116" s="2" t="s">
        <v>569</v>
      </c>
      <c r="F116" s="2">
        <v>7093308</v>
      </c>
      <c r="G116" s="35" t="s">
        <v>617</v>
      </c>
      <c r="H116">
        <v>5000</v>
      </c>
      <c r="I116" s="43">
        <f t="shared" si="5"/>
        <v>4750</v>
      </c>
      <c r="J116" s="45">
        <v>475</v>
      </c>
      <c r="K116" s="44">
        <f t="shared" si="9"/>
        <v>4275</v>
      </c>
      <c r="L116" s="23">
        <v>0.05</v>
      </c>
      <c r="M116" s="24">
        <f t="shared" si="6"/>
        <v>250</v>
      </c>
      <c r="N116" s="25">
        <v>10</v>
      </c>
      <c r="O116" s="22">
        <f t="shared" si="7"/>
        <v>475</v>
      </c>
      <c r="P116" s="24">
        <f t="shared" si="8"/>
        <v>1</v>
      </c>
    </row>
    <row r="117" spans="2:16" ht="24" customHeight="1" x14ac:dyDescent="0.25">
      <c r="B117" s="1">
        <v>81</v>
      </c>
      <c r="C117" s="6">
        <v>14414544</v>
      </c>
      <c r="D117" s="2" t="s">
        <v>113</v>
      </c>
      <c r="E117" s="2" t="s">
        <v>565</v>
      </c>
      <c r="F117" s="2">
        <v>8358767</v>
      </c>
      <c r="G117" s="35" t="s">
        <v>671</v>
      </c>
      <c r="H117">
        <v>5000</v>
      </c>
      <c r="I117" s="43">
        <f t="shared" si="5"/>
        <v>5000</v>
      </c>
      <c r="J117" s="45">
        <v>500</v>
      </c>
      <c r="K117" s="44">
        <f t="shared" si="9"/>
        <v>4500</v>
      </c>
      <c r="L117" s="23">
        <v>0</v>
      </c>
      <c r="M117" s="24">
        <f t="shared" si="6"/>
        <v>0</v>
      </c>
      <c r="N117" s="25">
        <v>10</v>
      </c>
      <c r="O117" s="22">
        <f t="shared" si="7"/>
        <v>500</v>
      </c>
      <c r="P117" s="24">
        <f t="shared" si="8"/>
        <v>1</v>
      </c>
    </row>
    <row r="118" spans="2:16" ht="24" customHeight="1" x14ac:dyDescent="0.25">
      <c r="B118" s="1">
        <v>82</v>
      </c>
      <c r="C118" s="6">
        <v>15620953</v>
      </c>
      <c r="D118" s="2" t="s">
        <v>114</v>
      </c>
      <c r="E118" s="2" t="s">
        <v>565</v>
      </c>
      <c r="F118" s="2">
        <v>7023602</v>
      </c>
      <c r="G118" s="35" t="s">
        <v>672</v>
      </c>
      <c r="H118">
        <v>5000</v>
      </c>
      <c r="I118" s="43">
        <f t="shared" si="5"/>
        <v>4750</v>
      </c>
      <c r="J118" s="45">
        <v>4750</v>
      </c>
      <c r="K118" s="44">
        <f t="shared" si="9"/>
        <v>0</v>
      </c>
      <c r="L118" s="23">
        <v>0.05</v>
      </c>
      <c r="M118" s="24">
        <f t="shared" si="6"/>
        <v>250</v>
      </c>
      <c r="N118" s="25">
        <v>10</v>
      </c>
      <c r="O118" s="22">
        <f t="shared" si="7"/>
        <v>475</v>
      </c>
      <c r="P118" s="24">
        <f t="shared" si="8"/>
        <v>10</v>
      </c>
    </row>
    <row r="119" spans="2:16" ht="24" customHeight="1" x14ac:dyDescent="0.25">
      <c r="B119" s="1">
        <v>82</v>
      </c>
      <c r="C119" s="6">
        <v>16373994</v>
      </c>
      <c r="D119" s="2" t="s">
        <v>115</v>
      </c>
      <c r="E119" s="2" t="s">
        <v>567</v>
      </c>
      <c r="F119" s="2">
        <v>7023602</v>
      </c>
      <c r="G119" s="35" t="s">
        <v>672</v>
      </c>
      <c r="H119">
        <v>5000</v>
      </c>
      <c r="I119" s="43">
        <f t="shared" si="5"/>
        <v>4750</v>
      </c>
      <c r="J119" s="45">
        <v>475</v>
      </c>
      <c r="K119" s="44">
        <f t="shared" si="9"/>
        <v>4275</v>
      </c>
      <c r="L119" s="23">
        <v>0.05</v>
      </c>
      <c r="M119" s="24">
        <f t="shared" si="6"/>
        <v>250</v>
      </c>
      <c r="N119" s="25">
        <v>10</v>
      </c>
      <c r="O119" s="22">
        <f t="shared" si="7"/>
        <v>475</v>
      </c>
      <c r="P119" s="24">
        <f t="shared" si="8"/>
        <v>1</v>
      </c>
    </row>
    <row r="120" spans="2:16" ht="24" customHeight="1" x14ac:dyDescent="0.25">
      <c r="B120" s="1">
        <v>82</v>
      </c>
      <c r="C120" s="6">
        <v>16234338</v>
      </c>
      <c r="D120" s="2" t="s">
        <v>116</v>
      </c>
      <c r="E120" s="2" t="s">
        <v>570</v>
      </c>
      <c r="F120" s="2">
        <v>7023602</v>
      </c>
      <c r="G120" s="35" t="s">
        <v>672</v>
      </c>
      <c r="H120">
        <v>5000</v>
      </c>
      <c r="I120" s="43">
        <f t="shared" si="5"/>
        <v>4500</v>
      </c>
      <c r="J120" s="45">
        <v>450</v>
      </c>
      <c r="K120" s="44">
        <f t="shared" si="9"/>
        <v>4050</v>
      </c>
      <c r="L120" s="23">
        <v>0.1</v>
      </c>
      <c r="M120" s="24">
        <f t="shared" si="6"/>
        <v>500</v>
      </c>
      <c r="N120" s="25">
        <v>10</v>
      </c>
      <c r="O120" s="22">
        <f t="shared" si="7"/>
        <v>450</v>
      </c>
      <c r="P120" s="24">
        <f t="shared" si="8"/>
        <v>1</v>
      </c>
    </row>
    <row r="121" spans="2:16" ht="24" customHeight="1" x14ac:dyDescent="0.25">
      <c r="B121" s="1">
        <v>83</v>
      </c>
      <c r="C121" s="6">
        <v>13244538</v>
      </c>
      <c r="D121" s="2" t="s">
        <v>117</v>
      </c>
      <c r="E121" s="2" t="s">
        <v>565</v>
      </c>
      <c r="F121" s="2">
        <v>13844265016</v>
      </c>
      <c r="G121" s="35" t="s">
        <v>673</v>
      </c>
      <c r="H121">
        <v>5000</v>
      </c>
      <c r="I121" s="43">
        <f t="shared" si="5"/>
        <v>5000</v>
      </c>
      <c r="J121" s="45">
        <v>500</v>
      </c>
      <c r="K121" s="44">
        <f t="shared" si="9"/>
        <v>4500</v>
      </c>
      <c r="L121" s="23">
        <v>0</v>
      </c>
      <c r="M121" s="24">
        <f t="shared" si="6"/>
        <v>0</v>
      </c>
      <c r="N121" s="25">
        <v>10</v>
      </c>
      <c r="O121" s="22">
        <f t="shared" si="7"/>
        <v>500</v>
      </c>
      <c r="P121" s="24">
        <f t="shared" si="8"/>
        <v>1</v>
      </c>
    </row>
    <row r="122" spans="2:16" ht="24" customHeight="1" x14ac:dyDescent="0.25">
      <c r="B122" s="1">
        <v>83</v>
      </c>
      <c r="C122" s="6">
        <v>16330407</v>
      </c>
      <c r="D122" s="2" t="s">
        <v>118</v>
      </c>
      <c r="E122" s="2" t="s">
        <v>567</v>
      </c>
      <c r="F122" s="2">
        <v>13844265016</v>
      </c>
      <c r="G122" s="35" t="s">
        <v>673</v>
      </c>
      <c r="H122">
        <v>5000</v>
      </c>
      <c r="I122" s="43">
        <f t="shared" si="5"/>
        <v>4750</v>
      </c>
      <c r="J122" s="45">
        <v>475</v>
      </c>
      <c r="K122" s="44">
        <f t="shared" si="9"/>
        <v>4275</v>
      </c>
      <c r="L122" s="23">
        <v>0.05</v>
      </c>
      <c r="M122" s="24">
        <f t="shared" si="6"/>
        <v>250</v>
      </c>
      <c r="N122" s="25">
        <v>10</v>
      </c>
      <c r="O122" s="22">
        <f t="shared" si="7"/>
        <v>475</v>
      </c>
      <c r="P122" s="24">
        <f t="shared" si="8"/>
        <v>1</v>
      </c>
    </row>
    <row r="123" spans="2:16" ht="24" customHeight="1" x14ac:dyDescent="0.25">
      <c r="B123" s="1">
        <v>83</v>
      </c>
      <c r="C123" s="6">
        <v>17284361</v>
      </c>
      <c r="D123" s="2" t="s">
        <v>119</v>
      </c>
      <c r="E123" s="2" t="s">
        <v>568</v>
      </c>
      <c r="F123" s="2">
        <v>13844265016</v>
      </c>
      <c r="G123" s="35" t="s">
        <v>673</v>
      </c>
      <c r="H123" s="47">
        <v>5000</v>
      </c>
      <c r="I123" s="43">
        <f t="shared" si="5"/>
        <v>4500</v>
      </c>
      <c r="J123" s="45">
        <v>450</v>
      </c>
      <c r="K123" s="44">
        <f t="shared" si="9"/>
        <v>4050</v>
      </c>
      <c r="L123" s="23">
        <v>0.1</v>
      </c>
      <c r="M123" s="24">
        <f t="shared" si="6"/>
        <v>500</v>
      </c>
      <c r="N123" s="25">
        <v>10</v>
      </c>
      <c r="O123" s="22">
        <f t="shared" si="7"/>
        <v>450</v>
      </c>
      <c r="P123" s="24">
        <f t="shared" si="8"/>
        <v>1</v>
      </c>
    </row>
    <row r="124" spans="2:16" ht="24" customHeight="1" x14ac:dyDescent="0.25">
      <c r="B124" s="1">
        <v>84</v>
      </c>
      <c r="C124" s="6">
        <v>13244538</v>
      </c>
      <c r="D124" s="2" t="s">
        <v>117</v>
      </c>
      <c r="E124" s="2" t="s">
        <v>565</v>
      </c>
      <c r="F124" s="2">
        <v>13844265016</v>
      </c>
      <c r="G124" s="35" t="s">
        <v>673</v>
      </c>
      <c r="H124" s="34">
        <v>5000</v>
      </c>
      <c r="I124" s="43">
        <f t="shared" si="5"/>
        <v>5000</v>
      </c>
      <c r="J124" s="45">
        <v>500</v>
      </c>
      <c r="K124" s="44">
        <f t="shared" si="9"/>
        <v>4500</v>
      </c>
      <c r="L124" s="23">
        <v>0</v>
      </c>
      <c r="M124" s="24">
        <f t="shared" si="6"/>
        <v>0</v>
      </c>
      <c r="N124" s="25">
        <v>10</v>
      </c>
      <c r="O124" s="22">
        <f t="shared" si="7"/>
        <v>500</v>
      </c>
      <c r="P124" s="24">
        <f t="shared" si="8"/>
        <v>1</v>
      </c>
    </row>
    <row r="125" spans="2:16" ht="24" customHeight="1" x14ac:dyDescent="0.25">
      <c r="B125" s="1">
        <v>84</v>
      </c>
      <c r="C125" s="6">
        <v>16330407</v>
      </c>
      <c r="D125" s="2" t="s">
        <v>118</v>
      </c>
      <c r="E125" s="2" t="s">
        <v>567</v>
      </c>
      <c r="F125" s="2">
        <v>13844265016</v>
      </c>
      <c r="G125" s="35" t="s">
        <v>673</v>
      </c>
      <c r="H125" s="34">
        <v>5000</v>
      </c>
      <c r="I125" s="43">
        <f t="shared" si="5"/>
        <v>4750</v>
      </c>
      <c r="J125" s="45">
        <v>475</v>
      </c>
      <c r="K125" s="44">
        <f t="shared" si="9"/>
        <v>4275</v>
      </c>
      <c r="L125" s="23">
        <v>0.05</v>
      </c>
      <c r="M125" s="24">
        <f t="shared" si="6"/>
        <v>250</v>
      </c>
      <c r="N125" s="25">
        <v>10</v>
      </c>
      <c r="O125" s="22">
        <f t="shared" si="7"/>
        <v>475</v>
      </c>
      <c r="P125" s="24">
        <f t="shared" si="8"/>
        <v>1</v>
      </c>
    </row>
    <row r="126" spans="2:16" ht="24" customHeight="1" x14ac:dyDescent="0.25">
      <c r="B126" s="1">
        <v>84</v>
      </c>
      <c r="C126" s="6">
        <v>17284361</v>
      </c>
      <c r="D126" s="2" t="s">
        <v>119</v>
      </c>
      <c r="E126" s="2" t="s">
        <v>568</v>
      </c>
      <c r="F126" s="2">
        <v>13844265016</v>
      </c>
      <c r="G126" s="35" t="s">
        <v>673</v>
      </c>
      <c r="H126" s="34">
        <v>5000</v>
      </c>
      <c r="I126" s="43">
        <f t="shared" si="5"/>
        <v>4500</v>
      </c>
      <c r="J126" s="45">
        <v>450</v>
      </c>
      <c r="K126" s="44">
        <f t="shared" si="9"/>
        <v>4050</v>
      </c>
      <c r="L126" s="23">
        <v>0.1</v>
      </c>
      <c r="M126" s="24">
        <f t="shared" si="6"/>
        <v>500</v>
      </c>
      <c r="N126" s="25">
        <v>10</v>
      </c>
      <c r="O126" s="22">
        <f t="shared" si="7"/>
        <v>450</v>
      </c>
      <c r="P126" s="24">
        <f t="shared" si="8"/>
        <v>1</v>
      </c>
    </row>
    <row r="127" spans="2:16" ht="24" customHeight="1" x14ac:dyDescent="0.25">
      <c r="B127" s="1">
        <v>85</v>
      </c>
      <c r="C127" s="6">
        <v>1000668</v>
      </c>
      <c r="D127" s="2" t="s">
        <v>120</v>
      </c>
      <c r="E127" s="2" t="s">
        <v>565</v>
      </c>
      <c r="F127" s="2">
        <v>2703591</v>
      </c>
      <c r="G127" s="35" t="s">
        <v>614</v>
      </c>
      <c r="H127" s="34">
        <v>5000</v>
      </c>
      <c r="I127" s="43">
        <f t="shared" si="5"/>
        <v>5000</v>
      </c>
      <c r="J127" s="45">
        <v>1500</v>
      </c>
      <c r="K127" s="44">
        <f t="shared" si="9"/>
        <v>3500</v>
      </c>
      <c r="L127" s="23">
        <v>0</v>
      </c>
      <c r="M127" s="24">
        <f t="shared" si="6"/>
        <v>0</v>
      </c>
      <c r="N127" s="25">
        <v>10</v>
      </c>
      <c r="O127" s="22">
        <f t="shared" si="7"/>
        <v>500</v>
      </c>
      <c r="P127" s="24">
        <f t="shared" si="8"/>
        <v>3</v>
      </c>
    </row>
    <row r="128" spans="2:16" ht="24" customHeight="1" x14ac:dyDescent="0.25">
      <c r="B128" s="1">
        <v>86</v>
      </c>
      <c r="C128" s="6">
        <v>9892444</v>
      </c>
      <c r="D128" s="2" t="s">
        <v>121</v>
      </c>
      <c r="E128" s="2" t="s">
        <v>576</v>
      </c>
      <c r="F128" s="2">
        <v>7060703</v>
      </c>
      <c r="G128" s="35" t="s">
        <v>674</v>
      </c>
      <c r="H128" s="47">
        <v>5000</v>
      </c>
      <c r="I128" s="43">
        <f t="shared" si="5"/>
        <v>5000</v>
      </c>
      <c r="J128" s="45">
        <v>500</v>
      </c>
      <c r="K128" s="44">
        <f t="shared" si="9"/>
        <v>4500</v>
      </c>
      <c r="L128" s="23">
        <v>0</v>
      </c>
      <c r="M128" s="24">
        <f t="shared" si="6"/>
        <v>0</v>
      </c>
      <c r="N128" s="25">
        <v>10</v>
      </c>
      <c r="O128" s="22">
        <f t="shared" si="7"/>
        <v>500</v>
      </c>
      <c r="P128" s="24">
        <f t="shared" si="8"/>
        <v>1</v>
      </c>
    </row>
    <row r="129" spans="2:16" ht="24" customHeight="1" x14ac:dyDescent="0.25">
      <c r="B129" s="1">
        <v>86</v>
      </c>
      <c r="C129" s="6">
        <v>14422693</v>
      </c>
      <c r="D129" s="2" t="s">
        <v>122</v>
      </c>
      <c r="E129" s="2" t="s">
        <v>573</v>
      </c>
      <c r="F129" s="2">
        <v>7060703</v>
      </c>
      <c r="G129" s="35" t="s">
        <v>674</v>
      </c>
      <c r="H129">
        <v>5000</v>
      </c>
      <c r="I129" s="43">
        <f t="shared" si="5"/>
        <v>4750</v>
      </c>
      <c r="J129" s="45">
        <v>475</v>
      </c>
      <c r="K129" s="44">
        <f t="shared" si="9"/>
        <v>4275</v>
      </c>
      <c r="L129" s="23">
        <v>0.05</v>
      </c>
      <c r="M129" s="24">
        <f t="shared" si="6"/>
        <v>250</v>
      </c>
      <c r="N129" s="25">
        <v>10</v>
      </c>
      <c r="O129" s="22">
        <f t="shared" si="7"/>
        <v>475</v>
      </c>
      <c r="P129" s="24">
        <f t="shared" si="8"/>
        <v>1</v>
      </c>
    </row>
    <row r="130" spans="2:16" ht="24" customHeight="1" x14ac:dyDescent="0.25">
      <c r="B130" s="1">
        <v>87</v>
      </c>
      <c r="C130" s="6">
        <v>14488997</v>
      </c>
      <c r="D130" s="2" t="s">
        <v>123</v>
      </c>
      <c r="E130" s="2" t="s">
        <v>566</v>
      </c>
      <c r="F130" s="2">
        <v>4790313</v>
      </c>
      <c r="G130" s="35" t="s">
        <v>675</v>
      </c>
      <c r="H130">
        <v>5000</v>
      </c>
      <c r="I130" s="43">
        <f t="shared" ref="I130:I193" si="10">H130-M130</f>
        <v>5000</v>
      </c>
      <c r="J130" s="45">
        <v>500</v>
      </c>
      <c r="K130" s="44">
        <f t="shared" ref="K130:K193" si="11">I130-J130</f>
        <v>4500</v>
      </c>
      <c r="L130" s="23">
        <v>0</v>
      </c>
      <c r="M130" s="24">
        <f t="shared" ref="M130:M193" si="12">H130*L130</f>
        <v>0</v>
      </c>
      <c r="N130" s="25">
        <v>10</v>
      </c>
      <c r="O130" s="22">
        <f t="shared" ref="O130:O193" si="13">I130/N130</f>
        <v>500</v>
      </c>
      <c r="P130" s="24">
        <f t="shared" ref="P130:P193" si="14">INT(J130/O130)</f>
        <v>1</v>
      </c>
    </row>
    <row r="131" spans="2:16" ht="24" customHeight="1" x14ac:dyDescent="0.25">
      <c r="B131" s="1">
        <v>88</v>
      </c>
      <c r="C131" s="6">
        <v>15045816</v>
      </c>
      <c r="D131" s="2" t="s">
        <v>124</v>
      </c>
      <c r="E131" s="2" t="s">
        <v>575</v>
      </c>
      <c r="F131" s="2">
        <v>6053462</v>
      </c>
      <c r="G131" s="35" t="s">
        <v>674</v>
      </c>
      <c r="H131">
        <v>5000</v>
      </c>
      <c r="I131" s="43">
        <f t="shared" si="10"/>
        <v>5000</v>
      </c>
      <c r="J131" s="45">
        <v>500</v>
      </c>
      <c r="K131" s="44">
        <f t="shared" si="11"/>
        <v>4500</v>
      </c>
      <c r="L131" s="23">
        <v>0</v>
      </c>
      <c r="M131" s="24">
        <f t="shared" si="12"/>
        <v>0</v>
      </c>
      <c r="N131" s="25">
        <v>10</v>
      </c>
      <c r="O131" s="22">
        <f t="shared" si="13"/>
        <v>500</v>
      </c>
      <c r="P131" s="24">
        <f t="shared" si="14"/>
        <v>1</v>
      </c>
    </row>
    <row r="132" spans="2:16" ht="24" customHeight="1" x14ac:dyDescent="0.25">
      <c r="B132" s="1">
        <v>88</v>
      </c>
      <c r="C132" s="6">
        <v>15723644</v>
      </c>
      <c r="D132" s="2" t="s">
        <v>125</v>
      </c>
      <c r="E132" s="2" t="s">
        <v>569</v>
      </c>
      <c r="F132" s="2">
        <v>6053462</v>
      </c>
      <c r="G132" s="35" t="s">
        <v>674</v>
      </c>
      <c r="H132">
        <v>5000</v>
      </c>
      <c r="I132" s="43">
        <f t="shared" si="10"/>
        <v>4750</v>
      </c>
      <c r="J132" s="45">
        <v>475</v>
      </c>
      <c r="K132" s="44">
        <f t="shared" si="11"/>
        <v>4275</v>
      </c>
      <c r="L132" s="23">
        <v>0.05</v>
      </c>
      <c r="M132" s="24">
        <f t="shared" si="12"/>
        <v>250</v>
      </c>
      <c r="N132" s="25">
        <v>10</v>
      </c>
      <c r="O132" s="22">
        <f t="shared" si="13"/>
        <v>475</v>
      </c>
      <c r="P132" s="24">
        <f t="shared" si="14"/>
        <v>1</v>
      </c>
    </row>
    <row r="133" spans="2:16" ht="24" customHeight="1" x14ac:dyDescent="0.25">
      <c r="B133" s="1">
        <v>89</v>
      </c>
      <c r="C133" s="6">
        <v>14626386</v>
      </c>
      <c r="D133" s="2" t="s">
        <v>126</v>
      </c>
      <c r="E133" s="2" t="s">
        <v>573</v>
      </c>
      <c r="F133" s="2">
        <v>5936643016</v>
      </c>
      <c r="G133" s="35" t="s">
        <v>676</v>
      </c>
      <c r="H133">
        <v>5000</v>
      </c>
      <c r="I133" s="43">
        <f t="shared" si="10"/>
        <v>5000</v>
      </c>
      <c r="J133" s="45">
        <v>1500</v>
      </c>
      <c r="K133" s="44">
        <f t="shared" si="11"/>
        <v>3500</v>
      </c>
      <c r="L133" s="23">
        <v>0</v>
      </c>
      <c r="M133" s="24">
        <f t="shared" si="12"/>
        <v>0</v>
      </c>
      <c r="N133" s="25">
        <v>10</v>
      </c>
      <c r="O133" s="22">
        <f t="shared" si="13"/>
        <v>500</v>
      </c>
      <c r="P133" s="24">
        <f t="shared" si="14"/>
        <v>3</v>
      </c>
    </row>
    <row r="134" spans="2:16" ht="24" customHeight="1" x14ac:dyDescent="0.25">
      <c r="B134" s="1">
        <v>89</v>
      </c>
      <c r="C134" s="6">
        <v>14626385</v>
      </c>
      <c r="D134" s="2" t="s">
        <v>127</v>
      </c>
      <c r="E134" s="2" t="s">
        <v>575</v>
      </c>
      <c r="F134" s="2">
        <v>5936643016</v>
      </c>
      <c r="G134" s="35" t="s">
        <v>676</v>
      </c>
      <c r="H134">
        <v>5000</v>
      </c>
      <c r="I134" s="43">
        <f t="shared" si="10"/>
        <v>4750</v>
      </c>
      <c r="J134" s="45">
        <v>1425</v>
      </c>
      <c r="K134" s="44">
        <f t="shared" si="11"/>
        <v>3325</v>
      </c>
      <c r="L134" s="23">
        <v>0.05</v>
      </c>
      <c r="M134" s="24">
        <f t="shared" si="12"/>
        <v>250</v>
      </c>
      <c r="N134" s="25">
        <v>10</v>
      </c>
      <c r="O134" s="22">
        <f t="shared" si="13"/>
        <v>475</v>
      </c>
      <c r="P134" s="24">
        <f t="shared" si="14"/>
        <v>3</v>
      </c>
    </row>
    <row r="135" spans="2:16" ht="24" customHeight="1" x14ac:dyDescent="0.25">
      <c r="B135" s="1">
        <v>90</v>
      </c>
      <c r="C135" s="6">
        <v>14039205</v>
      </c>
      <c r="D135" s="2" t="s">
        <v>128</v>
      </c>
      <c r="E135" s="2" t="s">
        <v>576</v>
      </c>
      <c r="F135" s="2">
        <v>8352279</v>
      </c>
      <c r="G135" s="35" t="s">
        <v>677</v>
      </c>
      <c r="H135">
        <v>5000</v>
      </c>
      <c r="I135" s="43">
        <f t="shared" si="10"/>
        <v>5000</v>
      </c>
      <c r="J135" s="45">
        <v>500</v>
      </c>
      <c r="K135" s="44">
        <f t="shared" si="11"/>
        <v>4500</v>
      </c>
      <c r="L135" s="23">
        <v>0</v>
      </c>
      <c r="M135" s="24">
        <f t="shared" si="12"/>
        <v>0</v>
      </c>
      <c r="N135" s="25">
        <v>10</v>
      </c>
      <c r="O135" s="22">
        <f t="shared" si="13"/>
        <v>500</v>
      </c>
      <c r="P135" s="24">
        <f t="shared" si="14"/>
        <v>1</v>
      </c>
    </row>
    <row r="136" spans="2:16" ht="24" customHeight="1" x14ac:dyDescent="0.25">
      <c r="B136" s="1">
        <v>91</v>
      </c>
      <c r="C136" s="6">
        <v>14560961</v>
      </c>
      <c r="D136" s="2" t="s">
        <v>129</v>
      </c>
      <c r="E136" s="2" t="s">
        <v>575</v>
      </c>
      <c r="F136" s="2">
        <v>6061428</v>
      </c>
      <c r="G136" s="35" t="s">
        <v>678</v>
      </c>
      <c r="H136">
        <v>5000</v>
      </c>
      <c r="I136" s="43">
        <f t="shared" si="10"/>
        <v>4750</v>
      </c>
      <c r="J136" s="45">
        <v>4750</v>
      </c>
      <c r="K136" s="44">
        <f t="shared" si="11"/>
        <v>0</v>
      </c>
      <c r="L136" s="23">
        <v>0.05</v>
      </c>
      <c r="M136" s="24">
        <f t="shared" si="12"/>
        <v>250</v>
      </c>
      <c r="N136" s="25">
        <v>10</v>
      </c>
      <c r="O136" s="22">
        <f t="shared" si="13"/>
        <v>475</v>
      </c>
      <c r="P136" s="24">
        <f t="shared" si="14"/>
        <v>10</v>
      </c>
    </row>
    <row r="137" spans="2:16" ht="24" customHeight="1" x14ac:dyDescent="0.25">
      <c r="B137" s="1">
        <v>92</v>
      </c>
      <c r="C137" s="6">
        <v>14229509</v>
      </c>
      <c r="D137" s="2" t="s">
        <v>130</v>
      </c>
      <c r="E137" s="2" t="s">
        <v>574</v>
      </c>
      <c r="F137" s="2">
        <v>5956419</v>
      </c>
      <c r="G137" s="35" t="s">
        <v>679</v>
      </c>
      <c r="H137">
        <v>5000</v>
      </c>
      <c r="I137" s="43">
        <f t="shared" si="10"/>
        <v>5000</v>
      </c>
      <c r="J137" s="45">
        <v>500</v>
      </c>
      <c r="K137" s="44">
        <f t="shared" si="11"/>
        <v>4500</v>
      </c>
      <c r="L137" s="23">
        <v>0</v>
      </c>
      <c r="M137" s="24">
        <f t="shared" si="12"/>
        <v>0</v>
      </c>
      <c r="N137" s="25">
        <v>10</v>
      </c>
      <c r="O137" s="22">
        <f t="shared" si="13"/>
        <v>500</v>
      </c>
      <c r="P137" s="24">
        <f t="shared" si="14"/>
        <v>1</v>
      </c>
    </row>
    <row r="138" spans="2:16" ht="24" customHeight="1" x14ac:dyDescent="0.25">
      <c r="B138" s="1">
        <v>92</v>
      </c>
      <c r="C138" s="6">
        <v>14228194</v>
      </c>
      <c r="D138" s="2" t="s">
        <v>131</v>
      </c>
      <c r="E138" s="2" t="s">
        <v>573</v>
      </c>
      <c r="F138" s="2">
        <v>5956419</v>
      </c>
      <c r="G138" s="35" t="s">
        <v>679</v>
      </c>
      <c r="H138">
        <v>5000</v>
      </c>
      <c r="I138" s="43">
        <f t="shared" si="10"/>
        <v>4750</v>
      </c>
      <c r="J138" s="45">
        <v>475</v>
      </c>
      <c r="K138" s="44">
        <f t="shared" si="11"/>
        <v>4275</v>
      </c>
      <c r="L138" s="23">
        <v>0.05</v>
      </c>
      <c r="M138" s="24">
        <f t="shared" si="12"/>
        <v>250</v>
      </c>
      <c r="N138" s="25">
        <v>10</v>
      </c>
      <c r="O138" s="22">
        <f t="shared" si="13"/>
        <v>475</v>
      </c>
      <c r="P138" s="24">
        <f t="shared" si="14"/>
        <v>1</v>
      </c>
    </row>
    <row r="139" spans="2:16" ht="24" customHeight="1" x14ac:dyDescent="0.25">
      <c r="B139" s="1">
        <v>93</v>
      </c>
      <c r="C139" s="6">
        <v>17143738</v>
      </c>
      <c r="D139" s="2" t="s">
        <v>132</v>
      </c>
      <c r="E139" s="2" t="s">
        <v>568</v>
      </c>
      <c r="F139" s="2">
        <v>7072081</v>
      </c>
      <c r="G139" s="35" t="s">
        <v>665</v>
      </c>
      <c r="H139">
        <v>5000</v>
      </c>
      <c r="I139" s="43">
        <f t="shared" si="10"/>
        <v>5000</v>
      </c>
      <c r="J139" s="45">
        <v>500</v>
      </c>
      <c r="K139" s="44">
        <f t="shared" si="11"/>
        <v>4500</v>
      </c>
      <c r="L139" s="23">
        <v>0</v>
      </c>
      <c r="M139" s="24">
        <f t="shared" si="12"/>
        <v>0</v>
      </c>
      <c r="N139" s="25">
        <v>10</v>
      </c>
      <c r="O139" s="22">
        <f t="shared" si="13"/>
        <v>500</v>
      </c>
      <c r="P139" s="24">
        <f t="shared" si="14"/>
        <v>1</v>
      </c>
    </row>
    <row r="140" spans="2:16" ht="24" customHeight="1" x14ac:dyDescent="0.25">
      <c r="B140" s="1">
        <v>94</v>
      </c>
      <c r="C140" s="5"/>
      <c r="D140" s="2" t="s">
        <v>99</v>
      </c>
      <c r="E140" s="10"/>
      <c r="F140" s="10"/>
      <c r="G140" s="36"/>
      <c r="H140">
        <v>5000</v>
      </c>
      <c r="I140" s="43">
        <f t="shared" si="10"/>
        <v>5000</v>
      </c>
      <c r="J140" s="45">
        <v>0</v>
      </c>
      <c r="K140" s="44">
        <f t="shared" si="11"/>
        <v>5000</v>
      </c>
      <c r="L140" s="23">
        <v>0</v>
      </c>
      <c r="M140" s="24">
        <f t="shared" si="12"/>
        <v>0</v>
      </c>
      <c r="N140" s="25">
        <v>10</v>
      </c>
      <c r="O140" s="22">
        <f t="shared" si="13"/>
        <v>500</v>
      </c>
      <c r="P140" s="24">
        <f t="shared" si="14"/>
        <v>0</v>
      </c>
    </row>
    <row r="141" spans="2:16" ht="24" customHeight="1" x14ac:dyDescent="0.25">
      <c r="B141" s="1">
        <v>95</v>
      </c>
      <c r="C141" s="6">
        <v>13277824</v>
      </c>
      <c r="D141" s="2" t="s">
        <v>133</v>
      </c>
      <c r="E141" s="2" t="s">
        <v>566</v>
      </c>
      <c r="F141" s="2">
        <v>5475402</v>
      </c>
      <c r="G141" s="35" t="s">
        <v>680</v>
      </c>
      <c r="H141">
        <v>5000</v>
      </c>
      <c r="I141" s="43">
        <f t="shared" si="10"/>
        <v>4750</v>
      </c>
      <c r="J141" s="45">
        <v>4750</v>
      </c>
      <c r="K141" s="44">
        <f t="shared" si="11"/>
        <v>0</v>
      </c>
      <c r="L141" s="23">
        <v>0.05</v>
      </c>
      <c r="M141" s="24">
        <f t="shared" si="12"/>
        <v>250</v>
      </c>
      <c r="N141" s="25">
        <v>10</v>
      </c>
      <c r="O141" s="22">
        <f t="shared" si="13"/>
        <v>475</v>
      </c>
      <c r="P141" s="24">
        <f t="shared" si="14"/>
        <v>10</v>
      </c>
    </row>
    <row r="142" spans="2:16" ht="24" customHeight="1" x14ac:dyDescent="0.25">
      <c r="B142" s="1">
        <v>96</v>
      </c>
      <c r="C142" s="6">
        <v>14905851</v>
      </c>
      <c r="D142" s="2" t="s">
        <v>134</v>
      </c>
      <c r="E142" s="2" t="s">
        <v>565</v>
      </c>
      <c r="F142" s="2">
        <v>3441650</v>
      </c>
      <c r="G142" s="35" t="s">
        <v>681</v>
      </c>
      <c r="H142">
        <v>5000</v>
      </c>
      <c r="I142" s="43">
        <f t="shared" si="10"/>
        <v>5000</v>
      </c>
      <c r="J142" s="45">
        <v>500</v>
      </c>
      <c r="K142" s="44">
        <f t="shared" si="11"/>
        <v>4500</v>
      </c>
      <c r="L142" s="23">
        <v>0</v>
      </c>
      <c r="M142" s="24">
        <f t="shared" si="12"/>
        <v>0</v>
      </c>
      <c r="N142" s="25">
        <v>10</v>
      </c>
      <c r="O142" s="22">
        <f t="shared" si="13"/>
        <v>500</v>
      </c>
      <c r="P142" s="24">
        <f t="shared" si="14"/>
        <v>1</v>
      </c>
    </row>
    <row r="143" spans="2:16" ht="24" customHeight="1" x14ac:dyDescent="0.25">
      <c r="B143" s="1">
        <v>96</v>
      </c>
      <c r="C143" s="6">
        <v>14306016</v>
      </c>
      <c r="D143" s="2" t="s">
        <v>135</v>
      </c>
      <c r="E143" s="2" t="s">
        <v>567</v>
      </c>
      <c r="F143" s="2">
        <v>3441650</v>
      </c>
      <c r="G143" s="35" t="s">
        <v>681</v>
      </c>
      <c r="H143">
        <v>5000</v>
      </c>
      <c r="I143" s="43">
        <f t="shared" si="10"/>
        <v>4750</v>
      </c>
      <c r="J143" s="45">
        <v>475</v>
      </c>
      <c r="K143" s="44">
        <f t="shared" si="11"/>
        <v>4275</v>
      </c>
      <c r="L143" s="23">
        <v>0.05</v>
      </c>
      <c r="M143" s="24">
        <f t="shared" si="12"/>
        <v>250</v>
      </c>
      <c r="N143" s="25">
        <v>10</v>
      </c>
      <c r="O143" s="22">
        <f t="shared" si="13"/>
        <v>475</v>
      </c>
      <c r="P143" s="24">
        <f t="shared" si="14"/>
        <v>1</v>
      </c>
    </row>
    <row r="144" spans="2:16" ht="24" customHeight="1" x14ac:dyDescent="0.25">
      <c r="B144" s="1">
        <v>97</v>
      </c>
      <c r="C144" s="6">
        <v>15389915</v>
      </c>
      <c r="D144" s="2" t="s">
        <v>136</v>
      </c>
      <c r="E144" s="2" t="s">
        <v>569</v>
      </c>
      <c r="F144" s="2">
        <v>7017319</v>
      </c>
      <c r="G144" s="35" t="s">
        <v>682</v>
      </c>
      <c r="H144">
        <v>5000</v>
      </c>
      <c r="I144" s="43">
        <f t="shared" si="10"/>
        <v>4750</v>
      </c>
      <c r="J144" s="45">
        <v>4750</v>
      </c>
      <c r="K144" s="44">
        <f t="shared" si="11"/>
        <v>0</v>
      </c>
      <c r="L144" s="23">
        <v>0.05</v>
      </c>
      <c r="M144" s="24">
        <f t="shared" si="12"/>
        <v>250</v>
      </c>
      <c r="N144" s="25">
        <v>10</v>
      </c>
      <c r="O144" s="22">
        <f t="shared" si="13"/>
        <v>475</v>
      </c>
      <c r="P144" s="24">
        <f t="shared" si="14"/>
        <v>10</v>
      </c>
    </row>
    <row r="145" spans="2:16" ht="24" customHeight="1" x14ac:dyDescent="0.25">
      <c r="B145" s="1">
        <v>98</v>
      </c>
      <c r="C145" s="6">
        <v>13437341</v>
      </c>
      <c r="D145" s="2" t="s">
        <v>137</v>
      </c>
      <c r="E145" s="2" t="s">
        <v>576</v>
      </c>
      <c r="F145" s="2">
        <v>6176759019</v>
      </c>
      <c r="G145" s="35" t="s">
        <v>683</v>
      </c>
      <c r="H145">
        <v>5000</v>
      </c>
      <c r="I145" s="43">
        <f t="shared" si="10"/>
        <v>4750</v>
      </c>
      <c r="J145" s="45">
        <v>4750</v>
      </c>
      <c r="K145" s="44">
        <f t="shared" si="11"/>
        <v>0</v>
      </c>
      <c r="L145" s="23">
        <v>0.05</v>
      </c>
      <c r="M145" s="24">
        <f t="shared" si="12"/>
        <v>250</v>
      </c>
      <c r="N145" s="25">
        <v>10</v>
      </c>
      <c r="O145" s="22">
        <f t="shared" si="13"/>
        <v>475</v>
      </c>
      <c r="P145" s="24">
        <f t="shared" si="14"/>
        <v>10</v>
      </c>
    </row>
    <row r="146" spans="2:16" ht="24" customHeight="1" x14ac:dyDescent="0.25">
      <c r="B146" s="1">
        <v>98</v>
      </c>
      <c r="C146" s="6">
        <v>13313964</v>
      </c>
      <c r="D146" s="2" t="s">
        <v>138</v>
      </c>
      <c r="E146" s="2" t="s">
        <v>573</v>
      </c>
      <c r="F146" s="2">
        <v>6176759019</v>
      </c>
      <c r="G146" s="35" t="s">
        <v>683</v>
      </c>
      <c r="H146">
        <v>5000</v>
      </c>
      <c r="I146" s="43">
        <f t="shared" si="10"/>
        <v>4750</v>
      </c>
      <c r="J146" s="45">
        <v>4750</v>
      </c>
      <c r="K146" s="44">
        <f t="shared" si="11"/>
        <v>0</v>
      </c>
      <c r="L146" s="23">
        <v>0.05</v>
      </c>
      <c r="M146" s="24">
        <f t="shared" si="12"/>
        <v>250</v>
      </c>
      <c r="N146" s="25">
        <v>10</v>
      </c>
      <c r="O146" s="22">
        <f t="shared" si="13"/>
        <v>475</v>
      </c>
      <c r="P146" s="24">
        <f t="shared" si="14"/>
        <v>10</v>
      </c>
    </row>
    <row r="147" spans="2:16" ht="24" customHeight="1" x14ac:dyDescent="0.25">
      <c r="B147" s="1">
        <v>98</v>
      </c>
      <c r="C147" s="6">
        <v>15330490</v>
      </c>
      <c r="D147" s="2" t="s">
        <v>139</v>
      </c>
      <c r="E147" s="2" t="s">
        <v>572</v>
      </c>
      <c r="F147" s="2">
        <v>6176759019</v>
      </c>
      <c r="G147" s="35" t="s">
        <v>683</v>
      </c>
      <c r="H147">
        <v>5000</v>
      </c>
      <c r="I147" s="43">
        <f t="shared" si="10"/>
        <v>4500</v>
      </c>
      <c r="J147" s="45">
        <v>4500</v>
      </c>
      <c r="K147" s="44">
        <f t="shared" si="11"/>
        <v>0</v>
      </c>
      <c r="L147" s="23">
        <v>0.1</v>
      </c>
      <c r="M147" s="24">
        <f t="shared" si="12"/>
        <v>500</v>
      </c>
      <c r="N147" s="25">
        <v>10</v>
      </c>
      <c r="O147" s="22">
        <f t="shared" si="13"/>
        <v>450</v>
      </c>
      <c r="P147" s="24">
        <f t="shared" si="14"/>
        <v>10</v>
      </c>
    </row>
    <row r="148" spans="2:16" ht="24" customHeight="1" x14ac:dyDescent="0.25">
      <c r="B148" s="1">
        <v>99</v>
      </c>
      <c r="C148" s="6">
        <v>16957399</v>
      </c>
      <c r="D148" s="2" t="s">
        <v>140</v>
      </c>
      <c r="E148" s="2" t="s">
        <v>568</v>
      </c>
      <c r="F148" s="2">
        <v>6989831</v>
      </c>
      <c r="G148" s="35" t="s">
        <v>684</v>
      </c>
      <c r="H148">
        <v>5000</v>
      </c>
      <c r="I148" s="43">
        <f t="shared" si="10"/>
        <v>5000</v>
      </c>
      <c r="J148" s="45">
        <v>500</v>
      </c>
      <c r="K148" s="44">
        <f t="shared" si="11"/>
        <v>4500</v>
      </c>
      <c r="L148" s="23">
        <v>0</v>
      </c>
      <c r="M148" s="24">
        <f t="shared" si="12"/>
        <v>0</v>
      </c>
      <c r="N148" s="25">
        <v>10</v>
      </c>
      <c r="O148" s="22">
        <f t="shared" si="13"/>
        <v>500</v>
      </c>
      <c r="P148" s="24">
        <f t="shared" si="14"/>
        <v>1</v>
      </c>
    </row>
    <row r="149" spans="2:16" ht="24" customHeight="1" x14ac:dyDescent="0.25">
      <c r="B149" s="1">
        <v>100</v>
      </c>
      <c r="C149" s="6">
        <v>14651364</v>
      </c>
      <c r="D149" s="2" t="s">
        <v>141</v>
      </c>
      <c r="E149" s="2" t="s">
        <v>573</v>
      </c>
      <c r="F149" s="2">
        <v>9228016</v>
      </c>
      <c r="G149" s="35" t="s">
        <v>674</v>
      </c>
      <c r="H149">
        <v>5000</v>
      </c>
      <c r="I149" s="43">
        <f t="shared" si="10"/>
        <v>5000</v>
      </c>
      <c r="J149" s="45">
        <v>500</v>
      </c>
      <c r="K149" s="44">
        <f t="shared" si="11"/>
        <v>4500</v>
      </c>
      <c r="L149" s="23">
        <v>0</v>
      </c>
      <c r="M149" s="24">
        <f t="shared" si="12"/>
        <v>0</v>
      </c>
      <c r="N149" s="25">
        <v>10</v>
      </c>
      <c r="O149" s="22">
        <f t="shared" si="13"/>
        <v>500</v>
      </c>
      <c r="P149" s="24">
        <f t="shared" si="14"/>
        <v>1</v>
      </c>
    </row>
    <row r="150" spans="2:16" ht="24" customHeight="1" x14ac:dyDescent="0.25">
      <c r="B150" s="1">
        <v>101</v>
      </c>
      <c r="C150" s="6">
        <v>14295068</v>
      </c>
      <c r="D150" s="2" t="s">
        <v>142</v>
      </c>
      <c r="E150" s="2" t="s">
        <v>574</v>
      </c>
      <c r="F150" s="2">
        <v>4954395</v>
      </c>
      <c r="G150" s="35" t="s">
        <v>685</v>
      </c>
      <c r="H150">
        <v>5000</v>
      </c>
      <c r="I150" s="43">
        <f t="shared" si="10"/>
        <v>5000</v>
      </c>
      <c r="J150" s="45">
        <v>500</v>
      </c>
      <c r="K150" s="44">
        <f t="shared" si="11"/>
        <v>4500</v>
      </c>
      <c r="L150" s="23">
        <v>0</v>
      </c>
      <c r="M150" s="24">
        <f t="shared" si="12"/>
        <v>0</v>
      </c>
      <c r="N150" s="25">
        <v>10</v>
      </c>
      <c r="O150" s="22">
        <f t="shared" si="13"/>
        <v>500</v>
      </c>
      <c r="P150" s="24">
        <f t="shared" si="14"/>
        <v>1</v>
      </c>
    </row>
    <row r="151" spans="2:16" ht="24" customHeight="1" x14ac:dyDescent="0.25">
      <c r="B151" s="1">
        <v>101</v>
      </c>
      <c r="C151" s="6">
        <v>14295067</v>
      </c>
      <c r="D151" s="2" t="s">
        <v>143</v>
      </c>
      <c r="E151" s="2" t="s">
        <v>573</v>
      </c>
      <c r="F151" s="2">
        <v>4954396</v>
      </c>
      <c r="G151" s="35" t="s">
        <v>685</v>
      </c>
      <c r="H151">
        <v>5000</v>
      </c>
      <c r="I151" s="43">
        <f t="shared" si="10"/>
        <v>4750</v>
      </c>
      <c r="J151" s="45">
        <v>475</v>
      </c>
      <c r="K151" s="44">
        <f t="shared" si="11"/>
        <v>4275</v>
      </c>
      <c r="L151" s="23">
        <v>0.05</v>
      </c>
      <c r="M151" s="24">
        <f t="shared" si="12"/>
        <v>250</v>
      </c>
      <c r="N151" s="25">
        <v>10</v>
      </c>
      <c r="O151" s="22">
        <f t="shared" si="13"/>
        <v>475</v>
      </c>
      <c r="P151" s="24">
        <f t="shared" si="14"/>
        <v>1</v>
      </c>
    </row>
    <row r="152" spans="2:16" ht="24" customHeight="1" x14ac:dyDescent="0.25">
      <c r="B152" s="1">
        <v>102</v>
      </c>
      <c r="C152" s="6">
        <v>14961578</v>
      </c>
      <c r="D152" s="2" t="s">
        <v>144</v>
      </c>
      <c r="E152" s="2" t="s">
        <v>578</v>
      </c>
      <c r="F152" s="2">
        <v>6049130</v>
      </c>
      <c r="G152" s="35" t="s">
        <v>621</v>
      </c>
      <c r="H152">
        <v>5000</v>
      </c>
      <c r="I152" s="43">
        <f t="shared" si="10"/>
        <v>5000</v>
      </c>
      <c r="J152" s="45">
        <v>500</v>
      </c>
      <c r="K152" s="44">
        <f t="shared" si="11"/>
        <v>4500</v>
      </c>
      <c r="L152" s="23">
        <v>0</v>
      </c>
      <c r="M152" s="24">
        <f t="shared" si="12"/>
        <v>0</v>
      </c>
      <c r="N152" s="25">
        <v>10</v>
      </c>
      <c r="O152" s="22">
        <f t="shared" si="13"/>
        <v>500</v>
      </c>
      <c r="P152" s="24">
        <f t="shared" si="14"/>
        <v>1</v>
      </c>
    </row>
    <row r="153" spans="2:16" ht="24" customHeight="1" x14ac:dyDescent="0.25">
      <c r="B153" s="1">
        <v>102</v>
      </c>
      <c r="C153" s="6">
        <v>14960918</v>
      </c>
      <c r="D153" s="2" t="s">
        <v>145</v>
      </c>
      <c r="E153" s="2" t="s">
        <v>577</v>
      </c>
      <c r="F153" s="2">
        <v>6049131</v>
      </c>
      <c r="G153" s="35" t="s">
        <v>621</v>
      </c>
      <c r="H153">
        <v>5000</v>
      </c>
      <c r="I153" s="43">
        <f t="shared" si="10"/>
        <v>4750</v>
      </c>
      <c r="J153" s="45">
        <v>475</v>
      </c>
      <c r="K153" s="44">
        <f t="shared" si="11"/>
        <v>4275</v>
      </c>
      <c r="L153" s="23">
        <v>0.05</v>
      </c>
      <c r="M153" s="24">
        <f t="shared" si="12"/>
        <v>250</v>
      </c>
      <c r="N153" s="25">
        <v>10</v>
      </c>
      <c r="O153" s="22">
        <f t="shared" si="13"/>
        <v>475</v>
      </c>
      <c r="P153" s="24">
        <f t="shared" si="14"/>
        <v>1</v>
      </c>
    </row>
    <row r="154" spans="2:16" ht="24" customHeight="1" x14ac:dyDescent="0.25">
      <c r="B154" s="1">
        <v>103</v>
      </c>
      <c r="C154" s="6">
        <v>15688453</v>
      </c>
      <c r="D154" s="2" t="s">
        <v>146</v>
      </c>
      <c r="E154" s="2" t="s">
        <v>569</v>
      </c>
      <c r="F154" s="2">
        <v>10037745</v>
      </c>
      <c r="G154" s="35" t="s">
        <v>686</v>
      </c>
      <c r="H154">
        <v>5000</v>
      </c>
      <c r="I154" s="43">
        <f t="shared" si="10"/>
        <v>5000</v>
      </c>
      <c r="J154" s="45">
        <v>1000</v>
      </c>
      <c r="K154" s="44">
        <f t="shared" si="11"/>
        <v>4000</v>
      </c>
      <c r="L154" s="23">
        <v>0</v>
      </c>
      <c r="M154" s="24">
        <f t="shared" si="12"/>
        <v>0</v>
      </c>
      <c r="N154" s="25">
        <v>10</v>
      </c>
      <c r="O154" s="22">
        <f t="shared" si="13"/>
        <v>500</v>
      </c>
      <c r="P154" s="24">
        <f t="shared" si="14"/>
        <v>2</v>
      </c>
    </row>
    <row r="155" spans="2:16" ht="24" customHeight="1" x14ac:dyDescent="0.25">
      <c r="B155" s="1">
        <v>104</v>
      </c>
      <c r="C155" s="6">
        <v>13734958</v>
      </c>
      <c r="D155" s="2" t="s">
        <v>147</v>
      </c>
      <c r="E155" s="2" t="s">
        <v>576</v>
      </c>
      <c r="F155" s="2">
        <v>4808867</v>
      </c>
      <c r="G155" s="35" t="s">
        <v>687</v>
      </c>
      <c r="H155">
        <v>5000</v>
      </c>
      <c r="I155" s="43">
        <f t="shared" si="10"/>
        <v>5000</v>
      </c>
      <c r="J155" s="45">
        <v>500</v>
      </c>
      <c r="K155" s="44">
        <f t="shared" si="11"/>
        <v>4500</v>
      </c>
      <c r="L155" s="23">
        <v>0</v>
      </c>
      <c r="M155" s="24">
        <f t="shared" si="12"/>
        <v>0</v>
      </c>
      <c r="N155" s="25">
        <v>10</v>
      </c>
      <c r="O155" s="22">
        <f t="shared" si="13"/>
        <v>500</v>
      </c>
      <c r="P155" s="24">
        <f t="shared" si="14"/>
        <v>1</v>
      </c>
    </row>
    <row r="156" spans="2:16" ht="24" customHeight="1" x14ac:dyDescent="0.25">
      <c r="B156" s="1">
        <v>104</v>
      </c>
      <c r="C156" s="6">
        <v>15022870</v>
      </c>
      <c r="D156" s="2" t="s">
        <v>148</v>
      </c>
      <c r="E156" s="2" t="s">
        <v>575</v>
      </c>
      <c r="F156" s="2">
        <v>4808867</v>
      </c>
      <c r="G156" s="35" t="s">
        <v>687</v>
      </c>
      <c r="H156">
        <v>5000</v>
      </c>
      <c r="I156" s="43">
        <f t="shared" si="10"/>
        <v>4750</v>
      </c>
      <c r="J156" s="45">
        <v>475</v>
      </c>
      <c r="K156" s="44">
        <f t="shared" si="11"/>
        <v>4275</v>
      </c>
      <c r="L156" s="23">
        <v>0.05</v>
      </c>
      <c r="M156" s="24">
        <f t="shared" si="12"/>
        <v>250</v>
      </c>
      <c r="N156" s="25">
        <v>10</v>
      </c>
      <c r="O156" s="22">
        <f t="shared" si="13"/>
        <v>475</v>
      </c>
      <c r="P156" s="24">
        <f t="shared" si="14"/>
        <v>1</v>
      </c>
    </row>
    <row r="157" spans="2:16" ht="24" customHeight="1" x14ac:dyDescent="0.25">
      <c r="B157" s="1">
        <v>105</v>
      </c>
      <c r="C157" s="6">
        <v>10854612</v>
      </c>
      <c r="D157" s="2" t="s">
        <v>149</v>
      </c>
      <c r="E157" s="2" t="s">
        <v>574</v>
      </c>
      <c r="F157" s="2">
        <v>6874994</v>
      </c>
      <c r="G157" s="35" t="s">
        <v>688</v>
      </c>
      <c r="H157">
        <v>5000</v>
      </c>
      <c r="I157" s="43">
        <f t="shared" si="10"/>
        <v>5000</v>
      </c>
      <c r="J157" s="45">
        <v>500</v>
      </c>
      <c r="K157" s="44">
        <f t="shared" si="11"/>
        <v>4500</v>
      </c>
      <c r="L157" s="23">
        <v>0</v>
      </c>
      <c r="M157" s="24">
        <f t="shared" si="12"/>
        <v>0</v>
      </c>
      <c r="N157" s="25">
        <v>10</v>
      </c>
      <c r="O157" s="22">
        <f t="shared" si="13"/>
        <v>500</v>
      </c>
      <c r="P157" s="24">
        <f t="shared" si="14"/>
        <v>1</v>
      </c>
    </row>
    <row r="158" spans="2:16" ht="24" customHeight="1" x14ac:dyDescent="0.25">
      <c r="B158" s="1">
        <v>105</v>
      </c>
      <c r="C158" s="6">
        <v>17167141</v>
      </c>
      <c r="D158" s="2" t="s">
        <v>150</v>
      </c>
      <c r="E158" s="2" t="s">
        <v>568</v>
      </c>
      <c r="F158" s="2">
        <v>6874995</v>
      </c>
      <c r="G158" s="35" t="s">
        <v>688</v>
      </c>
      <c r="H158">
        <v>5000</v>
      </c>
      <c r="I158" s="43">
        <f t="shared" si="10"/>
        <v>4750</v>
      </c>
      <c r="J158" s="45">
        <v>475</v>
      </c>
      <c r="K158" s="44">
        <f t="shared" si="11"/>
        <v>4275</v>
      </c>
      <c r="L158" s="23">
        <v>0.05</v>
      </c>
      <c r="M158" s="24">
        <f t="shared" si="12"/>
        <v>250</v>
      </c>
      <c r="N158" s="25">
        <v>10</v>
      </c>
      <c r="O158" s="22">
        <f t="shared" si="13"/>
        <v>475</v>
      </c>
      <c r="P158" s="24">
        <f t="shared" si="14"/>
        <v>1</v>
      </c>
    </row>
    <row r="159" spans="2:16" ht="24" customHeight="1" x14ac:dyDescent="0.25">
      <c r="B159" s="1">
        <v>106</v>
      </c>
      <c r="C159" s="6">
        <v>14649882</v>
      </c>
      <c r="D159" s="2" t="s">
        <v>151</v>
      </c>
      <c r="E159" s="2" t="s">
        <v>573</v>
      </c>
      <c r="F159" s="2">
        <v>4817873</v>
      </c>
      <c r="G159" s="35" t="s">
        <v>689</v>
      </c>
      <c r="H159">
        <v>5000</v>
      </c>
      <c r="I159" s="43">
        <f t="shared" si="10"/>
        <v>5000</v>
      </c>
      <c r="J159" s="45">
        <v>500</v>
      </c>
      <c r="K159" s="44">
        <f t="shared" si="11"/>
        <v>4500</v>
      </c>
      <c r="L159" s="23">
        <v>0</v>
      </c>
      <c r="M159" s="24">
        <f t="shared" si="12"/>
        <v>0</v>
      </c>
      <c r="N159" s="25">
        <v>10</v>
      </c>
      <c r="O159" s="22">
        <f t="shared" si="13"/>
        <v>500</v>
      </c>
      <c r="P159" s="24">
        <f t="shared" si="14"/>
        <v>1</v>
      </c>
    </row>
    <row r="160" spans="2:16" ht="24" customHeight="1" x14ac:dyDescent="0.25">
      <c r="B160" s="1">
        <v>107</v>
      </c>
      <c r="C160" s="6">
        <v>15230230</v>
      </c>
      <c r="D160" s="2" t="s">
        <v>152</v>
      </c>
      <c r="E160" s="2" t="s">
        <v>573</v>
      </c>
      <c r="F160" s="2">
        <v>4376875</v>
      </c>
      <c r="G160" s="35" t="s">
        <v>650</v>
      </c>
      <c r="H160">
        <v>5000</v>
      </c>
      <c r="I160" s="43">
        <f t="shared" si="10"/>
        <v>5000</v>
      </c>
      <c r="J160" s="45">
        <v>500</v>
      </c>
      <c r="K160" s="44">
        <f t="shared" si="11"/>
        <v>4500</v>
      </c>
      <c r="L160" s="23">
        <v>0</v>
      </c>
      <c r="M160" s="24">
        <f t="shared" si="12"/>
        <v>0</v>
      </c>
      <c r="N160" s="25">
        <v>10</v>
      </c>
      <c r="O160" s="22">
        <f t="shared" si="13"/>
        <v>500</v>
      </c>
      <c r="P160" s="24">
        <f t="shared" si="14"/>
        <v>1</v>
      </c>
    </row>
    <row r="161" spans="2:16" ht="24" customHeight="1" x14ac:dyDescent="0.25">
      <c r="B161" s="1">
        <v>108</v>
      </c>
      <c r="C161" s="6">
        <v>13968676</v>
      </c>
      <c r="D161" s="2" t="s">
        <v>153</v>
      </c>
      <c r="E161" s="2" t="s">
        <v>565</v>
      </c>
      <c r="F161" s="2">
        <v>6052537</v>
      </c>
      <c r="G161" s="35" t="s">
        <v>630</v>
      </c>
      <c r="H161">
        <v>5000</v>
      </c>
      <c r="I161" s="43">
        <f t="shared" si="10"/>
        <v>5000</v>
      </c>
      <c r="J161" s="45">
        <v>500</v>
      </c>
      <c r="K161" s="44">
        <f t="shared" si="11"/>
        <v>4500</v>
      </c>
      <c r="L161" s="23">
        <v>0</v>
      </c>
      <c r="M161" s="24">
        <f t="shared" si="12"/>
        <v>0</v>
      </c>
      <c r="N161" s="25">
        <v>10</v>
      </c>
      <c r="O161" s="22">
        <f t="shared" si="13"/>
        <v>500</v>
      </c>
      <c r="P161" s="24">
        <f t="shared" si="14"/>
        <v>1</v>
      </c>
    </row>
    <row r="162" spans="2:16" ht="24" customHeight="1" x14ac:dyDescent="0.25">
      <c r="B162" s="1">
        <v>108</v>
      </c>
      <c r="C162" s="6">
        <v>14649576</v>
      </c>
      <c r="D162" s="2" t="s">
        <v>154</v>
      </c>
      <c r="E162" s="2" t="s">
        <v>577</v>
      </c>
      <c r="F162" s="2">
        <v>6052537</v>
      </c>
      <c r="G162" s="35" t="s">
        <v>630</v>
      </c>
      <c r="H162">
        <v>5000</v>
      </c>
      <c r="I162" s="43">
        <f t="shared" si="10"/>
        <v>4750</v>
      </c>
      <c r="J162" s="45">
        <v>475</v>
      </c>
      <c r="K162" s="44">
        <f t="shared" si="11"/>
        <v>4275</v>
      </c>
      <c r="L162" s="23">
        <v>0.05</v>
      </c>
      <c r="M162" s="24">
        <f t="shared" si="12"/>
        <v>250</v>
      </c>
      <c r="N162" s="25">
        <v>10</v>
      </c>
      <c r="O162" s="22">
        <f t="shared" si="13"/>
        <v>475</v>
      </c>
      <c r="P162" s="24">
        <f t="shared" si="14"/>
        <v>1</v>
      </c>
    </row>
    <row r="163" spans="2:16" ht="24" customHeight="1" x14ac:dyDescent="0.25">
      <c r="B163" s="1">
        <v>109</v>
      </c>
      <c r="C163" s="5"/>
      <c r="D163" s="2" t="s">
        <v>99</v>
      </c>
      <c r="E163" s="10"/>
      <c r="F163" s="10"/>
      <c r="G163" s="36"/>
      <c r="H163">
        <v>5000</v>
      </c>
      <c r="I163" s="43">
        <f t="shared" si="10"/>
        <v>5000</v>
      </c>
      <c r="J163" s="45">
        <v>0</v>
      </c>
      <c r="K163" s="44">
        <f>I163-J163</f>
        <v>5000</v>
      </c>
      <c r="L163" s="23">
        <v>0</v>
      </c>
      <c r="M163" s="24">
        <f t="shared" si="12"/>
        <v>0</v>
      </c>
      <c r="N163" s="25">
        <v>10</v>
      </c>
      <c r="O163" s="22">
        <f t="shared" si="13"/>
        <v>500</v>
      </c>
      <c r="P163" s="24">
        <f t="shared" si="14"/>
        <v>0</v>
      </c>
    </row>
    <row r="164" spans="2:16" ht="24" customHeight="1" x14ac:dyDescent="0.25">
      <c r="B164" s="1">
        <v>110</v>
      </c>
      <c r="C164" s="6">
        <v>15132814</v>
      </c>
      <c r="D164" s="2" t="s">
        <v>155</v>
      </c>
      <c r="E164" s="2" t="s">
        <v>573</v>
      </c>
      <c r="F164" s="2">
        <v>3342573014</v>
      </c>
      <c r="G164" s="35" t="s">
        <v>621</v>
      </c>
      <c r="H164">
        <v>5000</v>
      </c>
      <c r="I164" s="43">
        <f t="shared" si="10"/>
        <v>5000</v>
      </c>
      <c r="J164" s="45">
        <v>500</v>
      </c>
      <c r="K164" s="44">
        <f>I164-J164</f>
        <v>4500</v>
      </c>
      <c r="L164" s="23">
        <v>0</v>
      </c>
      <c r="M164" s="24">
        <f t="shared" si="12"/>
        <v>0</v>
      </c>
      <c r="N164" s="25">
        <v>10</v>
      </c>
      <c r="O164" s="22">
        <f t="shared" si="13"/>
        <v>500</v>
      </c>
      <c r="P164" s="24">
        <f t="shared" si="14"/>
        <v>1</v>
      </c>
    </row>
    <row r="165" spans="2:16" ht="24" customHeight="1" x14ac:dyDescent="0.25">
      <c r="B165" s="1">
        <v>110</v>
      </c>
      <c r="C165" s="6">
        <v>17072938</v>
      </c>
      <c r="D165" s="2" t="s">
        <v>156</v>
      </c>
      <c r="E165" s="2" t="s">
        <v>567</v>
      </c>
      <c r="F165" s="2">
        <v>3342573014</v>
      </c>
      <c r="G165" s="35" t="s">
        <v>621</v>
      </c>
      <c r="H165">
        <v>5000</v>
      </c>
      <c r="I165" s="43">
        <f t="shared" si="10"/>
        <v>4750</v>
      </c>
      <c r="J165" s="45">
        <v>475</v>
      </c>
      <c r="K165" s="44">
        <f t="shared" si="11"/>
        <v>4275</v>
      </c>
      <c r="L165" s="23">
        <v>0.05</v>
      </c>
      <c r="M165" s="24">
        <f t="shared" si="12"/>
        <v>250</v>
      </c>
      <c r="N165" s="25">
        <v>10</v>
      </c>
      <c r="O165" s="22">
        <f t="shared" si="13"/>
        <v>475</v>
      </c>
      <c r="P165" s="24">
        <f t="shared" si="14"/>
        <v>1</v>
      </c>
    </row>
    <row r="166" spans="2:16" ht="24" customHeight="1" x14ac:dyDescent="0.25">
      <c r="B166" s="1">
        <v>111</v>
      </c>
      <c r="C166" s="6">
        <v>14905468</v>
      </c>
      <c r="D166" s="2" t="s">
        <v>157</v>
      </c>
      <c r="E166" s="2" t="s">
        <v>578</v>
      </c>
      <c r="F166" s="2">
        <v>6105523</v>
      </c>
      <c r="G166" s="35" t="s">
        <v>690</v>
      </c>
      <c r="H166">
        <v>5000</v>
      </c>
      <c r="I166" s="43">
        <f t="shared" si="10"/>
        <v>4750</v>
      </c>
      <c r="J166" s="45">
        <v>4750</v>
      </c>
      <c r="K166" s="44">
        <f t="shared" si="11"/>
        <v>0</v>
      </c>
      <c r="L166" s="23">
        <v>0.05</v>
      </c>
      <c r="M166" s="24">
        <f t="shared" si="12"/>
        <v>250</v>
      </c>
      <c r="N166" s="25">
        <v>10</v>
      </c>
      <c r="O166" s="22">
        <f t="shared" si="13"/>
        <v>475</v>
      </c>
      <c r="P166" s="24">
        <f t="shared" si="14"/>
        <v>10</v>
      </c>
    </row>
    <row r="167" spans="2:16" ht="24" customHeight="1" x14ac:dyDescent="0.25">
      <c r="B167" s="1">
        <v>112</v>
      </c>
      <c r="C167" s="5"/>
      <c r="D167" s="2" t="s">
        <v>99</v>
      </c>
      <c r="E167" s="10"/>
      <c r="F167" s="10"/>
      <c r="G167" s="36"/>
      <c r="H167">
        <v>5000</v>
      </c>
      <c r="I167" s="43">
        <f t="shared" si="10"/>
        <v>5000</v>
      </c>
      <c r="J167" s="45">
        <v>0</v>
      </c>
      <c r="K167" s="44">
        <f t="shared" si="11"/>
        <v>5000</v>
      </c>
      <c r="L167" s="23">
        <v>0</v>
      </c>
      <c r="M167" s="24">
        <f t="shared" si="12"/>
        <v>0</v>
      </c>
      <c r="N167" s="25">
        <v>10</v>
      </c>
      <c r="O167" s="22">
        <f t="shared" si="13"/>
        <v>500</v>
      </c>
      <c r="P167" s="24">
        <f t="shared" si="14"/>
        <v>0</v>
      </c>
    </row>
    <row r="168" spans="2:16" ht="24" customHeight="1" x14ac:dyDescent="0.25">
      <c r="B168" s="1">
        <v>113</v>
      </c>
      <c r="C168" s="6">
        <v>15603062</v>
      </c>
      <c r="D168" s="2" t="s">
        <v>158</v>
      </c>
      <c r="E168" s="2" t="s">
        <v>573</v>
      </c>
      <c r="F168" s="2">
        <v>9225539</v>
      </c>
      <c r="G168" s="35" t="s">
        <v>673</v>
      </c>
      <c r="H168">
        <v>5000</v>
      </c>
      <c r="I168" s="43">
        <f t="shared" si="10"/>
        <v>5000</v>
      </c>
      <c r="J168" s="45">
        <v>500</v>
      </c>
      <c r="K168" s="44">
        <f t="shared" si="11"/>
        <v>4500</v>
      </c>
      <c r="L168" s="23">
        <v>0</v>
      </c>
      <c r="M168" s="24">
        <f t="shared" si="12"/>
        <v>0</v>
      </c>
      <c r="N168" s="25">
        <v>10</v>
      </c>
      <c r="O168" s="22">
        <f t="shared" si="13"/>
        <v>500</v>
      </c>
      <c r="P168" s="24">
        <f t="shared" si="14"/>
        <v>1</v>
      </c>
    </row>
    <row r="169" spans="2:16" ht="24" customHeight="1" x14ac:dyDescent="0.25">
      <c r="B169" s="1">
        <v>113</v>
      </c>
      <c r="C169" s="6">
        <v>16944203</v>
      </c>
      <c r="D169" s="2" t="s">
        <v>159</v>
      </c>
      <c r="E169" s="2" t="s">
        <v>572</v>
      </c>
      <c r="F169" s="2">
        <v>9225539</v>
      </c>
      <c r="G169" s="35" t="s">
        <v>673</v>
      </c>
      <c r="H169">
        <v>5000</v>
      </c>
      <c r="I169" s="43">
        <f t="shared" si="10"/>
        <v>4750</v>
      </c>
      <c r="J169" s="45">
        <v>475</v>
      </c>
      <c r="K169" s="44">
        <f t="shared" si="11"/>
        <v>4275</v>
      </c>
      <c r="L169" s="23">
        <v>0.05</v>
      </c>
      <c r="M169" s="24">
        <f t="shared" si="12"/>
        <v>250</v>
      </c>
      <c r="N169" s="25">
        <v>10</v>
      </c>
      <c r="O169" s="22">
        <f t="shared" si="13"/>
        <v>475</v>
      </c>
      <c r="P169" s="24">
        <f t="shared" si="14"/>
        <v>1</v>
      </c>
    </row>
    <row r="170" spans="2:16" ht="24" customHeight="1" x14ac:dyDescent="0.25">
      <c r="B170" s="1">
        <v>114</v>
      </c>
      <c r="C170" s="6">
        <v>14781846</v>
      </c>
      <c r="D170" s="2" t="s">
        <v>160</v>
      </c>
      <c r="E170" s="2" t="s">
        <v>573</v>
      </c>
      <c r="F170" s="2">
        <v>6904504</v>
      </c>
      <c r="G170" s="35" t="s">
        <v>691</v>
      </c>
      <c r="H170">
        <v>5000</v>
      </c>
      <c r="I170" s="43">
        <f t="shared" si="10"/>
        <v>5000</v>
      </c>
      <c r="J170" s="45">
        <v>500</v>
      </c>
      <c r="K170" s="44">
        <f t="shared" si="11"/>
        <v>4500</v>
      </c>
      <c r="L170" s="23">
        <v>0</v>
      </c>
      <c r="M170" s="24">
        <f t="shared" si="12"/>
        <v>0</v>
      </c>
      <c r="N170" s="25">
        <v>10</v>
      </c>
      <c r="O170" s="22">
        <f t="shared" si="13"/>
        <v>500</v>
      </c>
      <c r="P170" s="24">
        <f t="shared" si="14"/>
        <v>1</v>
      </c>
    </row>
    <row r="171" spans="2:16" ht="24" customHeight="1" x14ac:dyDescent="0.25">
      <c r="B171" s="1">
        <v>114</v>
      </c>
      <c r="C171" s="6">
        <v>14738965</v>
      </c>
      <c r="D171" s="2" t="s">
        <v>161</v>
      </c>
      <c r="E171" s="2" t="s">
        <v>567</v>
      </c>
      <c r="F171" s="2">
        <v>6904504</v>
      </c>
      <c r="G171" s="35" t="s">
        <v>691</v>
      </c>
      <c r="H171">
        <v>5000</v>
      </c>
      <c r="I171" s="43">
        <f t="shared" si="10"/>
        <v>4750</v>
      </c>
      <c r="J171" s="45">
        <v>475</v>
      </c>
      <c r="K171" s="44">
        <f t="shared" si="11"/>
        <v>4275</v>
      </c>
      <c r="L171" s="23">
        <v>0.05</v>
      </c>
      <c r="M171" s="24">
        <f t="shared" si="12"/>
        <v>250</v>
      </c>
      <c r="N171" s="25">
        <v>10</v>
      </c>
      <c r="O171" s="22">
        <f t="shared" si="13"/>
        <v>475</v>
      </c>
      <c r="P171" s="24">
        <f t="shared" si="14"/>
        <v>1</v>
      </c>
    </row>
    <row r="172" spans="2:16" ht="24" customHeight="1" x14ac:dyDescent="0.25">
      <c r="B172" s="1">
        <v>115</v>
      </c>
      <c r="C172" s="6">
        <v>14155668</v>
      </c>
      <c r="D172" s="2" t="s">
        <v>162</v>
      </c>
      <c r="E172" s="2" t="s">
        <v>573</v>
      </c>
      <c r="F172" s="2">
        <v>6092339</v>
      </c>
      <c r="G172" s="35" t="s">
        <v>672</v>
      </c>
      <c r="H172">
        <v>5000</v>
      </c>
      <c r="I172" s="43">
        <f t="shared" si="10"/>
        <v>4750</v>
      </c>
      <c r="J172" s="45">
        <v>4750</v>
      </c>
      <c r="K172" s="44">
        <f t="shared" si="11"/>
        <v>0</v>
      </c>
      <c r="L172" s="23">
        <v>0.05</v>
      </c>
      <c r="M172" s="24">
        <f t="shared" si="12"/>
        <v>250</v>
      </c>
      <c r="N172" s="25">
        <v>10</v>
      </c>
      <c r="O172" s="22">
        <f t="shared" si="13"/>
        <v>475</v>
      </c>
      <c r="P172" s="24">
        <f t="shared" si="14"/>
        <v>10</v>
      </c>
    </row>
    <row r="173" spans="2:16" ht="24" customHeight="1" x14ac:dyDescent="0.25">
      <c r="B173" s="1">
        <v>116</v>
      </c>
      <c r="C173" s="6">
        <v>13850930</v>
      </c>
      <c r="D173" s="2" t="s">
        <v>163</v>
      </c>
      <c r="E173" s="2" t="s">
        <v>574</v>
      </c>
      <c r="F173" s="2">
        <v>10066725</v>
      </c>
      <c r="G173" s="35" t="s">
        <v>692</v>
      </c>
      <c r="H173">
        <v>5000</v>
      </c>
      <c r="I173" s="43">
        <f t="shared" si="10"/>
        <v>4750</v>
      </c>
      <c r="J173" s="45">
        <v>475</v>
      </c>
      <c r="K173" s="44">
        <f t="shared" si="11"/>
        <v>4275</v>
      </c>
      <c r="L173" s="23">
        <v>0.05</v>
      </c>
      <c r="M173" s="24">
        <f t="shared" si="12"/>
        <v>250</v>
      </c>
      <c r="N173" s="25">
        <v>10</v>
      </c>
      <c r="O173" s="22">
        <f t="shared" si="13"/>
        <v>475</v>
      </c>
      <c r="P173" s="24">
        <f t="shared" si="14"/>
        <v>1</v>
      </c>
    </row>
    <row r="174" spans="2:16" ht="24" customHeight="1" x14ac:dyDescent="0.25">
      <c r="B174" s="1">
        <v>116</v>
      </c>
      <c r="C174" s="6">
        <v>13851008</v>
      </c>
      <c r="D174" s="2" t="s">
        <v>164</v>
      </c>
      <c r="E174" s="2" t="s">
        <v>573</v>
      </c>
      <c r="F174" s="2">
        <v>10066725</v>
      </c>
      <c r="G174" s="35" t="s">
        <v>692</v>
      </c>
      <c r="H174">
        <v>5000</v>
      </c>
      <c r="I174" s="43">
        <f t="shared" si="10"/>
        <v>4500</v>
      </c>
      <c r="J174" s="45">
        <v>450</v>
      </c>
      <c r="K174" s="44">
        <f t="shared" si="11"/>
        <v>4050</v>
      </c>
      <c r="L174" s="23">
        <v>0.1</v>
      </c>
      <c r="M174" s="24">
        <f t="shared" si="12"/>
        <v>500</v>
      </c>
      <c r="N174" s="25">
        <v>10</v>
      </c>
      <c r="O174" s="22">
        <f t="shared" si="13"/>
        <v>450</v>
      </c>
      <c r="P174" s="24">
        <f t="shared" si="14"/>
        <v>1</v>
      </c>
    </row>
    <row r="175" spans="2:16" ht="24" customHeight="1" x14ac:dyDescent="0.25">
      <c r="B175" s="1">
        <v>116</v>
      </c>
      <c r="C175" s="6">
        <v>15425329</v>
      </c>
      <c r="D175" s="2" t="s">
        <v>165</v>
      </c>
      <c r="E175" s="2" t="s">
        <v>577</v>
      </c>
      <c r="F175" s="2">
        <v>10066725</v>
      </c>
      <c r="G175" s="35" t="s">
        <v>692</v>
      </c>
      <c r="H175">
        <v>5000</v>
      </c>
      <c r="I175" s="43">
        <f t="shared" si="10"/>
        <v>4250</v>
      </c>
      <c r="J175" s="45">
        <v>425</v>
      </c>
      <c r="K175" s="44">
        <f t="shared" si="11"/>
        <v>3825</v>
      </c>
      <c r="L175" s="23">
        <v>0.15</v>
      </c>
      <c r="M175" s="24">
        <f t="shared" si="12"/>
        <v>750</v>
      </c>
      <c r="N175" s="25">
        <v>10</v>
      </c>
      <c r="O175" s="22">
        <f t="shared" si="13"/>
        <v>425</v>
      </c>
      <c r="P175" s="24">
        <f t="shared" si="14"/>
        <v>1</v>
      </c>
    </row>
    <row r="176" spans="2:16" ht="24" customHeight="1" x14ac:dyDescent="0.25">
      <c r="B176" s="1">
        <v>117</v>
      </c>
      <c r="C176" s="6">
        <v>16994159</v>
      </c>
      <c r="D176" s="2" t="s">
        <v>166</v>
      </c>
      <c r="E176" s="2" t="s">
        <v>572</v>
      </c>
      <c r="F176" s="2">
        <v>10066725</v>
      </c>
      <c r="G176" s="35" t="s">
        <v>692</v>
      </c>
      <c r="H176">
        <v>5000</v>
      </c>
      <c r="I176" s="43">
        <f t="shared" si="10"/>
        <v>5000</v>
      </c>
      <c r="J176" s="45">
        <v>500</v>
      </c>
      <c r="K176" s="44">
        <f t="shared" si="11"/>
        <v>4500</v>
      </c>
      <c r="L176" s="23">
        <v>0</v>
      </c>
      <c r="M176" s="24">
        <f t="shared" si="12"/>
        <v>0</v>
      </c>
      <c r="N176" s="25">
        <v>10</v>
      </c>
      <c r="O176" s="22">
        <f t="shared" si="13"/>
        <v>500</v>
      </c>
      <c r="P176" s="24">
        <f t="shared" si="14"/>
        <v>1</v>
      </c>
    </row>
    <row r="177" spans="2:16" ht="24" customHeight="1" x14ac:dyDescent="0.25">
      <c r="B177" s="1">
        <v>118</v>
      </c>
      <c r="C177" s="6">
        <v>15157030</v>
      </c>
      <c r="D177" s="2" t="s">
        <v>167</v>
      </c>
      <c r="E177" s="2" t="s">
        <v>572</v>
      </c>
      <c r="F177" s="2">
        <v>3405489</v>
      </c>
      <c r="G177" s="35" t="s">
        <v>693</v>
      </c>
      <c r="H177">
        <v>5000</v>
      </c>
      <c r="I177" s="43">
        <f t="shared" si="10"/>
        <v>5000</v>
      </c>
      <c r="J177" s="45">
        <v>1000</v>
      </c>
      <c r="K177" s="44">
        <f t="shared" si="11"/>
        <v>4000</v>
      </c>
      <c r="L177" s="23">
        <v>0</v>
      </c>
      <c r="M177" s="24">
        <f t="shared" si="12"/>
        <v>0</v>
      </c>
      <c r="N177" s="25">
        <v>10</v>
      </c>
      <c r="O177" s="22">
        <f t="shared" si="13"/>
        <v>500</v>
      </c>
      <c r="P177" s="24">
        <f t="shared" si="14"/>
        <v>2</v>
      </c>
    </row>
    <row r="178" spans="2:16" ht="24" customHeight="1" x14ac:dyDescent="0.25">
      <c r="B178" s="1">
        <v>119</v>
      </c>
      <c r="C178" s="6">
        <v>15447983</v>
      </c>
      <c r="D178" s="2" t="s">
        <v>168</v>
      </c>
      <c r="E178" s="2" t="s">
        <v>573</v>
      </c>
      <c r="F178" s="2">
        <v>6025449</v>
      </c>
      <c r="G178" s="35" t="s">
        <v>629</v>
      </c>
      <c r="H178">
        <v>5000</v>
      </c>
      <c r="I178" s="43">
        <f t="shared" si="10"/>
        <v>5000</v>
      </c>
      <c r="J178" s="45">
        <v>500</v>
      </c>
      <c r="K178" s="44">
        <f t="shared" si="11"/>
        <v>4500</v>
      </c>
      <c r="L178" s="23">
        <v>0</v>
      </c>
      <c r="M178" s="24">
        <f t="shared" si="12"/>
        <v>0</v>
      </c>
      <c r="N178" s="25">
        <v>10</v>
      </c>
      <c r="O178" s="22">
        <f t="shared" si="13"/>
        <v>500</v>
      </c>
      <c r="P178" s="24">
        <f t="shared" si="14"/>
        <v>1</v>
      </c>
    </row>
    <row r="179" spans="2:16" ht="24" customHeight="1" x14ac:dyDescent="0.25">
      <c r="B179" s="1">
        <v>120</v>
      </c>
      <c r="C179" s="6">
        <v>14418010</v>
      </c>
      <c r="D179" s="2" t="s">
        <v>169</v>
      </c>
      <c r="E179" s="2" t="s">
        <v>573</v>
      </c>
      <c r="F179" s="2">
        <v>9100300</v>
      </c>
      <c r="G179" s="35" t="s">
        <v>694</v>
      </c>
      <c r="H179">
        <v>5000</v>
      </c>
      <c r="I179" s="43">
        <f t="shared" si="10"/>
        <v>4750</v>
      </c>
      <c r="J179" s="45">
        <v>4750</v>
      </c>
      <c r="K179" s="44">
        <f t="shared" si="11"/>
        <v>0</v>
      </c>
      <c r="L179" s="23">
        <v>0.05</v>
      </c>
      <c r="M179" s="24">
        <f t="shared" si="12"/>
        <v>250</v>
      </c>
      <c r="N179" s="25">
        <v>10</v>
      </c>
      <c r="O179" s="22">
        <f t="shared" si="13"/>
        <v>475</v>
      </c>
      <c r="P179" s="24">
        <f t="shared" si="14"/>
        <v>10</v>
      </c>
    </row>
    <row r="180" spans="2:16" ht="24" customHeight="1" x14ac:dyDescent="0.25">
      <c r="B180" s="1">
        <v>121</v>
      </c>
      <c r="C180" s="6">
        <v>15146068</v>
      </c>
      <c r="D180" s="2" t="s">
        <v>170</v>
      </c>
      <c r="E180" s="2" t="s">
        <v>577</v>
      </c>
      <c r="F180" s="2">
        <v>4817784018</v>
      </c>
      <c r="G180" s="35" t="s">
        <v>695</v>
      </c>
      <c r="H180">
        <v>5000</v>
      </c>
      <c r="I180" s="43">
        <f t="shared" si="10"/>
        <v>4750</v>
      </c>
      <c r="J180" s="45">
        <v>4750</v>
      </c>
      <c r="K180" s="44">
        <f t="shared" si="11"/>
        <v>0</v>
      </c>
      <c r="L180" s="23">
        <v>0.05</v>
      </c>
      <c r="M180" s="24">
        <f t="shared" si="12"/>
        <v>250</v>
      </c>
      <c r="N180" s="25">
        <v>10</v>
      </c>
      <c r="O180" s="22">
        <f t="shared" si="13"/>
        <v>475</v>
      </c>
      <c r="P180" s="24">
        <f t="shared" si="14"/>
        <v>10</v>
      </c>
    </row>
    <row r="181" spans="2:16" ht="24" customHeight="1" x14ac:dyDescent="0.25">
      <c r="B181" s="1">
        <v>122</v>
      </c>
      <c r="C181" s="6">
        <v>14782313</v>
      </c>
      <c r="D181" s="2" t="s">
        <v>171</v>
      </c>
      <c r="E181" s="2" t="s">
        <v>573</v>
      </c>
      <c r="F181" s="2">
        <v>9884334</v>
      </c>
      <c r="G181" s="35" t="s">
        <v>696</v>
      </c>
      <c r="H181">
        <v>5000</v>
      </c>
      <c r="I181" s="43">
        <f t="shared" si="10"/>
        <v>5000</v>
      </c>
      <c r="J181" s="45">
        <v>500</v>
      </c>
      <c r="K181" s="44">
        <f t="shared" si="11"/>
        <v>4500</v>
      </c>
      <c r="L181" s="23">
        <v>0</v>
      </c>
      <c r="M181" s="24">
        <f t="shared" si="12"/>
        <v>0</v>
      </c>
      <c r="N181" s="25">
        <v>10</v>
      </c>
      <c r="O181" s="22">
        <f t="shared" si="13"/>
        <v>500</v>
      </c>
      <c r="P181" s="24">
        <f t="shared" si="14"/>
        <v>1</v>
      </c>
    </row>
    <row r="182" spans="2:16" ht="24" customHeight="1" x14ac:dyDescent="0.25">
      <c r="B182" s="1">
        <v>123</v>
      </c>
      <c r="C182" s="6">
        <v>14389331</v>
      </c>
      <c r="D182" s="2" t="s">
        <v>172</v>
      </c>
      <c r="E182" s="2" t="s">
        <v>578</v>
      </c>
      <c r="F182" s="2">
        <v>4978130</v>
      </c>
      <c r="G182" s="35" t="s">
        <v>643</v>
      </c>
      <c r="H182">
        <v>5000</v>
      </c>
      <c r="I182" s="43">
        <f t="shared" si="10"/>
        <v>5000</v>
      </c>
      <c r="J182" s="45">
        <v>500</v>
      </c>
      <c r="K182" s="44">
        <f t="shared" si="11"/>
        <v>4500</v>
      </c>
      <c r="L182" s="23">
        <v>0</v>
      </c>
      <c r="M182" s="24">
        <f t="shared" si="12"/>
        <v>0</v>
      </c>
      <c r="N182" s="25">
        <v>10</v>
      </c>
      <c r="O182" s="22">
        <f t="shared" si="13"/>
        <v>500</v>
      </c>
      <c r="P182" s="24">
        <f t="shared" si="14"/>
        <v>1</v>
      </c>
    </row>
    <row r="183" spans="2:16" ht="24" customHeight="1" x14ac:dyDescent="0.25">
      <c r="B183" s="1">
        <v>123</v>
      </c>
      <c r="C183" s="6">
        <v>15685002</v>
      </c>
      <c r="D183" s="2" t="s">
        <v>173</v>
      </c>
      <c r="E183" s="2" t="s">
        <v>572</v>
      </c>
      <c r="F183" s="2">
        <v>4978130</v>
      </c>
      <c r="G183" s="35" t="s">
        <v>643</v>
      </c>
      <c r="H183">
        <v>5000</v>
      </c>
      <c r="I183" s="43">
        <f t="shared" si="10"/>
        <v>4750</v>
      </c>
      <c r="J183" s="45">
        <v>475</v>
      </c>
      <c r="K183" s="44">
        <f t="shared" si="11"/>
        <v>4275</v>
      </c>
      <c r="L183" s="23">
        <v>0.05</v>
      </c>
      <c r="M183" s="24">
        <f t="shared" si="12"/>
        <v>250</v>
      </c>
      <c r="N183" s="25">
        <v>10</v>
      </c>
      <c r="O183" s="22">
        <f t="shared" si="13"/>
        <v>475</v>
      </c>
      <c r="P183" s="24">
        <f t="shared" si="14"/>
        <v>1</v>
      </c>
    </row>
    <row r="184" spans="2:16" ht="24" customHeight="1" x14ac:dyDescent="0.25">
      <c r="B184" s="1">
        <v>124</v>
      </c>
      <c r="C184" s="6">
        <v>14618343</v>
      </c>
      <c r="D184" s="2" t="s">
        <v>174</v>
      </c>
      <c r="E184" s="2" t="s">
        <v>573</v>
      </c>
      <c r="F184" s="2">
        <v>6065426</v>
      </c>
      <c r="G184" s="35" t="s">
        <v>617</v>
      </c>
      <c r="H184">
        <v>5000</v>
      </c>
      <c r="I184" s="43">
        <f t="shared" si="10"/>
        <v>5000</v>
      </c>
      <c r="J184" s="45">
        <v>500</v>
      </c>
      <c r="K184" s="44">
        <f t="shared" si="11"/>
        <v>4500</v>
      </c>
      <c r="L184" s="23">
        <v>0</v>
      </c>
      <c r="M184" s="24">
        <f t="shared" si="12"/>
        <v>0</v>
      </c>
      <c r="N184" s="25">
        <v>10</v>
      </c>
      <c r="O184" s="22">
        <f t="shared" si="13"/>
        <v>500</v>
      </c>
      <c r="P184" s="24">
        <f t="shared" si="14"/>
        <v>1</v>
      </c>
    </row>
    <row r="185" spans="2:16" ht="24" customHeight="1" x14ac:dyDescent="0.25">
      <c r="B185" s="1">
        <v>124</v>
      </c>
      <c r="C185" s="6">
        <v>16946878</v>
      </c>
      <c r="D185" s="2" t="s">
        <v>175</v>
      </c>
      <c r="E185" s="2" t="s">
        <v>567</v>
      </c>
      <c r="F185" s="2">
        <v>6065426</v>
      </c>
      <c r="G185" s="35" t="s">
        <v>617</v>
      </c>
      <c r="H185">
        <v>5000</v>
      </c>
      <c r="I185" s="43">
        <f t="shared" si="10"/>
        <v>4750</v>
      </c>
      <c r="J185" s="45">
        <v>475</v>
      </c>
      <c r="K185" s="44">
        <f t="shared" si="11"/>
        <v>4275</v>
      </c>
      <c r="L185" s="23">
        <v>0.05</v>
      </c>
      <c r="M185" s="24">
        <f t="shared" si="12"/>
        <v>250</v>
      </c>
      <c r="N185" s="25">
        <v>10</v>
      </c>
      <c r="O185" s="22">
        <f t="shared" si="13"/>
        <v>475</v>
      </c>
      <c r="P185" s="24">
        <f t="shared" si="14"/>
        <v>1</v>
      </c>
    </row>
    <row r="186" spans="2:16" ht="24" customHeight="1" x14ac:dyDescent="0.25">
      <c r="B186" s="1">
        <v>125</v>
      </c>
      <c r="C186" s="6">
        <v>16353437</v>
      </c>
      <c r="D186" s="2" t="s">
        <v>176</v>
      </c>
      <c r="E186" s="2" t="s">
        <v>573</v>
      </c>
      <c r="F186" s="2">
        <v>681519035</v>
      </c>
      <c r="G186" s="35" t="s">
        <v>697</v>
      </c>
      <c r="H186">
        <v>5000</v>
      </c>
      <c r="I186" s="43">
        <f t="shared" si="10"/>
        <v>5000</v>
      </c>
      <c r="J186" s="45">
        <v>500</v>
      </c>
      <c r="K186" s="44">
        <f t="shared" si="11"/>
        <v>4500</v>
      </c>
      <c r="L186" s="23">
        <v>0</v>
      </c>
      <c r="M186" s="24">
        <f t="shared" si="12"/>
        <v>0</v>
      </c>
      <c r="N186" s="25">
        <v>10</v>
      </c>
      <c r="O186" s="22">
        <f t="shared" si="13"/>
        <v>500</v>
      </c>
      <c r="P186" s="24">
        <f t="shared" si="14"/>
        <v>1</v>
      </c>
    </row>
    <row r="187" spans="2:16" ht="24" customHeight="1" x14ac:dyDescent="0.25">
      <c r="B187" s="1">
        <v>126</v>
      </c>
      <c r="C187" s="6">
        <v>15897584</v>
      </c>
      <c r="D187" s="2" t="s">
        <v>177</v>
      </c>
      <c r="E187" s="2" t="s">
        <v>569</v>
      </c>
      <c r="F187" s="2">
        <v>7066001</v>
      </c>
      <c r="G187" s="35" t="s">
        <v>667</v>
      </c>
      <c r="H187">
        <v>5000</v>
      </c>
      <c r="I187" s="43">
        <f t="shared" si="10"/>
        <v>5000</v>
      </c>
      <c r="J187" s="45">
        <v>500</v>
      </c>
      <c r="K187" s="44">
        <f t="shared" si="11"/>
        <v>4500</v>
      </c>
      <c r="L187" s="23">
        <v>0</v>
      </c>
      <c r="M187" s="24">
        <f t="shared" si="12"/>
        <v>0</v>
      </c>
      <c r="N187" s="25">
        <v>10</v>
      </c>
      <c r="O187" s="22">
        <f t="shared" si="13"/>
        <v>500</v>
      </c>
      <c r="P187" s="24">
        <f t="shared" si="14"/>
        <v>1</v>
      </c>
    </row>
    <row r="188" spans="2:16" ht="24" customHeight="1" x14ac:dyDescent="0.25">
      <c r="B188" s="1">
        <v>127</v>
      </c>
      <c r="C188" s="6">
        <v>15927609</v>
      </c>
      <c r="D188" s="2" t="s">
        <v>178</v>
      </c>
      <c r="E188" s="2" t="s">
        <v>569</v>
      </c>
      <c r="F188" s="2">
        <v>9962247</v>
      </c>
      <c r="G188" s="35" t="s">
        <v>698</v>
      </c>
      <c r="H188">
        <v>5000</v>
      </c>
      <c r="I188" s="43">
        <f t="shared" si="10"/>
        <v>5000</v>
      </c>
      <c r="J188" s="45">
        <v>500</v>
      </c>
      <c r="K188" s="44">
        <f t="shared" si="11"/>
        <v>4500</v>
      </c>
      <c r="L188" s="23">
        <v>0</v>
      </c>
      <c r="M188" s="24">
        <f t="shared" si="12"/>
        <v>0</v>
      </c>
      <c r="N188" s="25">
        <v>10</v>
      </c>
      <c r="O188" s="22">
        <f t="shared" si="13"/>
        <v>500</v>
      </c>
      <c r="P188" s="24">
        <f t="shared" si="14"/>
        <v>1</v>
      </c>
    </row>
    <row r="189" spans="2:16" ht="24" customHeight="1" x14ac:dyDescent="0.25">
      <c r="B189" s="1">
        <v>128</v>
      </c>
      <c r="C189" s="6">
        <v>18003911</v>
      </c>
      <c r="D189" s="2" t="s">
        <v>179</v>
      </c>
      <c r="E189" s="2" t="s">
        <v>568</v>
      </c>
      <c r="F189" s="2">
        <v>685582023</v>
      </c>
      <c r="G189" s="35" t="s">
        <v>699</v>
      </c>
      <c r="H189">
        <v>5000</v>
      </c>
      <c r="I189" s="43">
        <f t="shared" si="10"/>
        <v>4750</v>
      </c>
      <c r="J189" s="45">
        <v>4750</v>
      </c>
      <c r="K189" s="44">
        <f t="shared" si="11"/>
        <v>0</v>
      </c>
      <c r="L189" s="23">
        <v>0.05</v>
      </c>
      <c r="M189" s="24">
        <f t="shared" si="12"/>
        <v>250</v>
      </c>
      <c r="N189" s="25">
        <v>10</v>
      </c>
      <c r="O189" s="22">
        <f t="shared" si="13"/>
        <v>475</v>
      </c>
      <c r="P189" s="24">
        <f t="shared" si="14"/>
        <v>10</v>
      </c>
    </row>
    <row r="190" spans="2:16" ht="24" customHeight="1" x14ac:dyDescent="0.25">
      <c r="B190" s="1">
        <v>129</v>
      </c>
      <c r="C190" s="6">
        <v>12673078</v>
      </c>
      <c r="D190" s="2" t="s">
        <v>180</v>
      </c>
      <c r="E190" s="2" t="s">
        <v>578</v>
      </c>
      <c r="F190" s="2">
        <v>4337857</v>
      </c>
      <c r="G190" s="35" t="s">
        <v>700</v>
      </c>
      <c r="H190">
        <v>5000</v>
      </c>
      <c r="I190" s="43">
        <f t="shared" si="10"/>
        <v>5000</v>
      </c>
      <c r="J190" s="45">
        <v>500</v>
      </c>
      <c r="K190" s="44">
        <f t="shared" si="11"/>
        <v>4500</v>
      </c>
      <c r="L190" s="23">
        <v>0</v>
      </c>
      <c r="M190" s="24">
        <f t="shared" si="12"/>
        <v>0</v>
      </c>
      <c r="N190" s="25">
        <v>10</v>
      </c>
      <c r="O190" s="22">
        <f t="shared" si="13"/>
        <v>500</v>
      </c>
      <c r="P190" s="24">
        <f t="shared" si="14"/>
        <v>1</v>
      </c>
    </row>
    <row r="191" spans="2:16" ht="24" customHeight="1" x14ac:dyDescent="0.25">
      <c r="B191" s="1">
        <v>130</v>
      </c>
      <c r="C191" s="5"/>
      <c r="D191" s="2" t="s">
        <v>99</v>
      </c>
      <c r="E191" s="10"/>
      <c r="F191" s="10"/>
      <c r="G191" s="36"/>
      <c r="H191">
        <v>5000</v>
      </c>
      <c r="I191" s="43">
        <f t="shared" si="10"/>
        <v>5000</v>
      </c>
      <c r="J191" s="45">
        <v>0</v>
      </c>
      <c r="K191" s="44">
        <f t="shared" si="11"/>
        <v>5000</v>
      </c>
      <c r="L191" s="23">
        <v>0</v>
      </c>
      <c r="M191" s="24">
        <f t="shared" si="12"/>
        <v>0</v>
      </c>
      <c r="N191" s="25">
        <v>10</v>
      </c>
      <c r="O191" s="22">
        <f t="shared" si="13"/>
        <v>500</v>
      </c>
      <c r="P191" s="24">
        <f t="shared" si="14"/>
        <v>0</v>
      </c>
    </row>
    <row r="192" spans="2:16" ht="24" customHeight="1" x14ac:dyDescent="0.25">
      <c r="B192" s="1">
        <v>131</v>
      </c>
      <c r="C192" s="6">
        <v>15214712</v>
      </c>
      <c r="D192" s="2" t="s">
        <v>181</v>
      </c>
      <c r="E192" s="2" t="s">
        <v>567</v>
      </c>
      <c r="F192" s="2">
        <v>6773671</v>
      </c>
      <c r="G192" s="35" t="s">
        <v>617</v>
      </c>
      <c r="H192">
        <v>5000</v>
      </c>
      <c r="I192" s="43">
        <f t="shared" si="10"/>
        <v>5000</v>
      </c>
      <c r="J192" s="45">
        <v>2000</v>
      </c>
      <c r="K192" s="44">
        <f t="shared" si="11"/>
        <v>3000</v>
      </c>
      <c r="L192" s="23">
        <v>0</v>
      </c>
      <c r="M192" s="24">
        <f t="shared" si="12"/>
        <v>0</v>
      </c>
      <c r="N192" s="25">
        <v>10</v>
      </c>
      <c r="O192" s="22">
        <f t="shared" si="13"/>
        <v>500</v>
      </c>
      <c r="P192" s="24">
        <f t="shared" si="14"/>
        <v>4</v>
      </c>
    </row>
    <row r="193" spans="2:16" ht="24" customHeight="1" x14ac:dyDescent="0.25">
      <c r="B193" s="1">
        <v>132</v>
      </c>
      <c r="C193" s="6">
        <v>13844739</v>
      </c>
      <c r="D193" s="2" t="s">
        <v>182</v>
      </c>
      <c r="E193" s="2" t="s">
        <v>573</v>
      </c>
      <c r="F193" s="2">
        <v>6786197</v>
      </c>
      <c r="G193" s="35" t="s">
        <v>658</v>
      </c>
      <c r="H193">
        <v>5000</v>
      </c>
      <c r="I193" s="43">
        <f t="shared" si="10"/>
        <v>5000</v>
      </c>
      <c r="J193" s="45">
        <v>500</v>
      </c>
      <c r="K193" s="44">
        <f t="shared" si="11"/>
        <v>4500</v>
      </c>
      <c r="L193" s="23">
        <v>0</v>
      </c>
      <c r="M193" s="24">
        <f t="shared" si="12"/>
        <v>0</v>
      </c>
      <c r="N193" s="25">
        <v>10</v>
      </c>
      <c r="O193" s="22">
        <f t="shared" si="13"/>
        <v>500</v>
      </c>
      <c r="P193" s="24">
        <f t="shared" si="14"/>
        <v>1</v>
      </c>
    </row>
    <row r="194" spans="2:16" ht="24" customHeight="1" x14ac:dyDescent="0.25">
      <c r="B194" s="1">
        <v>133</v>
      </c>
      <c r="C194" s="6">
        <v>16781007</v>
      </c>
      <c r="D194" s="2" t="s">
        <v>183</v>
      </c>
      <c r="E194" s="2" t="s">
        <v>573</v>
      </c>
      <c r="F194" s="2">
        <v>9227998</v>
      </c>
      <c r="G194" s="35" t="s">
        <v>701</v>
      </c>
      <c r="H194">
        <v>5000</v>
      </c>
      <c r="I194" s="43">
        <f t="shared" ref="I194:I257" si="15">H194-M194</f>
        <v>5000</v>
      </c>
      <c r="J194" s="45">
        <v>1000</v>
      </c>
      <c r="K194" s="44">
        <f t="shared" ref="K194:K256" si="16">I194-J194</f>
        <v>4000</v>
      </c>
      <c r="L194" s="23">
        <v>0</v>
      </c>
      <c r="M194" s="24">
        <f t="shared" ref="M194:M257" si="17">H194*L194</f>
        <v>0</v>
      </c>
      <c r="N194" s="25">
        <v>10</v>
      </c>
      <c r="O194" s="22">
        <f t="shared" ref="O194:O257" si="18">I194/N194</f>
        <v>500</v>
      </c>
      <c r="P194" s="24">
        <f t="shared" ref="P194:P257" si="19">INT(J194/O194)</f>
        <v>2</v>
      </c>
    </row>
    <row r="195" spans="2:16" ht="24" customHeight="1" x14ac:dyDescent="0.25">
      <c r="B195" s="1">
        <v>134</v>
      </c>
      <c r="C195" s="6">
        <v>15505298</v>
      </c>
      <c r="D195" s="2" t="s">
        <v>184</v>
      </c>
      <c r="E195" s="2" t="s">
        <v>575</v>
      </c>
      <c r="F195" s="2">
        <v>6975566</v>
      </c>
      <c r="G195" s="35" t="s">
        <v>702</v>
      </c>
      <c r="H195">
        <v>5000</v>
      </c>
      <c r="I195" s="43">
        <f t="shared" si="15"/>
        <v>5000</v>
      </c>
      <c r="J195" s="45">
        <v>500</v>
      </c>
      <c r="K195" s="44">
        <f t="shared" si="16"/>
        <v>4500</v>
      </c>
      <c r="L195" s="23">
        <v>0</v>
      </c>
      <c r="M195" s="24">
        <f t="shared" si="17"/>
        <v>0</v>
      </c>
      <c r="N195" s="25">
        <v>10</v>
      </c>
      <c r="O195" s="22">
        <f t="shared" si="18"/>
        <v>500</v>
      </c>
      <c r="P195" s="24">
        <f t="shared" si="19"/>
        <v>1</v>
      </c>
    </row>
    <row r="196" spans="2:16" ht="24" customHeight="1" x14ac:dyDescent="0.25">
      <c r="B196" s="1">
        <v>134</v>
      </c>
      <c r="C196" s="6">
        <v>15447633</v>
      </c>
      <c r="D196" s="2" t="s">
        <v>185</v>
      </c>
      <c r="E196" s="2" t="s">
        <v>569</v>
      </c>
      <c r="F196" s="2">
        <v>6975566</v>
      </c>
      <c r="G196" s="35" t="s">
        <v>702</v>
      </c>
      <c r="H196">
        <v>5000</v>
      </c>
      <c r="I196" s="43">
        <f t="shared" si="15"/>
        <v>4750</v>
      </c>
      <c r="J196" s="45">
        <v>475</v>
      </c>
      <c r="K196" s="44">
        <f t="shared" si="16"/>
        <v>4275</v>
      </c>
      <c r="L196" s="23">
        <v>0.05</v>
      </c>
      <c r="M196" s="24">
        <f t="shared" si="17"/>
        <v>250</v>
      </c>
      <c r="N196" s="25">
        <v>10</v>
      </c>
      <c r="O196" s="22">
        <f t="shared" si="18"/>
        <v>475</v>
      </c>
      <c r="P196" s="24">
        <f t="shared" si="19"/>
        <v>1</v>
      </c>
    </row>
    <row r="197" spans="2:16" ht="24" customHeight="1" x14ac:dyDescent="0.25">
      <c r="B197" s="1">
        <v>135</v>
      </c>
      <c r="C197" s="6">
        <v>15500397</v>
      </c>
      <c r="D197" s="2" t="s">
        <v>186</v>
      </c>
      <c r="E197" s="2" t="s">
        <v>567</v>
      </c>
      <c r="F197" s="2">
        <v>7082019</v>
      </c>
      <c r="G197" s="35" t="s">
        <v>703</v>
      </c>
      <c r="H197">
        <v>5000</v>
      </c>
      <c r="I197" s="43">
        <f t="shared" si="15"/>
        <v>4750</v>
      </c>
      <c r="J197" s="45">
        <v>4750</v>
      </c>
      <c r="K197" s="44">
        <f t="shared" si="16"/>
        <v>0</v>
      </c>
      <c r="L197" s="23">
        <v>0.05</v>
      </c>
      <c r="M197" s="24">
        <f t="shared" si="17"/>
        <v>250</v>
      </c>
      <c r="N197" s="25">
        <v>10</v>
      </c>
      <c r="O197" s="22">
        <f t="shared" si="18"/>
        <v>475</v>
      </c>
      <c r="P197" s="24">
        <f t="shared" si="19"/>
        <v>10</v>
      </c>
    </row>
    <row r="198" spans="2:16" ht="24" customHeight="1" x14ac:dyDescent="0.25">
      <c r="B198" s="1">
        <v>135</v>
      </c>
      <c r="C198" s="6">
        <v>15500430</v>
      </c>
      <c r="D198" s="2" t="s">
        <v>187</v>
      </c>
      <c r="E198" s="2" t="s">
        <v>569</v>
      </c>
      <c r="F198" s="2">
        <v>7082019</v>
      </c>
      <c r="G198" s="35" t="s">
        <v>703</v>
      </c>
      <c r="H198">
        <v>5000</v>
      </c>
      <c r="I198" s="43">
        <f t="shared" si="15"/>
        <v>4750</v>
      </c>
      <c r="J198" s="45">
        <v>4750</v>
      </c>
      <c r="K198" s="44">
        <f t="shared" si="16"/>
        <v>0</v>
      </c>
      <c r="L198" s="23">
        <v>0.05</v>
      </c>
      <c r="M198" s="24">
        <f t="shared" si="17"/>
        <v>250</v>
      </c>
      <c r="N198" s="25">
        <v>10</v>
      </c>
      <c r="O198" s="22">
        <f t="shared" si="18"/>
        <v>475</v>
      </c>
      <c r="P198" s="24">
        <f t="shared" si="19"/>
        <v>10</v>
      </c>
    </row>
    <row r="199" spans="2:16" ht="24" customHeight="1" x14ac:dyDescent="0.25">
      <c r="B199" s="1">
        <v>136</v>
      </c>
      <c r="C199" s="6">
        <v>16672785</v>
      </c>
      <c r="D199" s="2" t="s">
        <v>188</v>
      </c>
      <c r="E199" s="2" t="s">
        <v>567</v>
      </c>
      <c r="F199" s="2">
        <v>12639786017</v>
      </c>
      <c r="G199" s="35" t="s">
        <v>694</v>
      </c>
      <c r="H199">
        <v>5000</v>
      </c>
      <c r="I199" s="43">
        <f t="shared" si="15"/>
        <v>5000</v>
      </c>
      <c r="J199" s="45">
        <v>500</v>
      </c>
      <c r="K199" s="44">
        <f t="shared" si="16"/>
        <v>4500</v>
      </c>
      <c r="L199" s="23">
        <v>0</v>
      </c>
      <c r="M199" s="24">
        <f t="shared" si="17"/>
        <v>0</v>
      </c>
      <c r="N199" s="25">
        <v>10</v>
      </c>
      <c r="O199" s="22">
        <f t="shared" si="18"/>
        <v>500</v>
      </c>
      <c r="P199" s="24">
        <f t="shared" si="19"/>
        <v>1</v>
      </c>
    </row>
    <row r="200" spans="2:16" ht="24" customHeight="1" x14ac:dyDescent="0.25">
      <c r="B200" s="1">
        <v>137</v>
      </c>
      <c r="C200" s="6">
        <v>16734835</v>
      </c>
      <c r="D200" s="2" t="s">
        <v>189</v>
      </c>
      <c r="E200" s="2" t="s">
        <v>571</v>
      </c>
      <c r="F200" s="2">
        <v>11653378</v>
      </c>
      <c r="G200" s="35" t="s">
        <v>704</v>
      </c>
      <c r="H200">
        <v>5000</v>
      </c>
      <c r="I200" s="43">
        <f t="shared" si="15"/>
        <v>5000</v>
      </c>
      <c r="J200" s="45">
        <v>500</v>
      </c>
      <c r="K200" s="44">
        <f t="shared" si="16"/>
        <v>4500</v>
      </c>
      <c r="L200" s="23">
        <v>0</v>
      </c>
      <c r="M200" s="24">
        <f t="shared" si="17"/>
        <v>0</v>
      </c>
      <c r="N200" s="25">
        <v>10</v>
      </c>
      <c r="O200" s="22">
        <f t="shared" si="18"/>
        <v>500</v>
      </c>
      <c r="P200" s="24">
        <f t="shared" si="19"/>
        <v>1</v>
      </c>
    </row>
    <row r="201" spans="2:16" ht="24" customHeight="1" x14ac:dyDescent="0.25">
      <c r="B201" s="1">
        <v>138</v>
      </c>
      <c r="C201" s="6">
        <v>15399763</v>
      </c>
      <c r="D201" s="2" t="s">
        <v>190</v>
      </c>
      <c r="E201" s="2" t="s">
        <v>569</v>
      </c>
      <c r="F201" s="2">
        <v>12576569</v>
      </c>
      <c r="G201" s="35" t="s">
        <v>617</v>
      </c>
      <c r="H201">
        <v>5000</v>
      </c>
      <c r="I201" s="43">
        <f t="shared" si="15"/>
        <v>4750</v>
      </c>
      <c r="J201" s="45">
        <v>4750</v>
      </c>
      <c r="K201" s="44">
        <f t="shared" si="16"/>
        <v>0</v>
      </c>
      <c r="L201" s="23">
        <v>0.05</v>
      </c>
      <c r="M201" s="24">
        <f t="shared" si="17"/>
        <v>250</v>
      </c>
      <c r="N201" s="25">
        <v>10</v>
      </c>
      <c r="O201" s="22">
        <f t="shared" si="18"/>
        <v>475</v>
      </c>
      <c r="P201" s="24">
        <f t="shared" si="19"/>
        <v>10</v>
      </c>
    </row>
    <row r="202" spans="2:16" ht="24" customHeight="1" x14ac:dyDescent="0.25">
      <c r="B202" s="1">
        <v>139</v>
      </c>
      <c r="C202" s="6">
        <v>16405840</v>
      </c>
      <c r="D202" s="2" t="s">
        <v>191</v>
      </c>
      <c r="E202" s="2" t="s">
        <v>565</v>
      </c>
      <c r="F202" s="2">
        <v>9958998</v>
      </c>
      <c r="G202" s="35" t="s">
        <v>705</v>
      </c>
      <c r="H202">
        <v>5000</v>
      </c>
      <c r="I202" s="43">
        <f t="shared" si="15"/>
        <v>4750</v>
      </c>
      <c r="J202" s="45">
        <v>475</v>
      </c>
      <c r="K202" s="44">
        <f t="shared" si="16"/>
        <v>4275</v>
      </c>
      <c r="L202" s="23">
        <v>0.05</v>
      </c>
      <c r="M202" s="24">
        <f t="shared" si="17"/>
        <v>250</v>
      </c>
      <c r="N202" s="25">
        <v>10</v>
      </c>
      <c r="O202" s="22">
        <f t="shared" si="18"/>
        <v>475</v>
      </c>
      <c r="P202" s="24">
        <f t="shared" si="19"/>
        <v>1</v>
      </c>
    </row>
    <row r="203" spans="2:16" ht="24" customHeight="1" x14ac:dyDescent="0.25">
      <c r="B203" s="1">
        <v>139</v>
      </c>
      <c r="C203" s="6">
        <v>16183402</v>
      </c>
      <c r="D203" s="2" t="s">
        <v>192</v>
      </c>
      <c r="E203" s="2" t="s">
        <v>578</v>
      </c>
      <c r="F203" s="2">
        <v>9958998</v>
      </c>
      <c r="G203" s="35" t="s">
        <v>705</v>
      </c>
      <c r="H203">
        <v>5000</v>
      </c>
      <c r="I203" s="43">
        <f t="shared" si="15"/>
        <v>5000</v>
      </c>
      <c r="J203" s="45">
        <v>500</v>
      </c>
      <c r="K203" s="44">
        <f t="shared" si="16"/>
        <v>4500</v>
      </c>
      <c r="L203" s="23">
        <v>0</v>
      </c>
      <c r="M203" s="24">
        <f t="shared" si="17"/>
        <v>0</v>
      </c>
      <c r="N203" s="25">
        <v>10</v>
      </c>
      <c r="O203" s="22">
        <f t="shared" si="18"/>
        <v>500</v>
      </c>
      <c r="P203" s="24">
        <f t="shared" si="19"/>
        <v>1</v>
      </c>
    </row>
    <row r="204" spans="2:16" ht="24" customHeight="1" x14ac:dyDescent="0.25">
      <c r="B204" s="1">
        <v>140</v>
      </c>
      <c r="C204" s="6">
        <v>15850415</v>
      </c>
      <c r="D204" s="2" t="s">
        <v>193</v>
      </c>
      <c r="E204" s="2" t="s">
        <v>573</v>
      </c>
      <c r="F204" s="2">
        <v>136621020</v>
      </c>
      <c r="G204" s="35" t="s">
        <v>706</v>
      </c>
      <c r="H204">
        <v>5000</v>
      </c>
      <c r="I204" s="43">
        <f t="shared" si="15"/>
        <v>5000</v>
      </c>
      <c r="J204" s="45">
        <v>500</v>
      </c>
      <c r="K204" s="44">
        <f t="shared" si="16"/>
        <v>4500</v>
      </c>
      <c r="L204" s="23">
        <v>0</v>
      </c>
      <c r="M204" s="24">
        <f t="shared" si="17"/>
        <v>0</v>
      </c>
      <c r="N204" s="25">
        <v>10</v>
      </c>
      <c r="O204" s="22">
        <f t="shared" si="18"/>
        <v>500</v>
      </c>
      <c r="P204" s="24">
        <f t="shared" si="19"/>
        <v>1</v>
      </c>
    </row>
    <row r="205" spans="2:16" ht="24" customHeight="1" x14ac:dyDescent="0.25">
      <c r="B205" s="1">
        <v>140</v>
      </c>
      <c r="C205" s="6">
        <v>15850390</v>
      </c>
      <c r="D205" s="2" t="s">
        <v>194</v>
      </c>
      <c r="E205" s="2" t="s">
        <v>572</v>
      </c>
      <c r="F205" s="2">
        <v>136621020</v>
      </c>
      <c r="G205" s="35" t="s">
        <v>706</v>
      </c>
      <c r="H205">
        <v>5000</v>
      </c>
      <c r="I205" s="43">
        <f t="shared" si="15"/>
        <v>4750</v>
      </c>
      <c r="J205" s="45">
        <v>475</v>
      </c>
      <c r="K205" s="44">
        <f t="shared" si="16"/>
        <v>4275</v>
      </c>
      <c r="L205" s="23">
        <v>0.05</v>
      </c>
      <c r="M205" s="24">
        <f t="shared" si="17"/>
        <v>250</v>
      </c>
      <c r="N205" s="25">
        <v>10</v>
      </c>
      <c r="O205" s="22">
        <f t="shared" si="18"/>
        <v>475</v>
      </c>
      <c r="P205" s="24">
        <f t="shared" si="19"/>
        <v>1</v>
      </c>
    </row>
    <row r="206" spans="2:16" ht="24" customHeight="1" x14ac:dyDescent="0.25">
      <c r="B206" s="1">
        <v>141</v>
      </c>
      <c r="C206" s="6">
        <v>15683161</v>
      </c>
      <c r="D206" s="2" t="s">
        <v>195</v>
      </c>
      <c r="E206" s="2" t="s">
        <v>572</v>
      </c>
      <c r="F206" s="2">
        <v>8385761</v>
      </c>
      <c r="G206" s="35" t="s">
        <v>617</v>
      </c>
      <c r="H206">
        <v>5000</v>
      </c>
      <c r="I206" s="43">
        <f t="shared" si="15"/>
        <v>5000</v>
      </c>
      <c r="J206" s="45">
        <v>500</v>
      </c>
      <c r="K206" s="44">
        <f t="shared" si="16"/>
        <v>4500</v>
      </c>
      <c r="L206" s="23">
        <v>0</v>
      </c>
      <c r="M206" s="24">
        <f t="shared" si="17"/>
        <v>0</v>
      </c>
      <c r="N206" s="25">
        <v>10</v>
      </c>
      <c r="O206" s="22">
        <f t="shared" si="18"/>
        <v>500</v>
      </c>
      <c r="P206" s="24">
        <f t="shared" si="19"/>
        <v>1</v>
      </c>
    </row>
    <row r="207" spans="2:16" ht="24" customHeight="1" x14ac:dyDescent="0.25">
      <c r="B207" s="1">
        <v>141</v>
      </c>
      <c r="C207" s="6">
        <v>17584879</v>
      </c>
      <c r="D207" s="2" t="s">
        <v>196</v>
      </c>
      <c r="E207" s="2" t="s">
        <v>571</v>
      </c>
      <c r="F207" s="2">
        <v>8385761</v>
      </c>
      <c r="G207" s="35" t="s">
        <v>617</v>
      </c>
      <c r="H207">
        <v>5000</v>
      </c>
      <c r="I207" s="43">
        <f t="shared" si="15"/>
        <v>4750</v>
      </c>
      <c r="J207" s="45">
        <v>475</v>
      </c>
      <c r="K207" s="44">
        <f t="shared" si="16"/>
        <v>4275</v>
      </c>
      <c r="L207" s="23">
        <v>0.05</v>
      </c>
      <c r="M207" s="24">
        <f t="shared" si="17"/>
        <v>250</v>
      </c>
      <c r="N207" s="25">
        <v>10</v>
      </c>
      <c r="O207" s="22">
        <f t="shared" si="18"/>
        <v>475</v>
      </c>
      <c r="P207" s="24">
        <f t="shared" si="19"/>
        <v>1</v>
      </c>
    </row>
    <row r="208" spans="2:16" ht="24" customHeight="1" x14ac:dyDescent="0.25">
      <c r="B208" s="1">
        <v>142</v>
      </c>
      <c r="C208" s="6">
        <v>15492672</v>
      </c>
      <c r="D208" s="2" t="s">
        <v>197</v>
      </c>
      <c r="E208" s="2" t="s">
        <v>569</v>
      </c>
      <c r="F208" s="2">
        <v>12988989</v>
      </c>
      <c r="G208" s="35" t="s">
        <v>614</v>
      </c>
      <c r="H208">
        <v>5000</v>
      </c>
      <c r="I208" s="43">
        <f t="shared" si="15"/>
        <v>5000</v>
      </c>
      <c r="J208" s="45">
        <v>500</v>
      </c>
      <c r="K208" s="44">
        <f t="shared" si="16"/>
        <v>4500</v>
      </c>
      <c r="L208" s="23">
        <v>0</v>
      </c>
      <c r="M208" s="24">
        <f t="shared" si="17"/>
        <v>0</v>
      </c>
      <c r="N208" s="25">
        <v>10</v>
      </c>
      <c r="O208" s="22">
        <f t="shared" si="18"/>
        <v>500</v>
      </c>
      <c r="P208" s="24">
        <f t="shared" si="19"/>
        <v>1</v>
      </c>
    </row>
    <row r="209" spans="2:16" ht="24" customHeight="1" x14ac:dyDescent="0.25">
      <c r="B209" s="1">
        <v>143</v>
      </c>
      <c r="C209" s="6">
        <v>13792303</v>
      </c>
      <c r="D209" s="2" t="s">
        <v>198</v>
      </c>
      <c r="E209" s="2" t="s">
        <v>566</v>
      </c>
      <c r="F209" s="2">
        <v>6914990</v>
      </c>
      <c r="G209" s="35" t="s">
        <v>694</v>
      </c>
      <c r="H209">
        <v>5000</v>
      </c>
      <c r="I209" s="43">
        <f t="shared" si="15"/>
        <v>5000</v>
      </c>
      <c r="J209" s="45">
        <v>500</v>
      </c>
      <c r="K209" s="44">
        <f t="shared" si="16"/>
        <v>4500</v>
      </c>
      <c r="L209" s="23">
        <v>0</v>
      </c>
      <c r="M209" s="24">
        <f t="shared" si="17"/>
        <v>0</v>
      </c>
      <c r="N209" s="25">
        <v>10</v>
      </c>
      <c r="O209" s="22">
        <f t="shared" si="18"/>
        <v>500</v>
      </c>
      <c r="P209" s="24">
        <f t="shared" si="19"/>
        <v>1</v>
      </c>
    </row>
    <row r="210" spans="2:16" ht="24" customHeight="1" x14ac:dyDescent="0.25">
      <c r="B210" s="1">
        <v>144</v>
      </c>
      <c r="C210" s="6">
        <v>17132607</v>
      </c>
      <c r="D210" s="2" t="s">
        <v>199</v>
      </c>
      <c r="E210" s="2" t="s">
        <v>568</v>
      </c>
      <c r="F210" s="2">
        <v>6775949</v>
      </c>
      <c r="G210" s="35" t="s">
        <v>707</v>
      </c>
      <c r="H210">
        <v>5000</v>
      </c>
      <c r="I210" s="43">
        <f t="shared" si="15"/>
        <v>5000</v>
      </c>
      <c r="J210" s="45">
        <v>500</v>
      </c>
      <c r="K210" s="44">
        <f t="shared" si="16"/>
        <v>4500</v>
      </c>
      <c r="L210" s="23">
        <v>0</v>
      </c>
      <c r="M210" s="24">
        <f t="shared" si="17"/>
        <v>0</v>
      </c>
      <c r="N210" s="25">
        <v>10</v>
      </c>
      <c r="O210" s="22">
        <f t="shared" si="18"/>
        <v>500</v>
      </c>
      <c r="P210" s="24">
        <f t="shared" si="19"/>
        <v>1</v>
      </c>
    </row>
    <row r="211" spans="2:16" ht="24" customHeight="1" thickBot="1" x14ac:dyDescent="0.3">
      <c r="B211" s="1">
        <v>145</v>
      </c>
      <c r="C211" s="26">
        <v>14798478</v>
      </c>
      <c r="D211" s="2" t="s">
        <v>200</v>
      </c>
      <c r="E211" s="17" t="s">
        <v>578</v>
      </c>
      <c r="F211" s="17">
        <v>6037162</v>
      </c>
      <c r="G211" s="37" t="s">
        <v>629</v>
      </c>
      <c r="H211">
        <v>5000</v>
      </c>
      <c r="I211" s="43">
        <f t="shared" si="15"/>
        <v>5000</v>
      </c>
      <c r="J211" s="45">
        <v>500</v>
      </c>
      <c r="K211" s="44">
        <f t="shared" si="16"/>
        <v>4500</v>
      </c>
      <c r="L211" s="23">
        <v>0</v>
      </c>
      <c r="M211" s="24">
        <f t="shared" si="17"/>
        <v>0</v>
      </c>
      <c r="N211" s="25">
        <v>10</v>
      </c>
      <c r="O211" s="22">
        <f t="shared" si="18"/>
        <v>500</v>
      </c>
      <c r="P211" s="24">
        <f t="shared" si="19"/>
        <v>1</v>
      </c>
    </row>
    <row r="212" spans="2:16" ht="24" customHeight="1" x14ac:dyDescent="0.25">
      <c r="B212" s="7"/>
      <c r="C212" s="7"/>
      <c r="D212" s="8" t="s">
        <v>201</v>
      </c>
      <c r="E212" s="8" t="s">
        <v>584</v>
      </c>
      <c r="F212" s="8"/>
      <c r="G212" s="39"/>
      <c r="H212">
        <v>5000</v>
      </c>
      <c r="I212" s="43">
        <f t="shared" si="15"/>
        <v>4500</v>
      </c>
      <c r="J212" s="4">
        <v>1350</v>
      </c>
      <c r="K212" s="44">
        <f t="shared" si="16"/>
        <v>3150</v>
      </c>
      <c r="L212" s="23">
        <v>0.1</v>
      </c>
      <c r="M212" s="24">
        <f t="shared" si="17"/>
        <v>500</v>
      </c>
      <c r="N212" s="25">
        <v>10</v>
      </c>
      <c r="O212" s="22">
        <f t="shared" si="18"/>
        <v>450</v>
      </c>
      <c r="P212" s="24">
        <f t="shared" si="19"/>
        <v>3</v>
      </c>
    </row>
    <row r="213" spans="2:16" ht="24" customHeight="1" x14ac:dyDescent="0.25">
      <c r="B213" s="7"/>
      <c r="C213" s="7"/>
      <c r="D213" s="8" t="s">
        <v>202</v>
      </c>
      <c r="E213" s="8" t="s">
        <v>583</v>
      </c>
      <c r="F213" s="8"/>
      <c r="G213" s="39"/>
      <c r="H213">
        <v>5000</v>
      </c>
      <c r="I213" s="43">
        <f t="shared" si="15"/>
        <v>4500</v>
      </c>
      <c r="J213" s="4">
        <v>1350</v>
      </c>
      <c r="K213" s="44">
        <f t="shared" si="16"/>
        <v>3150</v>
      </c>
      <c r="L213" s="23">
        <v>0.1</v>
      </c>
      <c r="M213" s="24">
        <f t="shared" si="17"/>
        <v>500</v>
      </c>
      <c r="N213" s="25">
        <v>10</v>
      </c>
      <c r="O213" s="22">
        <f t="shared" si="18"/>
        <v>450</v>
      </c>
      <c r="P213" s="24">
        <f t="shared" si="19"/>
        <v>3</v>
      </c>
    </row>
    <row r="214" spans="2:16" ht="24" customHeight="1" x14ac:dyDescent="0.25">
      <c r="B214" s="7"/>
      <c r="C214" s="7"/>
      <c r="D214" s="8" t="s">
        <v>203</v>
      </c>
      <c r="E214" s="8" t="s">
        <v>589</v>
      </c>
      <c r="F214" s="8"/>
      <c r="G214" s="39"/>
      <c r="H214">
        <v>5000</v>
      </c>
      <c r="I214" s="43">
        <f t="shared" si="15"/>
        <v>4650</v>
      </c>
      <c r="J214" s="4">
        <v>4650</v>
      </c>
      <c r="K214" s="44">
        <f t="shared" si="16"/>
        <v>0</v>
      </c>
      <c r="L214" s="23">
        <v>7.0000000000000007E-2</v>
      </c>
      <c r="M214" s="24">
        <f t="shared" si="17"/>
        <v>350.00000000000006</v>
      </c>
      <c r="N214" s="25">
        <v>10</v>
      </c>
      <c r="O214" s="22">
        <f t="shared" si="18"/>
        <v>465</v>
      </c>
      <c r="P214" s="24">
        <f t="shared" si="19"/>
        <v>10</v>
      </c>
    </row>
    <row r="215" spans="2:16" ht="24" customHeight="1" x14ac:dyDescent="0.25">
      <c r="B215" s="7"/>
      <c r="C215" s="7"/>
      <c r="D215" s="8" t="s">
        <v>204</v>
      </c>
      <c r="E215" s="8" t="s">
        <v>579</v>
      </c>
      <c r="F215" s="8"/>
      <c r="G215" s="39"/>
      <c r="H215">
        <v>5000</v>
      </c>
      <c r="I215" s="43">
        <f t="shared" si="15"/>
        <v>4650</v>
      </c>
      <c r="J215" s="4">
        <v>4650</v>
      </c>
      <c r="K215" s="44">
        <f t="shared" si="16"/>
        <v>0</v>
      </c>
      <c r="L215" s="23">
        <v>7.0000000000000007E-2</v>
      </c>
      <c r="M215" s="24">
        <f t="shared" si="17"/>
        <v>350.00000000000006</v>
      </c>
      <c r="N215" s="25">
        <v>10</v>
      </c>
      <c r="O215" s="22">
        <f t="shared" si="18"/>
        <v>465</v>
      </c>
      <c r="P215" s="24">
        <f t="shared" si="19"/>
        <v>10</v>
      </c>
    </row>
    <row r="216" spans="2:16" ht="24" customHeight="1" thickBot="1" x14ac:dyDescent="0.3">
      <c r="B216" s="7"/>
      <c r="C216" s="7"/>
      <c r="D216" s="8" t="s">
        <v>205</v>
      </c>
      <c r="E216" s="8" t="s">
        <v>587</v>
      </c>
      <c r="F216" s="8"/>
      <c r="G216" s="39"/>
      <c r="H216">
        <v>5000</v>
      </c>
      <c r="I216" s="43">
        <f t="shared" si="15"/>
        <v>4500</v>
      </c>
      <c r="J216" s="4">
        <v>4500</v>
      </c>
      <c r="K216" s="44">
        <f t="shared" si="16"/>
        <v>0</v>
      </c>
      <c r="L216" s="23">
        <v>0.1</v>
      </c>
      <c r="M216" s="24">
        <f t="shared" si="17"/>
        <v>500</v>
      </c>
      <c r="N216" s="25">
        <v>10</v>
      </c>
      <c r="O216" s="22">
        <f t="shared" si="18"/>
        <v>450</v>
      </c>
      <c r="P216" s="24">
        <f t="shared" si="19"/>
        <v>10</v>
      </c>
    </row>
    <row r="217" spans="2:16" ht="24" customHeight="1" x14ac:dyDescent="0.25">
      <c r="B217" s="1">
        <v>146</v>
      </c>
      <c r="C217" s="27">
        <v>15226394</v>
      </c>
      <c r="D217" s="2" t="s">
        <v>206</v>
      </c>
      <c r="E217" s="18" t="s">
        <v>572</v>
      </c>
      <c r="F217" s="18">
        <v>6724381</v>
      </c>
      <c r="G217" s="38" t="s">
        <v>708</v>
      </c>
      <c r="H217">
        <v>5000</v>
      </c>
      <c r="I217" s="43">
        <f t="shared" si="15"/>
        <v>5000</v>
      </c>
      <c r="J217" s="3">
        <v>1500</v>
      </c>
      <c r="K217" s="44">
        <f t="shared" si="16"/>
        <v>3500</v>
      </c>
      <c r="L217" s="23">
        <v>0</v>
      </c>
      <c r="M217" s="24">
        <f t="shared" si="17"/>
        <v>0</v>
      </c>
      <c r="N217" s="25">
        <v>10</v>
      </c>
      <c r="O217" s="22">
        <f t="shared" si="18"/>
        <v>500</v>
      </c>
      <c r="P217" s="24">
        <f t="shared" si="19"/>
        <v>3</v>
      </c>
    </row>
    <row r="218" spans="2:16" ht="24" customHeight="1" x14ac:dyDescent="0.25">
      <c r="B218" s="1">
        <v>147</v>
      </c>
      <c r="C218" s="6">
        <v>16467209</v>
      </c>
      <c r="D218" s="2" t="s">
        <v>207</v>
      </c>
      <c r="E218" s="2" t="s">
        <v>570</v>
      </c>
      <c r="F218" s="2">
        <v>6872319</v>
      </c>
      <c r="G218" s="35" t="s">
        <v>709</v>
      </c>
      <c r="H218">
        <v>5000</v>
      </c>
      <c r="I218" s="43">
        <f t="shared" si="15"/>
        <v>5000</v>
      </c>
      <c r="J218" s="3">
        <v>500</v>
      </c>
      <c r="K218" s="44">
        <f t="shared" si="16"/>
        <v>4500</v>
      </c>
      <c r="L218" s="23">
        <v>0</v>
      </c>
      <c r="M218" s="24">
        <f t="shared" si="17"/>
        <v>0</v>
      </c>
      <c r="N218" s="25">
        <v>10</v>
      </c>
      <c r="O218" s="22">
        <f t="shared" si="18"/>
        <v>500</v>
      </c>
      <c r="P218" s="24">
        <f t="shared" si="19"/>
        <v>1</v>
      </c>
    </row>
    <row r="219" spans="2:16" ht="24" customHeight="1" x14ac:dyDescent="0.25">
      <c r="B219" s="1">
        <v>148</v>
      </c>
      <c r="C219" s="6">
        <v>14908335</v>
      </c>
      <c r="D219" s="2" t="s">
        <v>208</v>
      </c>
      <c r="E219" s="2" t="s">
        <v>578</v>
      </c>
      <c r="F219" s="2">
        <v>4997018</v>
      </c>
      <c r="G219" s="35" t="s">
        <v>674</v>
      </c>
      <c r="H219">
        <v>5000</v>
      </c>
      <c r="I219" s="43">
        <f t="shared" si="15"/>
        <v>4750</v>
      </c>
      <c r="J219" s="3">
        <v>475</v>
      </c>
      <c r="K219" s="44">
        <f t="shared" si="16"/>
        <v>4275</v>
      </c>
      <c r="L219" s="23">
        <v>0.05</v>
      </c>
      <c r="M219" s="24">
        <f t="shared" si="17"/>
        <v>250</v>
      </c>
      <c r="N219" s="25">
        <v>10</v>
      </c>
      <c r="O219" s="22">
        <f t="shared" si="18"/>
        <v>475</v>
      </c>
      <c r="P219" s="24">
        <f t="shared" si="19"/>
        <v>1</v>
      </c>
    </row>
    <row r="220" spans="2:16" ht="24" customHeight="1" x14ac:dyDescent="0.25">
      <c r="B220" s="1">
        <v>148</v>
      </c>
      <c r="C220" s="28">
        <v>16746128</v>
      </c>
      <c r="D220" s="2" t="s">
        <v>209</v>
      </c>
      <c r="E220" s="2" t="s">
        <v>570</v>
      </c>
      <c r="F220" s="2">
        <v>4997018</v>
      </c>
      <c r="G220" s="35" t="s">
        <v>674</v>
      </c>
      <c r="H220">
        <v>5000</v>
      </c>
      <c r="I220" s="43">
        <f t="shared" si="15"/>
        <v>4500</v>
      </c>
      <c r="J220" s="3">
        <v>450</v>
      </c>
      <c r="K220" s="44">
        <f t="shared" si="16"/>
        <v>4050</v>
      </c>
      <c r="L220" s="23">
        <v>0.1</v>
      </c>
      <c r="M220" s="24">
        <f t="shared" si="17"/>
        <v>500</v>
      </c>
      <c r="N220" s="25">
        <v>10</v>
      </c>
      <c r="O220" s="22">
        <f t="shared" si="18"/>
        <v>450</v>
      </c>
      <c r="P220" s="24">
        <f t="shared" si="19"/>
        <v>1</v>
      </c>
    </row>
    <row r="221" spans="2:16" ht="24" customHeight="1" x14ac:dyDescent="0.25">
      <c r="B221" s="1">
        <v>148</v>
      </c>
      <c r="C221" s="6">
        <v>14908334</v>
      </c>
      <c r="D221" s="2" t="s">
        <v>210</v>
      </c>
      <c r="E221" s="2" t="s">
        <v>574</v>
      </c>
      <c r="F221" s="2">
        <v>4997018</v>
      </c>
      <c r="G221" s="35" t="s">
        <v>674</v>
      </c>
      <c r="H221">
        <v>5000</v>
      </c>
      <c r="I221" s="43">
        <f t="shared" si="15"/>
        <v>5000</v>
      </c>
      <c r="J221" s="3">
        <v>500</v>
      </c>
      <c r="K221" s="44">
        <f t="shared" si="16"/>
        <v>4500</v>
      </c>
      <c r="L221" s="23">
        <v>0</v>
      </c>
      <c r="M221" s="24">
        <f t="shared" si="17"/>
        <v>0</v>
      </c>
      <c r="N221" s="25">
        <v>10</v>
      </c>
      <c r="O221" s="22">
        <f t="shared" si="18"/>
        <v>500</v>
      </c>
      <c r="P221" s="24">
        <f t="shared" si="19"/>
        <v>1</v>
      </c>
    </row>
    <row r="222" spans="2:16" ht="24" customHeight="1" x14ac:dyDescent="0.25">
      <c r="B222" s="1">
        <v>149</v>
      </c>
      <c r="C222" s="6">
        <v>15907871</v>
      </c>
      <c r="D222" s="2" t="s">
        <v>211</v>
      </c>
      <c r="E222" s="2" t="s">
        <v>569</v>
      </c>
      <c r="F222" s="2">
        <v>4825551015</v>
      </c>
      <c r="G222" s="35" t="s">
        <v>710</v>
      </c>
      <c r="H222">
        <v>5000</v>
      </c>
      <c r="I222" s="43">
        <f t="shared" si="15"/>
        <v>4750</v>
      </c>
      <c r="J222" s="3">
        <v>475</v>
      </c>
      <c r="K222" s="44">
        <f t="shared" si="16"/>
        <v>4275</v>
      </c>
      <c r="L222" s="23">
        <v>0.05</v>
      </c>
      <c r="M222" s="24">
        <f t="shared" si="17"/>
        <v>250</v>
      </c>
      <c r="N222" s="25">
        <v>10</v>
      </c>
      <c r="O222" s="22">
        <f t="shared" si="18"/>
        <v>475</v>
      </c>
      <c r="P222" s="24">
        <f t="shared" si="19"/>
        <v>1</v>
      </c>
    </row>
    <row r="223" spans="2:16" ht="24" customHeight="1" x14ac:dyDescent="0.25">
      <c r="B223" s="1">
        <v>149</v>
      </c>
      <c r="C223" s="6">
        <v>16235205</v>
      </c>
      <c r="D223" s="2" t="s">
        <v>212</v>
      </c>
      <c r="E223" s="2" t="s">
        <v>572</v>
      </c>
      <c r="F223" s="2">
        <v>4825551015</v>
      </c>
      <c r="G223" s="35" t="s">
        <v>710</v>
      </c>
      <c r="H223">
        <v>5000</v>
      </c>
      <c r="I223" s="43">
        <f t="shared" si="15"/>
        <v>5000</v>
      </c>
      <c r="J223" s="3">
        <v>500</v>
      </c>
      <c r="K223" s="44">
        <f t="shared" si="16"/>
        <v>4500</v>
      </c>
      <c r="L223" s="23">
        <v>0</v>
      </c>
      <c r="M223" s="24">
        <f t="shared" si="17"/>
        <v>0</v>
      </c>
      <c r="N223" s="25">
        <v>10</v>
      </c>
      <c r="O223" s="22">
        <f t="shared" si="18"/>
        <v>500</v>
      </c>
      <c r="P223" s="24">
        <f t="shared" si="19"/>
        <v>1</v>
      </c>
    </row>
    <row r="224" spans="2:16" ht="24" customHeight="1" x14ac:dyDescent="0.25">
      <c r="B224" s="1">
        <v>150</v>
      </c>
      <c r="C224" s="6">
        <v>13313223</v>
      </c>
      <c r="D224" s="2" t="s">
        <v>213</v>
      </c>
      <c r="E224" s="2" t="s">
        <v>574</v>
      </c>
      <c r="F224" s="2">
        <v>4780077</v>
      </c>
      <c r="G224" s="35" t="s">
        <v>711</v>
      </c>
      <c r="H224">
        <v>5000</v>
      </c>
      <c r="I224" s="43">
        <f t="shared" si="15"/>
        <v>5000</v>
      </c>
      <c r="J224" s="3">
        <v>500</v>
      </c>
      <c r="K224" s="44">
        <f t="shared" si="16"/>
        <v>4500</v>
      </c>
      <c r="L224" s="23">
        <v>0</v>
      </c>
      <c r="M224" s="24">
        <f t="shared" si="17"/>
        <v>0</v>
      </c>
      <c r="N224" s="25">
        <v>10</v>
      </c>
      <c r="O224" s="22">
        <f t="shared" si="18"/>
        <v>500</v>
      </c>
      <c r="P224" s="24">
        <f t="shared" si="19"/>
        <v>1</v>
      </c>
    </row>
    <row r="225" spans="2:16" ht="24" customHeight="1" x14ac:dyDescent="0.25">
      <c r="B225" s="1">
        <v>151</v>
      </c>
      <c r="C225" s="6">
        <v>14650385</v>
      </c>
      <c r="D225" s="2" t="s">
        <v>214</v>
      </c>
      <c r="E225" s="2" t="s">
        <v>567</v>
      </c>
      <c r="F225" s="2">
        <v>5979654</v>
      </c>
      <c r="G225" s="35" t="s">
        <v>712</v>
      </c>
      <c r="H225">
        <v>5000</v>
      </c>
      <c r="I225" s="43">
        <f t="shared" si="15"/>
        <v>4750</v>
      </c>
      <c r="J225" s="3">
        <v>4750</v>
      </c>
      <c r="K225" s="44">
        <f t="shared" si="16"/>
        <v>0</v>
      </c>
      <c r="L225" s="23">
        <v>0.05</v>
      </c>
      <c r="M225" s="24">
        <f t="shared" si="17"/>
        <v>250</v>
      </c>
      <c r="N225" s="25">
        <v>10</v>
      </c>
      <c r="O225" s="22">
        <f t="shared" si="18"/>
        <v>475</v>
      </c>
      <c r="P225" s="24">
        <f t="shared" si="19"/>
        <v>10</v>
      </c>
    </row>
    <row r="226" spans="2:16" ht="24" customHeight="1" x14ac:dyDescent="0.25">
      <c r="B226" s="1">
        <v>151</v>
      </c>
      <c r="C226" s="6">
        <v>16693995</v>
      </c>
      <c r="D226" s="2" t="s">
        <v>215</v>
      </c>
      <c r="E226" s="2" t="s">
        <v>571</v>
      </c>
      <c r="F226" s="2">
        <v>5979654</v>
      </c>
      <c r="G226" s="35" t="s">
        <v>712</v>
      </c>
      <c r="H226">
        <v>5000</v>
      </c>
      <c r="I226" s="43">
        <f t="shared" si="15"/>
        <v>4750</v>
      </c>
      <c r="J226" s="3">
        <v>475</v>
      </c>
      <c r="K226" s="44">
        <f t="shared" si="16"/>
        <v>4275</v>
      </c>
      <c r="L226" s="23">
        <v>0.05</v>
      </c>
      <c r="M226" s="24">
        <f t="shared" si="17"/>
        <v>250</v>
      </c>
      <c r="N226" s="25">
        <v>10</v>
      </c>
      <c r="O226" s="22">
        <f t="shared" si="18"/>
        <v>475</v>
      </c>
      <c r="P226" s="24">
        <f t="shared" si="19"/>
        <v>1</v>
      </c>
    </row>
    <row r="227" spans="2:16" ht="24" customHeight="1" x14ac:dyDescent="0.25">
      <c r="B227" s="1">
        <v>152</v>
      </c>
      <c r="C227" s="6">
        <v>16693995</v>
      </c>
      <c r="D227" s="2" t="s">
        <v>215</v>
      </c>
      <c r="E227" s="2" t="s">
        <v>571</v>
      </c>
      <c r="F227" s="2">
        <v>5979654</v>
      </c>
      <c r="G227" s="35" t="s">
        <v>712</v>
      </c>
      <c r="H227">
        <v>5000</v>
      </c>
      <c r="I227" s="43">
        <f t="shared" si="15"/>
        <v>4750</v>
      </c>
      <c r="J227" s="3">
        <v>950</v>
      </c>
      <c r="K227" s="44">
        <f t="shared" si="16"/>
        <v>3800</v>
      </c>
      <c r="L227" s="23">
        <v>0.05</v>
      </c>
      <c r="M227" s="24">
        <f t="shared" si="17"/>
        <v>250</v>
      </c>
      <c r="N227" s="25">
        <v>10</v>
      </c>
      <c r="O227" s="22">
        <f t="shared" si="18"/>
        <v>475</v>
      </c>
      <c r="P227" s="24">
        <f t="shared" si="19"/>
        <v>2</v>
      </c>
    </row>
    <row r="228" spans="2:16" ht="24" customHeight="1" x14ac:dyDescent="0.25">
      <c r="B228" s="1">
        <v>153</v>
      </c>
      <c r="C228" s="6">
        <v>15581573</v>
      </c>
      <c r="D228" s="2" t="s">
        <v>216</v>
      </c>
      <c r="E228" s="2" t="s">
        <v>569</v>
      </c>
      <c r="F228" s="2">
        <v>6057832</v>
      </c>
      <c r="G228" s="35" t="s">
        <v>713</v>
      </c>
      <c r="H228">
        <v>5000</v>
      </c>
      <c r="I228" s="43">
        <f t="shared" si="15"/>
        <v>5000</v>
      </c>
      <c r="J228" s="3">
        <v>500</v>
      </c>
      <c r="K228" s="44">
        <f t="shared" si="16"/>
        <v>4500</v>
      </c>
      <c r="L228" s="23">
        <v>0</v>
      </c>
      <c r="M228" s="24">
        <f t="shared" si="17"/>
        <v>0</v>
      </c>
      <c r="N228" s="25">
        <v>10</v>
      </c>
      <c r="O228" s="22">
        <f t="shared" si="18"/>
        <v>500</v>
      </c>
      <c r="P228" s="24">
        <f t="shared" si="19"/>
        <v>1</v>
      </c>
    </row>
    <row r="229" spans="2:16" ht="24" customHeight="1" x14ac:dyDescent="0.25">
      <c r="B229" s="1">
        <v>154</v>
      </c>
      <c r="C229" s="6">
        <v>14650140</v>
      </c>
      <c r="D229" s="2" t="s">
        <v>217</v>
      </c>
      <c r="E229" s="2" t="s">
        <v>578</v>
      </c>
      <c r="F229" s="2">
        <v>10026621</v>
      </c>
      <c r="G229" s="35" t="s">
        <v>640</v>
      </c>
      <c r="H229">
        <v>5000</v>
      </c>
      <c r="I229" s="43">
        <f t="shared" si="15"/>
        <v>5000</v>
      </c>
      <c r="J229" s="3">
        <v>500</v>
      </c>
      <c r="K229" s="44">
        <f t="shared" si="16"/>
        <v>4500</v>
      </c>
      <c r="L229" s="23">
        <v>0</v>
      </c>
      <c r="M229" s="24">
        <f t="shared" si="17"/>
        <v>0</v>
      </c>
      <c r="N229" s="25">
        <v>10</v>
      </c>
      <c r="O229" s="22">
        <f t="shared" si="18"/>
        <v>500</v>
      </c>
      <c r="P229" s="24">
        <f t="shared" si="19"/>
        <v>1</v>
      </c>
    </row>
    <row r="230" spans="2:16" ht="24" customHeight="1" x14ac:dyDescent="0.25">
      <c r="B230" s="1">
        <v>155</v>
      </c>
      <c r="C230" s="6">
        <v>13679938</v>
      </c>
      <c r="D230" s="2" t="s">
        <v>218</v>
      </c>
      <c r="E230" s="2" t="s">
        <v>578</v>
      </c>
      <c r="F230" s="2">
        <v>6061781010</v>
      </c>
      <c r="G230" s="35" t="s">
        <v>636</v>
      </c>
      <c r="H230">
        <v>5000</v>
      </c>
      <c r="I230" s="43">
        <f t="shared" si="15"/>
        <v>5000</v>
      </c>
      <c r="J230" s="3">
        <v>500</v>
      </c>
      <c r="K230" s="44">
        <f t="shared" si="16"/>
        <v>4500</v>
      </c>
      <c r="L230" s="23">
        <v>0</v>
      </c>
      <c r="M230" s="24">
        <f t="shared" si="17"/>
        <v>0</v>
      </c>
      <c r="N230" s="25">
        <v>10</v>
      </c>
      <c r="O230" s="22">
        <f t="shared" si="18"/>
        <v>500</v>
      </c>
      <c r="P230" s="24">
        <f t="shared" si="19"/>
        <v>1</v>
      </c>
    </row>
    <row r="231" spans="2:16" ht="24" customHeight="1" x14ac:dyDescent="0.25">
      <c r="B231" s="1">
        <v>155</v>
      </c>
      <c r="C231" s="6">
        <v>16296937</v>
      </c>
      <c r="D231" s="2" t="s">
        <v>219</v>
      </c>
      <c r="E231" s="2" t="s">
        <v>570</v>
      </c>
      <c r="F231" s="2">
        <v>6061781010</v>
      </c>
      <c r="G231" s="35" t="s">
        <v>636</v>
      </c>
      <c r="H231">
        <v>5000</v>
      </c>
      <c r="I231" s="43">
        <f t="shared" si="15"/>
        <v>4750</v>
      </c>
      <c r="J231" s="3">
        <v>475</v>
      </c>
      <c r="K231" s="44">
        <f t="shared" si="16"/>
        <v>4275</v>
      </c>
      <c r="L231" s="23">
        <v>0.05</v>
      </c>
      <c r="M231" s="24">
        <f t="shared" si="17"/>
        <v>250</v>
      </c>
      <c r="N231" s="25">
        <v>10</v>
      </c>
      <c r="O231" s="22">
        <f t="shared" si="18"/>
        <v>475</v>
      </c>
      <c r="P231" s="24">
        <f t="shared" si="19"/>
        <v>1</v>
      </c>
    </row>
    <row r="232" spans="2:16" ht="24" customHeight="1" x14ac:dyDescent="0.25">
      <c r="B232" s="1">
        <v>156</v>
      </c>
      <c r="C232" s="6">
        <v>12702023</v>
      </c>
      <c r="D232" s="2" t="s">
        <v>220</v>
      </c>
      <c r="E232" s="2" t="s">
        <v>578</v>
      </c>
      <c r="F232" s="2">
        <v>4333512012</v>
      </c>
      <c r="G232" s="35" t="s">
        <v>714</v>
      </c>
      <c r="H232">
        <v>5000</v>
      </c>
      <c r="I232" s="43">
        <f t="shared" si="15"/>
        <v>4750</v>
      </c>
      <c r="J232" s="3">
        <v>4750</v>
      </c>
      <c r="K232" s="44">
        <f t="shared" si="16"/>
        <v>0</v>
      </c>
      <c r="L232" s="23">
        <v>0.05</v>
      </c>
      <c r="M232" s="24">
        <f t="shared" si="17"/>
        <v>250</v>
      </c>
      <c r="N232" s="25">
        <v>10</v>
      </c>
      <c r="O232" s="22">
        <f t="shared" si="18"/>
        <v>475</v>
      </c>
      <c r="P232" s="24">
        <f t="shared" si="19"/>
        <v>10</v>
      </c>
    </row>
    <row r="233" spans="2:16" ht="24" customHeight="1" x14ac:dyDescent="0.25">
      <c r="B233" s="1">
        <v>157</v>
      </c>
      <c r="C233" s="6">
        <v>15186548</v>
      </c>
      <c r="D233" s="2" t="s">
        <v>221</v>
      </c>
      <c r="E233" s="2" t="s">
        <v>572</v>
      </c>
      <c r="F233" s="2">
        <v>6836765</v>
      </c>
      <c r="G233" s="35" t="s">
        <v>715</v>
      </c>
      <c r="H233">
        <v>5000</v>
      </c>
      <c r="I233" s="43">
        <f t="shared" si="15"/>
        <v>4750</v>
      </c>
      <c r="J233" s="3">
        <v>4750</v>
      </c>
      <c r="K233" s="44">
        <f t="shared" si="16"/>
        <v>0</v>
      </c>
      <c r="L233" s="23">
        <v>0.05</v>
      </c>
      <c r="M233" s="24">
        <f t="shared" si="17"/>
        <v>250</v>
      </c>
      <c r="N233" s="25">
        <v>10</v>
      </c>
      <c r="O233" s="22">
        <f t="shared" si="18"/>
        <v>475</v>
      </c>
      <c r="P233" s="24">
        <f t="shared" si="19"/>
        <v>10</v>
      </c>
    </row>
    <row r="234" spans="2:16" ht="24" customHeight="1" x14ac:dyDescent="0.25">
      <c r="B234" s="1">
        <v>158</v>
      </c>
      <c r="C234" s="6">
        <v>13458646</v>
      </c>
      <c r="D234" s="2" t="s">
        <v>222</v>
      </c>
      <c r="E234" s="2" t="s">
        <v>573</v>
      </c>
      <c r="F234" s="2">
        <v>8170131</v>
      </c>
      <c r="G234" s="35" t="s">
        <v>716</v>
      </c>
      <c r="H234">
        <v>5000</v>
      </c>
      <c r="I234" s="43">
        <f t="shared" si="15"/>
        <v>5000</v>
      </c>
      <c r="J234" s="3">
        <v>500</v>
      </c>
      <c r="K234" s="44">
        <f t="shared" si="16"/>
        <v>4500</v>
      </c>
      <c r="L234" s="23">
        <v>0</v>
      </c>
      <c r="M234" s="24">
        <f t="shared" si="17"/>
        <v>0</v>
      </c>
      <c r="N234" s="25">
        <v>10</v>
      </c>
      <c r="O234" s="22">
        <f t="shared" si="18"/>
        <v>500</v>
      </c>
      <c r="P234" s="24">
        <f t="shared" si="19"/>
        <v>1</v>
      </c>
    </row>
    <row r="235" spans="2:16" ht="24" customHeight="1" x14ac:dyDescent="0.25">
      <c r="B235" s="1">
        <v>159</v>
      </c>
      <c r="C235" s="6">
        <v>16014147</v>
      </c>
      <c r="D235" s="2" t="s">
        <v>223</v>
      </c>
      <c r="E235" s="2" t="s">
        <v>569</v>
      </c>
      <c r="F235" s="2">
        <v>6079750</v>
      </c>
      <c r="G235" s="35" t="s">
        <v>678</v>
      </c>
      <c r="H235">
        <v>5000</v>
      </c>
      <c r="I235" s="43">
        <f t="shared" si="15"/>
        <v>4750</v>
      </c>
      <c r="J235" s="3">
        <v>4750</v>
      </c>
      <c r="K235" s="44">
        <f t="shared" si="16"/>
        <v>0</v>
      </c>
      <c r="L235" s="23">
        <v>0.05</v>
      </c>
      <c r="M235" s="24">
        <f t="shared" si="17"/>
        <v>250</v>
      </c>
      <c r="N235" s="25">
        <v>10</v>
      </c>
      <c r="O235" s="22">
        <f t="shared" si="18"/>
        <v>475</v>
      </c>
      <c r="P235" s="24">
        <f t="shared" si="19"/>
        <v>10</v>
      </c>
    </row>
    <row r="236" spans="2:16" ht="24" customHeight="1" x14ac:dyDescent="0.25">
      <c r="B236" s="1">
        <v>160</v>
      </c>
      <c r="C236" s="6">
        <v>16218787</v>
      </c>
      <c r="D236" s="2" t="s">
        <v>224</v>
      </c>
      <c r="E236" s="2" t="s">
        <v>572</v>
      </c>
      <c r="F236" s="2">
        <v>10937723010</v>
      </c>
      <c r="G236" s="35" t="s">
        <v>717</v>
      </c>
      <c r="H236">
        <v>5000</v>
      </c>
      <c r="I236" s="43">
        <f t="shared" si="15"/>
        <v>5000</v>
      </c>
      <c r="J236" s="3">
        <v>500</v>
      </c>
      <c r="K236" s="44">
        <f t="shared" si="16"/>
        <v>4500</v>
      </c>
      <c r="L236" s="23">
        <v>0</v>
      </c>
      <c r="M236" s="24">
        <f t="shared" si="17"/>
        <v>0</v>
      </c>
      <c r="N236" s="25">
        <v>10</v>
      </c>
      <c r="O236" s="22">
        <f t="shared" si="18"/>
        <v>500</v>
      </c>
      <c r="P236" s="24">
        <f t="shared" si="19"/>
        <v>1</v>
      </c>
    </row>
    <row r="237" spans="2:16" ht="24" customHeight="1" x14ac:dyDescent="0.25">
      <c r="B237" s="1">
        <v>161</v>
      </c>
      <c r="C237" s="6">
        <v>13408901</v>
      </c>
      <c r="D237" s="2" t="s">
        <v>225</v>
      </c>
      <c r="E237" s="2" t="s">
        <v>565</v>
      </c>
      <c r="F237" s="2">
        <v>4794767</v>
      </c>
      <c r="G237" s="35" t="s">
        <v>694</v>
      </c>
      <c r="H237">
        <v>5000</v>
      </c>
      <c r="I237" s="43">
        <f t="shared" si="15"/>
        <v>4750</v>
      </c>
      <c r="J237" s="3">
        <v>4750</v>
      </c>
      <c r="K237" s="44">
        <f t="shared" si="16"/>
        <v>0</v>
      </c>
      <c r="L237" s="23">
        <v>0.05</v>
      </c>
      <c r="M237" s="24">
        <f t="shared" si="17"/>
        <v>250</v>
      </c>
      <c r="N237" s="25">
        <v>10</v>
      </c>
      <c r="O237" s="22">
        <f t="shared" si="18"/>
        <v>475</v>
      </c>
      <c r="P237" s="24">
        <f t="shared" si="19"/>
        <v>10</v>
      </c>
    </row>
    <row r="238" spans="2:16" ht="24" customHeight="1" x14ac:dyDescent="0.25">
      <c r="B238" s="1">
        <v>162</v>
      </c>
      <c r="C238" s="6">
        <v>15491795</v>
      </c>
      <c r="D238" s="2" t="s">
        <v>226</v>
      </c>
      <c r="E238" s="2" t="s">
        <v>572</v>
      </c>
      <c r="F238" s="2">
        <v>4794767</v>
      </c>
      <c r="G238" s="35" t="s">
        <v>694</v>
      </c>
      <c r="H238">
        <v>5000</v>
      </c>
      <c r="I238" s="43">
        <f t="shared" si="15"/>
        <v>4750</v>
      </c>
      <c r="J238" s="3">
        <v>475</v>
      </c>
      <c r="K238" s="44">
        <f t="shared" si="16"/>
        <v>4275</v>
      </c>
      <c r="L238" s="23">
        <v>0.05</v>
      </c>
      <c r="M238" s="24">
        <f t="shared" si="17"/>
        <v>250</v>
      </c>
      <c r="N238" s="25">
        <v>10</v>
      </c>
      <c r="O238" s="22">
        <f t="shared" si="18"/>
        <v>475</v>
      </c>
      <c r="P238" s="24">
        <f t="shared" si="19"/>
        <v>1</v>
      </c>
    </row>
    <row r="239" spans="2:16" ht="24" customHeight="1" x14ac:dyDescent="0.25">
      <c r="B239" s="1">
        <v>163</v>
      </c>
      <c r="C239" s="6">
        <v>15591988</v>
      </c>
      <c r="D239" s="2" t="s">
        <v>227</v>
      </c>
      <c r="E239" s="2" t="s">
        <v>575</v>
      </c>
      <c r="F239" s="2">
        <v>4259659</v>
      </c>
      <c r="G239" s="35" t="s">
        <v>718</v>
      </c>
      <c r="H239">
        <v>5000</v>
      </c>
      <c r="I239" s="43">
        <f t="shared" si="15"/>
        <v>5000</v>
      </c>
      <c r="J239" s="3">
        <v>500</v>
      </c>
      <c r="K239" s="44">
        <f t="shared" si="16"/>
        <v>4500</v>
      </c>
      <c r="L239" s="23">
        <v>0</v>
      </c>
      <c r="M239" s="24">
        <f t="shared" si="17"/>
        <v>0</v>
      </c>
      <c r="N239" s="25">
        <v>10</v>
      </c>
      <c r="O239" s="22">
        <f t="shared" si="18"/>
        <v>500</v>
      </c>
      <c r="P239" s="24">
        <f t="shared" si="19"/>
        <v>1</v>
      </c>
    </row>
    <row r="240" spans="2:16" ht="24" customHeight="1" x14ac:dyDescent="0.25">
      <c r="B240" s="1">
        <v>164</v>
      </c>
      <c r="C240" s="6">
        <v>15196355</v>
      </c>
      <c r="D240" s="2" t="s">
        <v>228</v>
      </c>
      <c r="E240" s="2" t="s">
        <v>572</v>
      </c>
      <c r="F240" s="2">
        <v>9899282</v>
      </c>
      <c r="G240" s="35" t="s">
        <v>710</v>
      </c>
      <c r="H240">
        <v>5000</v>
      </c>
      <c r="I240" s="43">
        <f t="shared" si="15"/>
        <v>5000</v>
      </c>
      <c r="J240" s="3">
        <v>500</v>
      </c>
      <c r="K240" s="44">
        <f t="shared" si="16"/>
        <v>4500</v>
      </c>
      <c r="L240" s="23">
        <v>0</v>
      </c>
      <c r="M240" s="24">
        <f t="shared" si="17"/>
        <v>0</v>
      </c>
      <c r="N240" s="25">
        <v>10</v>
      </c>
      <c r="O240" s="22">
        <f t="shared" si="18"/>
        <v>500</v>
      </c>
      <c r="P240" s="24">
        <f t="shared" si="19"/>
        <v>1</v>
      </c>
    </row>
    <row r="241" spans="2:16" ht="24" customHeight="1" x14ac:dyDescent="0.25">
      <c r="B241" s="1">
        <v>165</v>
      </c>
      <c r="C241" s="6">
        <v>15149269</v>
      </c>
      <c r="D241" s="2" t="s">
        <v>229</v>
      </c>
      <c r="E241" s="2" t="s">
        <v>565</v>
      </c>
      <c r="F241" s="2">
        <v>6123622</v>
      </c>
      <c r="G241" s="35" t="s">
        <v>674</v>
      </c>
      <c r="H241">
        <v>5000</v>
      </c>
      <c r="I241" s="43">
        <f t="shared" si="15"/>
        <v>5000</v>
      </c>
      <c r="J241" s="3">
        <v>500</v>
      </c>
      <c r="K241" s="44">
        <f t="shared" si="16"/>
        <v>4500</v>
      </c>
      <c r="L241" s="23">
        <v>0</v>
      </c>
      <c r="M241" s="24">
        <f t="shared" si="17"/>
        <v>0</v>
      </c>
      <c r="N241" s="25">
        <v>10</v>
      </c>
      <c r="O241" s="22">
        <f t="shared" si="18"/>
        <v>500</v>
      </c>
      <c r="P241" s="24">
        <f t="shared" si="19"/>
        <v>1</v>
      </c>
    </row>
    <row r="242" spans="2:16" ht="24" customHeight="1" x14ac:dyDescent="0.25">
      <c r="B242" s="1">
        <v>166</v>
      </c>
      <c r="C242" s="6">
        <v>15536353</v>
      </c>
      <c r="D242" s="2" t="s">
        <v>230</v>
      </c>
      <c r="E242" s="2" t="s">
        <v>575</v>
      </c>
      <c r="F242" s="2">
        <v>4905669</v>
      </c>
      <c r="G242" s="35" t="s">
        <v>678</v>
      </c>
      <c r="H242">
        <v>5000</v>
      </c>
      <c r="I242" s="43">
        <f t="shared" si="15"/>
        <v>5000</v>
      </c>
      <c r="J242" s="3">
        <v>1000</v>
      </c>
      <c r="K242" s="44">
        <f t="shared" si="16"/>
        <v>4000</v>
      </c>
      <c r="L242" s="23">
        <v>0</v>
      </c>
      <c r="M242" s="24">
        <f t="shared" si="17"/>
        <v>0</v>
      </c>
      <c r="N242" s="25">
        <v>10</v>
      </c>
      <c r="O242" s="22">
        <f t="shared" si="18"/>
        <v>500</v>
      </c>
      <c r="P242" s="24">
        <f t="shared" si="19"/>
        <v>2</v>
      </c>
    </row>
    <row r="243" spans="2:16" ht="24" customHeight="1" x14ac:dyDescent="0.25">
      <c r="B243" s="1">
        <v>167</v>
      </c>
      <c r="C243" s="6">
        <v>16339265</v>
      </c>
      <c r="D243" s="2" t="s">
        <v>231</v>
      </c>
      <c r="E243" s="2" t="s">
        <v>566</v>
      </c>
      <c r="F243" s="2">
        <v>6889207</v>
      </c>
      <c r="G243" s="35" t="s">
        <v>719</v>
      </c>
      <c r="H243">
        <v>5000</v>
      </c>
      <c r="I243" s="43">
        <f t="shared" si="15"/>
        <v>5000</v>
      </c>
      <c r="J243" s="3">
        <v>500</v>
      </c>
      <c r="K243" s="44">
        <f t="shared" si="16"/>
        <v>4500</v>
      </c>
      <c r="L243" s="23">
        <v>0</v>
      </c>
      <c r="M243" s="24">
        <f t="shared" si="17"/>
        <v>0</v>
      </c>
      <c r="N243" s="25">
        <v>10</v>
      </c>
      <c r="O243" s="22">
        <f t="shared" si="18"/>
        <v>500</v>
      </c>
      <c r="P243" s="24">
        <f t="shared" si="19"/>
        <v>1</v>
      </c>
    </row>
    <row r="244" spans="2:16" ht="24" customHeight="1" x14ac:dyDescent="0.25">
      <c r="B244" s="1">
        <v>167</v>
      </c>
      <c r="C244" s="6">
        <v>16339303</v>
      </c>
      <c r="D244" s="2" t="s">
        <v>232</v>
      </c>
      <c r="E244" s="2" t="s">
        <v>578</v>
      </c>
      <c r="F244" s="2">
        <v>6889207</v>
      </c>
      <c r="G244" s="35" t="s">
        <v>719</v>
      </c>
      <c r="H244">
        <v>5000</v>
      </c>
      <c r="I244" s="43">
        <f t="shared" si="15"/>
        <v>4750</v>
      </c>
      <c r="J244" s="3">
        <v>475</v>
      </c>
      <c r="K244" s="44">
        <f t="shared" si="16"/>
        <v>4275</v>
      </c>
      <c r="L244" s="23">
        <v>0.05</v>
      </c>
      <c r="M244" s="24">
        <f t="shared" si="17"/>
        <v>250</v>
      </c>
      <c r="N244" s="25">
        <v>10</v>
      </c>
      <c r="O244" s="22">
        <f t="shared" si="18"/>
        <v>475</v>
      </c>
      <c r="P244" s="24">
        <f t="shared" si="19"/>
        <v>1</v>
      </c>
    </row>
    <row r="245" spans="2:16" ht="24" customHeight="1" x14ac:dyDescent="0.25">
      <c r="B245" s="1">
        <v>168</v>
      </c>
      <c r="C245" s="6">
        <v>13374035</v>
      </c>
      <c r="D245" s="2" t="s">
        <v>233</v>
      </c>
      <c r="E245" s="2" t="s">
        <v>578</v>
      </c>
      <c r="F245" s="2">
        <v>9863356</v>
      </c>
      <c r="G245" s="35" t="s">
        <v>636</v>
      </c>
      <c r="H245">
        <v>5000</v>
      </c>
      <c r="I245" s="43">
        <f t="shared" si="15"/>
        <v>4750</v>
      </c>
      <c r="J245" s="3">
        <v>4750</v>
      </c>
      <c r="K245" s="44">
        <f t="shared" si="16"/>
        <v>0</v>
      </c>
      <c r="L245" s="23">
        <v>0.05</v>
      </c>
      <c r="M245" s="24">
        <f t="shared" si="17"/>
        <v>250</v>
      </c>
      <c r="N245" s="25">
        <v>10</v>
      </c>
      <c r="O245" s="22">
        <f t="shared" si="18"/>
        <v>475</v>
      </c>
      <c r="P245" s="24">
        <f t="shared" si="19"/>
        <v>10</v>
      </c>
    </row>
    <row r="246" spans="2:16" ht="24" customHeight="1" x14ac:dyDescent="0.25">
      <c r="B246" s="1">
        <v>169</v>
      </c>
      <c r="C246" s="6">
        <v>14416228</v>
      </c>
      <c r="D246" s="2" t="s">
        <v>234</v>
      </c>
      <c r="E246" s="2" t="s">
        <v>578</v>
      </c>
      <c r="F246" s="2">
        <v>7021928012</v>
      </c>
      <c r="G246" s="35" t="s">
        <v>683</v>
      </c>
      <c r="H246">
        <v>5000</v>
      </c>
      <c r="I246" s="43">
        <f t="shared" si="15"/>
        <v>4750</v>
      </c>
      <c r="J246" s="3">
        <v>4750</v>
      </c>
      <c r="K246" s="44">
        <f t="shared" si="16"/>
        <v>0</v>
      </c>
      <c r="L246" s="23">
        <v>0.05</v>
      </c>
      <c r="M246" s="24">
        <f t="shared" si="17"/>
        <v>250</v>
      </c>
      <c r="N246" s="25">
        <v>10</v>
      </c>
      <c r="O246" s="22">
        <f t="shared" si="18"/>
        <v>475</v>
      </c>
      <c r="P246" s="24">
        <f t="shared" si="19"/>
        <v>10</v>
      </c>
    </row>
    <row r="247" spans="2:16" ht="24" customHeight="1" x14ac:dyDescent="0.25">
      <c r="B247" s="1">
        <v>169</v>
      </c>
      <c r="C247" s="6">
        <v>15620106</v>
      </c>
      <c r="D247" s="2" t="s">
        <v>235</v>
      </c>
      <c r="E247" s="2" t="s">
        <v>572</v>
      </c>
      <c r="F247" s="2">
        <v>7021928012</v>
      </c>
      <c r="G247" s="35" t="s">
        <v>683</v>
      </c>
      <c r="H247">
        <v>5000</v>
      </c>
      <c r="I247" s="43">
        <f t="shared" si="15"/>
        <v>4750</v>
      </c>
      <c r="J247" s="3">
        <v>4750</v>
      </c>
      <c r="K247" s="44">
        <f t="shared" si="16"/>
        <v>0</v>
      </c>
      <c r="L247" s="23">
        <v>0.05</v>
      </c>
      <c r="M247" s="24">
        <f t="shared" si="17"/>
        <v>250</v>
      </c>
      <c r="N247" s="25">
        <v>10</v>
      </c>
      <c r="O247" s="22">
        <f t="shared" si="18"/>
        <v>475</v>
      </c>
      <c r="P247" s="24">
        <f t="shared" si="19"/>
        <v>10</v>
      </c>
    </row>
    <row r="248" spans="2:16" ht="24" customHeight="1" x14ac:dyDescent="0.25">
      <c r="B248" s="1">
        <v>170</v>
      </c>
      <c r="C248" s="6">
        <v>16985961</v>
      </c>
      <c r="D248" s="2" t="s">
        <v>236</v>
      </c>
      <c r="E248" s="2" t="s">
        <v>568</v>
      </c>
      <c r="F248" s="2">
        <v>7068809</v>
      </c>
      <c r="G248" s="35" t="s">
        <v>720</v>
      </c>
      <c r="H248">
        <v>5000</v>
      </c>
      <c r="I248" s="43">
        <f t="shared" si="15"/>
        <v>5000</v>
      </c>
      <c r="J248" s="3">
        <v>500</v>
      </c>
      <c r="K248" s="44">
        <f t="shared" si="16"/>
        <v>4500</v>
      </c>
      <c r="L248" s="23">
        <v>0</v>
      </c>
      <c r="M248" s="24">
        <f t="shared" si="17"/>
        <v>0</v>
      </c>
      <c r="N248" s="25">
        <v>10</v>
      </c>
      <c r="O248" s="22">
        <f t="shared" si="18"/>
        <v>500</v>
      </c>
      <c r="P248" s="24">
        <f t="shared" si="19"/>
        <v>1</v>
      </c>
    </row>
    <row r="249" spans="2:16" ht="24" customHeight="1" x14ac:dyDescent="0.25">
      <c r="B249" s="1">
        <v>171</v>
      </c>
      <c r="C249" s="6">
        <v>16985961</v>
      </c>
      <c r="D249" s="2" t="s">
        <v>236</v>
      </c>
      <c r="E249" s="2" t="s">
        <v>568</v>
      </c>
      <c r="F249" s="2">
        <v>7068809</v>
      </c>
      <c r="G249" s="35" t="s">
        <v>720</v>
      </c>
      <c r="H249">
        <v>5000</v>
      </c>
      <c r="I249" s="43">
        <f t="shared" si="15"/>
        <v>5000</v>
      </c>
      <c r="J249" s="3">
        <v>500</v>
      </c>
      <c r="K249" s="44">
        <f t="shared" si="16"/>
        <v>4500</v>
      </c>
      <c r="L249" s="23">
        <v>0</v>
      </c>
      <c r="M249" s="24">
        <f t="shared" si="17"/>
        <v>0</v>
      </c>
      <c r="N249" s="25">
        <v>10</v>
      </c>
      <c r="O249" s="22">
        <f t="shared" si="18"/>
        <v>500</v>
      </c>
      <c r="P249" s="24">
        <f t="shared" si="19"/>
        <v>1</v>
      </c>
    </row>
    <row r="250" spans="2:16" ht="24" customHeight="1" x14ac:dyDescent="0.25">
      <c r="B250" s="1">
        <v>172</v>
      </c>
      <c r="C250" s="6">
        <v>12851685</v>
      </c>
      <c r="D250" s="2" t="s">
        <v>237</v>
      </c>
      <c r="E250" s="2" t="s">
        <v>574</v>
      </c>
      <c r="F250" s="2">
        <v>5801431</v>
      </c>
      <c r="G250" s="35" t="s">
        <v>721</v>
      </c>
      <c r="H250">
        <v>5000</v>
      </c>
      <c r="I250" s="43">
        <f t="shared" si="15"/>
        <v>5000</v>
      </c>
      <c r="J250" s="3">
        <v>500</v>
      </c>
      <c r="K250" s="44">
        <f t="shared" si="16"/>
        <v>4500</v>
      </c>
      <c r="L250" s="23">
        <v>0</v>
      </c>
      <c r="M250" s="24">
        <f t="shared" si="17"/>
        <v>0</v>
      </c>
      <c r="N250" s="25">
        <v>10</v>
      </c>
      <c r="O250" s="22">
        <f t="shared" si="18"/>
        <v>500</v>
      </c>
      <c r="P250" s="24">
        <f t="shared" si="19"/>
        <v>1</v>
      </c>
    </row>
    <row r="251" spans="2:16" ht="24" customHeight="1" x14ac:dyDescent="0.25">
      <c r="B251" s="1">
        <v>172</v>
      </c>
      <c r="C251" s="6">
        <v>15098129</v>
      </c>
      <c r="D251" s="2" t="s">
        <v>545</v>
      </c>
      <c r="E251" s="2" t="s">
        <v>572</v>
      </c>
      <c r="F251" s="2">
        <v>5801431</v>
      </c>
      <c r="G251" s="35" t="s">
        <v>721</v>
      </c>
      <c r="H251">
        <v>5000</v>
      </c>
      <c r="I251" s="43">
        <f t="shared" si="15"/>
        <v>4750</v>
      </c>
      <c r="J251" s="3">
        <v>475</v>
      </c>
      <c r="K251" s="44">
        <f t="shared" si="16"/>
        <v>4275</v>
      </c>
      <c r="L251" s="23">
        <v>0.05</v>
      </c>
      <c r="M251" s="24">
        <f t="shared" si="17"/>
        <v>250</v>
      </c>
      <c r="N251" s="25">
        <v>10</v>
      </c>
      <c r="O251" s="22">
        <f t="shared" si="18"/>
        <v>475</v>
      </c>
      <c r="P251" s="24">
        <f t="shared" si="19"/>
        <v>1</v>
      </c>
    </row>
    <row r="252" spans="2:16" ht="24" customHeight="1" x14ac:dyDescent="0.25">
      <c r="B252" s="1">
        <v>173</v>
      </c>
      <c r="C252" s="6">
        <v>15452899</v>
      </c>
      <c r="D252" s="2" t="s">
        <v>238</v>
      </c>
      <c r="E252" s="2" t="s">
        <v>572</v>
      </c>
      <c r="F252" s="2">
        <v>2638360</v>
      </c>
      <c r="G252" s="35" t="s">
        <v>617</v>
      </c>
      <c r="H252">
        <v>5000</v>
      </c>
      <c r="I252" s="43">
        <f t="shared" si="15"/>
        <v>5000</v>
      </c>
      <c r="J252" s="3">
        <v>500</v>
      </c>
      <c r="K252" s="44">
        <f t="shared" si="16"/>
        <v>4500</v>
      </c>
      <c r="L252" s="23">
        <v>0</v>
      </c>
      <c r="M252" s="24">
        <f t="shared" si="17"/>
        <v>0</v>
      </c>
      <c r="N252" s="25">
        <v>10</v>
      </c>
      <c r="O252" s="22">
        <f t="shared" si="18"/>
        <v>500</v>
      </c>
      <c r="P252" s="24">
        <f t="shared" si="19"/>
        <v>1</v>
      </c>
    </row>
    <row r="253" spans="2:16" ht="24" customHeight="1" x14ac:dyDescent="0.25">
      <c r="B253" s="1">
        <v>174</v>
      </c>
      <c r="C253" s="6">
        <v>14359991</v>
      </c>
      <c r="D253" s="2" t="s">
        <v>239</v>
      </c>
      <c r="E253" s="2" t="s">
        <v>578</v>
      </c>
      <c r="F253" s="2">
        <v>3497743012</v>
      </c>
      <c r="G253" s="35" t="s">
        <v>722</v>
      </c>
      <c r="H253">
        <v>5000</v>
      </c>
      <c r="I253" s="43">
        <f t="shared" si="15"/>
        <v>5000</v>
      </c>
      <c r="J253" s="3">
        <v>500</v>
      </c>
      <c r="K253" s="44">
        <f t="shared" si="16"/>
        <v>4500</v>
      </c>
      <c r="L253" s="23">
        <v>0</v>
      </c>
      <c r="M253" s="24">
        <f t="shared" si="17"/>
        <v>0</v>
      </c>
      <c r="N253" s="25">
        <v>10</v>
      </c>
      <c r="O253" s="22">
        <f t="shared" si="18"/>
        <v>500</v>
      </c>
      <c r="P253" s="24">
        <f t="shared" si="19"/>
        <v>1</v>
      </c>
    </row>
    <row r="254" spans="2:16" ht="24" customHeight="1" x14ac:dyDescent="0.25">
      <c r="B254" s="1">
        <v>175</v>
      </c>
      <c r="C254" s="6">
        <v>15196522</v>
      </c>
      <c r="D254" s="2" t="s">
        <v>240</v>
      </c>
      <c r="E254" s="2" t="s">
        <v>572</v>
      </c>
      <c r="F254" s="2">
        <v>7027136014</v>
      </c>
      <c r="G254" s="35" t="s">
        <v>723</v>
      </c>
      <c r="H254">
        <v>5000</v>
      </c>
      <c r="I254" s="43">
        <f t="shared" si="15"/>
        <v>4750</v>
      </c>
      <c r="J254" s="3">
        <v>475</v>
      </c>
      <c r="K254" s="44">
        <f t="shared" si="16"/>
        <v>4275</v>
      </c>
      <c r="L254" s="23">
        <v>0.05</v>
      </c>
      <c r="M254" s="24">
        <f t="shared" si="17"/>
        <v>250</v>
      </c>
      <c r="N254" s="25">
        <v>10</v>
      </c>
      <c r="O254" s="22">
        <f t="shared" si="18"/>
        <v>475</v>
      </c>
      <c r="P254" s="24">
        <f t="shared" si="19"/>
        <v>1</v>
      </c>
    </row>
    <row r="255" spans="2:16" ht="24" customHeight="1" x14ac:dyDescent="0.25">
      <c r="B255" s="1">
        <v>175</v>
      </c>
      <c r="C255" s="6">
        <v>15544453</v>
      </c>
      <c r="D255" s="2" t="s">
        <v>241</v>
      </c>
      <c r="E255" s="2" t="s">
        <v>575</v>
      </c>
      <c r="F255" s="2">
        <v>7027136014</v>
      </c>
      <c r="G255" s="35" t="s">
        <v>723</v>
      </c>
      <c r="H255">
        <v>5000</v>
      </c>
      <c r="I255" s="43">
        <f t="shared" si="15"/>
        <v>4750</v>
      </c>
      <c r="J255" s="3">
        <v>4750</v>
      </c>
      <c r="K255" s="44">
        <f t="shared" si="16"/>
        <v>0</v>
      </c>
      <c r="L255" s="23">
        <v>0.05</v>
      </c>
      <c r="M255" s="24">
        <f t="shared" si="17"/>
        <v>250</v>
      </c>
      <c r="N255" s="25">
        <v>10</v>
      </c>
      <c r="O255" s="22">
        <f t="shared" si="18"/>
        <v>475</v>
      </c>
      <c r="P255" s="24">
        <f t="shared" si="19"/>
        <v>10</v>
      </c>
    </row>
    <row r="256" spans="2:16" ht="24" customHeight="1" x14ac:dyDescent="0.25">
      <c r="B256" s="1">
        <v>176</v>
      </c>
      <c r="C256" s="6">
        <v>15492681</v>
      </c>
      <c r="D256" s="2" t="s">
        <v>242</v>
      </c>
      <c r="E256" s="2" t="s">
        <v>572</v>
      </c>
      <c r="F256" s="2">
        <v>4258782</v>
      </c>
      <c r="G256" s="35" t="s">
        <v>724</v>
      </c>
      <c r="H256">
        <v>5000</v>
      </c>
      <c r="I256" s="43">
        <f t="shared" si="15"/>
        <v>5000</v>
      </c>
      <c r="J256" s="3">
        <v>500</v>
      </c>
      <c r="K256" s="44">
        <f t="shared" si="16"/>
        <v>4500</v>
      </c>
      <c r="L256" s="23">
        <v>0</v>
      </c>
      <c r="M256" s="24">
        <f t="shared" si="17"/>
        <v>0</v>
      </c>
      <c r="N256" s="25">
        <v>10</v>
      </c>
      <c r="O256" s="22">
        <f t="shared" si="18"/>
        <v>500</v>
      </c>
      <c r="P256" s="24">
        <f t="shared" si="19"/>
        <v>1</v>
      </c>
    </row>
    <row r="257" spans="2:16" ht="24" customHeight="1" x14ac:dyDescent="0.25">
      <c r="B257" s="1">
        <v>177</v>
      </c>
      <c r="C257" s="6">
        <v>15134380</v>
      </c>
      <c r="D257" s="2" t="s">
        <v>243</v>
      </c>
      <c r="E257" s="2" t="s">
        <v>578</v>
      </c>
      <c r="F257" s="2">
        <v>6874188</v>
      </c>
      <c r="G257" s="35" t="s">
        <v>725</v>
      </c>
      <c r="H257">
        <v>5000</v>
      </c>
      <c r="I257" s="43">
        <f t="shared" si="15"/>
        <v>5000</v>
      </c>
      <c r="J257" s="3">
        <v>500</v>
      </c>
      <c r="K257" s="44">
        <f t="shared" ref="K257:K319" si="20">I257-J257</f>
        <v>4500</v>
      </c>
      <c r="L257" s="23">
        <v>0</v>
      </c>
      <c r="M257" s="24">
        <f t="shared" si="17"/>
        <v>0</v>
      </c>
      <c r="N257" s="25">
        <v>10</v>
      </c>
      <c r="O257" s="22">
        <f t="shared" si="18"/>
        <v>500</v>
      </c>
      <c r="P257" s="24">
        <f t="shared" si="19"/>
        <v>1</v>
      </c>
    </row>
    <row r="258" spans="2:16" ht="24" customHeight="1" x14ac:dyDescent="0.25">
      <c r="B258" s="1">
        <v>177</v>
      </c>
      <c r="C258" s="6">
        <v>16316528</v>
      </c>
      <c r="D258" s="2" t="s">
        <v>244</v>
      </c>
      <c r="E258" s="2" t="s">
        <v>577</v>
      </c>
      <c r="F258" s="2">
        <v>6874188</v>
      </c>
      <c r="G258" s="35" t="s">
        <v>725</v>
      </c>
      <c r="H258">
        <v>5000</v>
      </c>
      <c r="I258" s="43">
        <f t="shared" ref="I258:I321" si="21">H258-M258</f>
        <v>4750</v>
      </c>
      <c r="J258" s="3">
        <v>475</v>
      </c>
      <c r="K258" s="44">
        <f t="shared" si="20"/>
        <v>4275</v>
      </c>
      <c r="L258" s="23">
        <v>0.05</v>
      </c>
      <c r="M258" s="24">
        <f t="shared" ref="M258:M321" si="22">H258*L258</f>
        <v>250</v>
      </c>
      <c r="N258" s="25">
        <v>10</v>
      </c>
      <c r="O258" s="22">
        <f t="shared" ref="O258:O321" si="23">I258/N258</f>
        <v>475</v>
      </c>
      <c r="P258" s="24">
        <f t="shared" ref="P258:P321" si="24">INT(J258/O258)</f>
        <v>1</v>
      </c>
    </row>
    <row r="259" spans="2:16" ht="24" customHeight="1" x14ac:dyDescent="0.25">
      <c r="B259" s="1">
        <v>178</v>
      </c>
      <c r="C259" s="6">
        <v>14822125</v>
      </c>
      <c r="D259" s="2" t="s">
        <v>245</v>
      </c>
      <c r="E259" s="2" t="s">
        <v>576</v>
      </c>
      <c r="F259" s="2">
        <v>6047998</v>
      </c>
      <c r="G259" s="35" t="s">
        <v>726</v>
      </c>
      <c r="H259">
        <v>5000</v>
      </c>
      <c r="I259" s="43">
        <f t="shared" si="21"/>
        <v>5000</v>
      </c>
      <c r="J259" s="3">
        <v>500</v>
      </c>
      <c r="K259" s="44">
        <f t="shared" si="20"/>
        <v>4500</v>
      </c>
      <c r="L259" s="23">
        <v>0</v>
      </c>
      <c r="M259" s="24">
        <f t="shared" si="22"/>
        <v>0</v>
      </c>
      <c r="N259" s="25">
        <v>10</v>
      </c>
      <c r="O259" s="22">
        <f t="shared" si="23"/>
        <v>500</v>
      </c>
      <c r="P259" s="24">
        <f t="shared" si="24"/>
        <v>1</v>
      </c>
    </row>
    <row r="260" spans="2:16" ht="24" customHeight="1" x14ac:dyDescent="0.25">
      <c r="B260" s="1">
        <v>178</v>
      </c>
      <c r="C260" s="6">
        <v>14783433</v>
      </c>
      <c r="D260" s="2" t="s">
        <v>246</v>
      </c>
      <c r="E260" s="2" t="s">
        <v>578</v>
      </c>
      <c r="F260" s="2">
        <v>6047998</v>
      </c>
      <c r="G260" s="35" t="s">
        <v>726</v>
      </c>
      <c r="H260">
        <v>5000</v>
      </c>
      <c r="I260" s="43">
        <f t="shared" si="21"/>
        <v>4750</v>
      </c>
      <c r="J260" s="3">
        <v>475</v>
      </c>
      <c r="K260" s="44">
        <f t="shared" si="20"/>
        <v>4275</v>
      </c>
      <c r="L260" s="23">
        <v>0.05</v>
      </c>
      <c r="M260" s="24">
        <f t="shared" si="22"/>
        <v>250</v>
      </c>
      <c r="N260" s="25">
        <v>10</v>
      </c>
      <c r="O260" s="22">
        <f t="shared" si="23"/>
        <v>475</v>
      </c>
      <c r="P260" s="24">
        <f t="shared" si="24"/>
        <v>1</v>
      </c>
    </row>
    <row r="261" spans="2:16" ht="24" customHeight="1" x14ac:dyDescent="0.25">
      <c r="B261" s="1">
        <v>179</v>
      </c>
      <c r="C261" s="6">
        <v>13695692</v>
      </c>
      <c r="D261" s="2" t="s">
        <v>247</v>
      </c>
      <c r="E261" s="2" t="s">
        <v>576</v>
      </c>
      <c r="F261" s="2">
        <v>7000849</v>
      </c>
      <c r="G261" s="35" t="s">
        <v>727</v>
      </c>
      <c r="H261">
        <v>5000</v>
      </c>
      <c r="I261" s="43">
        <f t="shared" si="21"/>
        <v>5000</v>
      </c>
      <c r="J261" s="3">
        <v>500</v>
      </c>
      <c r="K261" s="44">
        <f t="shared" si="20"/>
        <v>4500</v>
      </c>
      <c r="L261" s="23">
        <v>0</v>
      </c>
      <c r="M261" s="24">
        <f t="shared" si="22"/>
        <v>0</v>
      </c>
      <c r="N261" s="25">
        <v>10</v>
      </c>
      <c r="O261" s="22">
        <f t="shared" si="23"/>
        <v>500</v>
      </c>
      <c r="P261" s="24">
        <f t="shared" si="24"/>
        <v>1</v>
      </c>
    </row>
    <row r="262" spans="2:16" ht="24" customHeight="1" x14ac:dyDescent="0.25">
      <c r="B262" s="1">
        <v>179</v>
      </c>
      <c r="C262" s="6">
        <v>15104122</v>
      </c>
      <c r="D262" s="2" t="s">
        <v>248</v>
      </c>
      <c r="E262" s="2" t="s">
        <v>565</v>
      </c>
      <c r="F262" s="2">
        <v>7000849</v>
      </c>
      <c r="G262" s="35" t="s">
        <v>727</v>
      </c>
      <c r="H262">
        <v>5000</v>
      </c>
      <c r="I262" s="43">
        <f t="shared" si="21"/>
        <v>4750</v>
      </c>
      <c r="J262" s="3">
        <v>475</v>
      </c>
      <c r="K262" s="44">
        <f t="shared" si="20"/>
        <v>4275</v>
      </c>
      <c r="L262" s="23">
        <v>0.05</v>
      </c>
      <c r="M262" s="24">
        <f t="shared" si="22"/>
        <v>250</v>
      </c>
      <c r="N262" s="25">
        <v>10</v>
      </c>
      <c r="O262" s="22">
        <f t="shared" si="23"/>
        <v>475</v>
      </c>
      <c r="P262" s="24">
        <f t="shared" si="24"/>
        <v>1</v>
      </c>
    </row>
    <row r="263" spans="2:16" ht="24" customHeight="1" x14ac:dyDescent="0.25">
      <c r="B263" s="1">
        <v>180</v>
      </c>
      <c r="C263" s="6">
        <v>14705202</v>
      </c>
      <c r="D263" s="2" t="s">
        <v>249</v>
      </c>
      <c r="E263" s="2" t="s">
        <v>578</v>
      </c>
      <c r="F263" s="2">
        <v>5991093</v>
      </c>
      <c r="G263" s="35" t="s">
        <v>728</v>
      </c>
      <c r="H263">
        <v>5000</v>
      </c>
      <c r="I263" s="43">
        <f t="shared" si="21"/>
        <v>5000</v>
      </c>
      <c r="J263" s="3">
        <v>500</v>
      </c>
      <c r="K263" s="44">
        <f t="shared" si="20"/>
        <v>4500</v>
      </c>
      <c r="L263" s="23">
        <v>0</v>
      </c>
      <c r="M263" s="24">
        <f t="shared" si="22"/>
        <v>0</v>
      </c>
      <c r="N263" s="25">
        <v>10</v>
      </c>
      <c r="O263" s="22">
        <f t="shared" si="23"/>
        <v>500</v>
      </c>
      <c r="P263" s="24">
        <f t="shared" si="24"/>
        <v>1</v>
      </c>
    </row>
    <row r="264" spans="2:16" ht="24" customHeight="1" x14ac:dyDescent="0.25">
      <c r="B264" s="1">
        <v>181</v>
      </c>
      <c r="C264" s="6">
        <v>13791038</v>
      </c>
      <c r="D264" s="2" t="s">
        <v>250</v>
      </c>
      <c r="E264" s="2" t="s">
        <v>576</v>
      </c>
      <c r="F264" s="2">
        <v>4885323</v>
      </c>
      <c r="G264" s="35" t="s">
        <v>729</v>
      </c>
      <c r="H264">
        <v>5000</v>
      </c>
      <c r="I264" s="43">
        <f t="shared" si="21"/>
        <v>5000</v>
      </c>
      <c r="J264" s="3">
        <v>500</v>
      </c>
      <c r="K264" s="44">
        <f t="shared" si="20"/>
        <v>4500</v>
      </c>
      <c r="L264" s="23">
        <v>0</v>
      </c>
      <c r="M264" s="24">
        <f t="shared" si="22"/>
        <v>0</v>
      </c>
      <c r="N264" s="25">
        <v>10</v>
      </c>
      <c r="O264" s="22">
        <f t="shared" si="23"/>
        <v>500</v>
      </c>
      <c r="P264" s="24">
        <f t="shared" si="24"/>
        <v>1</v>
      </c>
    </row>
    <row r="265" spans="2:16" ht="24" customHeight="1" x14ac:dyDescent="0.25">
      <c r="B265" s="1">
        <v>181</v>
      </c>
      <c r="C265" s="6">
        <v>14907312</v>
      </c>
      <c r="D265" s="2" t="s">
        <v>251</v>
      </c>
      <c r="E265" s="2" t="s">
        <v>578</v>
      </c>
      <c r="F265" s="2">
        <v>4885324</v>
      </c>
      <c r="G265" s="35" t="s">
        <v>729</v>
      </c>
      <c r="H265">
        <v>5000</v>
      </c>
      <c r="I265" s="43">
        <f t="shared" si="21"/>
        <v>4750</v>
      </c>
      <c r="J265" s="3">
        <v>475</v>
      </c>
      <c r="K265" s="44">
        <f t="shared" si="20"/>
        <v>4275</v>
      </c>
      <c r="L265" s="23">
        <v>0.05</v>
      </c>
      <c r="M265" s="24">
        <f t="shared" si="22"/>
        <v>250</v>
      </c>
      <c r="N265" s="25">
        <v>10</v>
      </c>
      <c r="O265" s="22">
        <f t="shared" si="23"/>
        <v>475</v>
      </c>
      <c r="P265" s="24">
        <f t="shared" si="24"/>
        <v>1</v>
      </c>
    </row>
    <row r="266" spans="2:16" ht="24" customHeight="1" x14ac:dyDescent="0.25">
      <c r="B266" s="1">
        <v>182</v>
      </c>
      <c r="C266" s="6">
        <v>10031184</v>
      </c>
      <c r="D266" s="2" t="s">
        <v>252</v>
      </c>
      <c r="E266" s="2" t="s">
        <v>566</v>
      </c>
      <c r="F266" s="2">
        <v>4947967014</v>
      </c>
      <c r="G266" s="35" t="s">
        <v>730</v>
      </c>
      <c r="H266">
        <v>5000</v>
      </c>
      <c r="I266" s="43">
        <f t="shared" si="21"/>
        <v>5000</v>
      </c>
      <c r="J266" s="3">
        <v>500</v>
      </c>
      <c r="K266" s="44">
        <f t="shared" si="20"/>
        <v>4500</v>
      </c>
      <c r="L266" s="23">
        <v>0</v>
      </c>
      <c r="M266" s="24">
        <f t="shared" si="22"/>
        <v>0</v>
      </c>
      <c r="N266" s="25">
        <v>10</v>
      </c>
      <c r="O266" s="22">
        <f t="shared" si="23"/>
        <v>500</v>
      </c>
      <c r="P266" s="24">
        <f t="shared" si="24"/>
        <v>1</v>
      </c>
    </row>
    <row r="267" spans="2:16" ht="24" customHeight="1" x14ac:dyDescent="0.25">
      <c r="B267" s="1">
        <v>182</v>
      </c>
      <c r="C267" s="6">
        <v>14782165</v>
      </c>
      <c r="D267" s="2" t="s">
        <v>253</v>
      </c>
      <c r="E267" s="2" t="s">
        <v>577</v>
      </c>
      <c r="F267" s="2">
        <v>4947967015</v>
      </c>
      <c r="G267" s="35" t="s">
        <v>730</v>
      </c>
      <c r="H267">
        <v>5000</v>
      </c>
      <c r="I267" s="43">
        <f t="shared" si="21"/>
        <v>4750</v>
      </c>
      <c r="J267" s="3">
        <v>475</v>
      </c>
      <c r="K267" s="44">
        <f t="shared" si="20"/>
        <v>4275</v>
      </c>
      <c r="L267" s="23">
        <v>0.05</v>
      </c>
      <c r="M267" s="24">
        <f t="shared" si="22"/>
        <v>250</v>
      </c>
      <c r="N267" s="25">
        <v>10</v>
      </c>
      <c r="O267" s="22">
        <f t="shared" si="23"/>
        <v>475</v>
      </c>
      <c r="P267" s="24">
        <f t="shared" si="24"/>
        <v>1</v>
      </c>
    </row>
    <row r="268" spans="2:16" ht="24" customHeight="1" x14ac:dyDescent="0.25">
      <c r="B268" s="1">
        <v>183</v>
      </c>
      <c r="C268" s="6">
        <v>13788269</v>
      </c>
      <c r="D268" s="2" t="s">
        <v>254</v>
      </c>
      <c r="E268" s="2" t="s">
        <v>578</v>
      </c>
      <c r="F268" s="2">
        <v>9241918</v>
      </c>
      <c r="G268" s="35" t="s">
        <v>656</v>
      </c>
      <c r="H268">
        <v>5000</v>
      </c>
      <c r="I268" s="43">
        <f t="shared" si="21"/>
        <v>5000</v>
      </c>
      <c r="J268" s="3">
        <v>500</v>
      </c>
      <c r="K268" s="44">
        <f t="shared" si="20"/>
        <v>4500</v>
      </c>
      <c r="L268" s="23">
        <v>0</v>
      </c>
      <c r="M268" s="24">
        <f t="shared" si="22"/>
        <v>0</v>
      </c>
      <c r="N268" s="25">
        <v>10</v>
      </c>
      <c r="O268" s="22">
        <f t="shared" si="23"/>
        <v>500</v>
      </c>
      <c r="P268" s="24">
        <f t="shared" si="24"/>
        <v>1</v>
      </c>
    </row>
    <row r="269" spans="2:16" ht="24" customHeight="1" x14ac:dyDescent="0.25">
      <c r="B269" s="1">
        <v>183</v>
      </c>
      <c r="C269" s="6">
        <v>16134747</v>
      </c>
      <c r="D269" s="2" t="s">
        <v>255</v>
      </c>
      <c r="E269" s="2" t="s">
        <v>567</v>
      </c>
      <c r="F269" s="2">
        <v>9241918</v>
      </c>
      <c r="G269" s="35" t="s">
        <v>656</v>
      </c>
      <c r="H269">
        <v>5000</v>
      </c>
      <c r="I269" s="43">
        <f t="shared" si="21"/>
        <v>4750</v>
      </c>
      <c r="J269" s="3">
        <v>475</v>
      </c>
      <c r="K269" s="44">
        <f t="shared" si="20"/>
        <v>4275</v>
      </c>
      <c r="L269" s="23">
        <v>0.05</v>
      </c>
      <c r="M269" s="24">
        <f t="shared" si="22"/>
        <v>250</v>
      </c>
      <c r="N269" s="25">
        <v>10</v>
      </c>
      <c r="O269" s="22">
        <f t="shared" si="23"/>
        <v>475</v>
      </c>
      <c r="P269" s="24">
        <f t="shared" si="24"/>
        <v>1</v>
      </c>
    </row>
    <row r="270" spans="2:16" ht="24" customHeight="1" x14ac:dyDescent="0.25">
      <c r="B270" s="1">
        <v>184</v>
      </c>
      <c r="C270" s="6">
        <v>13788269</v>
      </c>
      <c r="D270" s="2" t="s">
        <v>254</v>
      </c>
      <c r="E270" s="2" t="s">
        <v>578</v>
      </c>
      <c r="F270" s="2">
        <v>9241918</v>
      </c>
      <c r="G270" s="35" t="s">
        <v>656</v>
      </c>
      <c r="H270">
        <v>5000</v>
      </c>
      <c r="I270" s="43">
        <f t="shared" si="21"/>
        <v>5000</v>
      </c>
      <c r="J270" s="3">
        <v>500</v>
      </c>
      <c r="K270" s="44">
        <f t="shared" si="20"/>
        <v>4500</v>
      </c>
      <c r="L270" s="23">
        <v>0</v>
      </c>
      <c r="M270" s="24">
        <f t="shared" si="22"/>
        <v>0</v>
      </c>
      <c r="N270" s="25">
        <v>10</v>
      </c>
      <c r="O270" s="22">
        <f t="shared" si="23"/>
        <v>500</v>
      </c>
      <c r="P270" s="24">
        <f t="shared" si="24"/>
        <v>1</v>
      </c>
    </row>
    <row r="271" spans="2:16" ht="24" customHeight="1" x14ac:dyDescent="0.25">
      <c r="B271" s="1">
        <v>184</v>
      </c>
      <c r="C271" s="6">
        <v>16134747</v>
      </c>
      <c r="D271" s="2" t="s">
        <v>255</v>
      </c>
      <c r="E271" s="2" t="s">
        <v>567</v>
      </c>
      <c r="F271" s="2">
        <v>9241918</v>
      </c>
      <c r="G271" s="35" t="s">
        <v>656</v>
      </c>
      <c r="H271">
        <v>5000</v>
      </c>
      <c r="I271" s="43">
        <f t="shared" si="21"/>
        <v>4750</v>
      </c>
      <c r="J271" s="3">
        <v>475</v>
      </c>
      <c r="K271" s="44">
        <f t="shared" si="20"/>
        <v>4275</v>
      </c>
      <c r="L271" s="23">
        <v>0.05</v>
      </c>
      <c r="M271" s="24">
        <f t="shared" si="22"/>
        <v>250</v>
      </c>
      <c r="N271" s="25">
        <v>10</v>
      </c>
      <c r="O271" s="22">
        <f t="shared" si="23"/>
        <v>475</v>
      </c>
      <c r="P271" s="24">
        <f t="shared" si="24"/>
        <v>1</v>
      </c>
    </row>
    <row r="272" spans="2:16" ht="24" customHeight="1" x14ac:dyDescent="0.25">
      <c r="B272" s="1">
        <v>185</v>
      </c>
      <c r="C272" s="6">
        <v>14152937</v>
      </c>
      <c r="D272" s="2" t="s">
        <v>256</v>
      </c>
      <c r="E272" s="2" t="s">
        <v>578</v>
      </c>
      <c r="F272" s="2">
        <v>9216980</v>
      </c>
      <c r="G272" s="35" t="s">
        <v>731</v>
      </c>
      <c r="H272">
        <v>5000</v>
      </c>
      <c r="I272" s="43">
        <f t="shared" si="21"/>
        <v>4750</v>
      </c>
      <c r="J272" s="3">
        <v>4750</v>
      </c>
      <c r="K272" s="44">
        <f t="shared" si="20"/>
        <v>0</v>
      </c>
      <c r="L272" s="23">
        <v>0.05</v>
      </c>
      <c r="M272" s="24">
        <f t="shared" si="22"/>
        <v>250</v>
      </c>
      <c r="N272" s="25">
        <v>10</v>
      </c>
      <c r="O272" s="22">
        <f t="shared" si="23"/>
        <v>475</v>
      </c>
      <c r="P272" s="24">
        <f t="shared" si="24"/>
        <v>10</v>
      </c>
    </row>
    <row r="273" spans="2:16" ht="24" customHeight="1" x14ac:dyDescent="0.25">
      <c r="B273" s="1">
        <v>186</v>
      </c>
      <c r="C273" s="6">
        <v>16270120</v>
      </c>
      <c r="D273" s="2" t="s">
        <v>257</v>
      </c>
      <c r="E273" s="2" t="s">
        <v>573</v>
      </c>
      <c r="F273" s="2">
        <v>6004686</v>
      </c>
      <c r="G273" s="35" t="s">
        <v>630</v>
      </c>
      <c r="H273">
        <v>5000</v>
      </c>
      <c r="I273" s="43">
        <f t="shared" si="21"/>
        <v>5000</v>
      </c>
      <c r="J273" s="3">
        <v>500</v>
      </c>
      <c r="K273" s="44">
        <f t="shared" si="20"/>
        <v>4500</v>
      </c>
      <c r="L273" s="23">
        <v>0</v>
      </c>
      <c r="M273" s="24">
        <f t="shared" si="22"/>
        <v>0</v>
      </c>
      <c r="N273" s="25">
        <v>10</v>
      </c>
      <c r="O273" s="22">
        <f t="shared" si="23"/>
        <v>500</v>
      </c>
      <c r="P273" s="24">
        <f t="shared" si="24"/>
        <v>1</v>
      </c>
    </row>
    <row r="274" spans="2:16" ht="24" customHeight="1" x14ac:dyDescent="0.25">
      <c r="B274" s="1">
        <v>187</v>
      </c>
      <c r="C274" s="6">
        <v>13313222</v>
      </c>
      <c r="D274" s="2" t="s">
        <v>258</v>
      </c>
      <c r="E274" s="2" t="s">
        <v>578</v>
      </c>
      <c r="F274" s="2">
        <v>4872725</v>
      </c>
      <c r="G274" s="35" t="s">
        <v>614</v>
      </c>
      <c r="H274">
        <v>5000</v>
      </c>
      <c r="I274" s="43">
        <f t="shared" si="21"/>
        <v>4750</v>
      </c>
      <c r="J274" s="3">
        <v>4750</v>
      </c>
      <c r="K274" s="44">
        <f t="shared" si="20"/>
        <v>0</v>
      </c>
      <c r="L274" s="23">
        <v>0.05</v>
      </c>
      <c r="M274" s="24">
        <f t="shared" si="22"/>
        <v>250</v>
      </c>
      <c r="N274" s="25">
        <v>10</v>
      </c>
      <c r="O274" s="22">
        <f t="shared" si="23"/>
        <v>475</v>
      </c>
      <c r="P274" s="24">
        <f t="shared" si="24"/>
        <v>10</v>
      </c>
    </row>
    <row r="275" spans="2:16" ht="24" customHeight="1" x14ac:dyDescent="0.25">
      <c r="B275" s="1">
        <v>187</v>
      </c>
      <c r="C275" s="6">
        <v>16599331</v>
      </c>
      <c r="D275" s="2" t="s">
        <v>259</v>
      </c>
      <c r="E275" s="2" t="s">
        <v>572</v>
      </c>
      <c r="F275" s="2">
        <v>4872725</v>
      </c>
      <c r="G275" s="35" t="s">
        <v>614</v>
      </c>
      <c r="H275">
        <v>5000</v>
      </c>
      <c r="I275" s="43">
        <f t="shared" si="21"/>
        <v>4750</v>
      </c>
      <c r="J275" s="3">
        <v>4750</v>
      </c>
      <c r="K275" s="44">
        <f t="shared" si="20"/>
        <v>0</v>
      </c>
      <c r="L275" s="23">
        <v>0.05</v>
      </c>
      <c r="M275" s="24">
        <f t="shared" si="22"/>
        <v>250</v>
      </c>
      <c r="N275" s="25">
        <v>10</v>
      </c>
      <c r="O275" s="22">
        <f t="shared" si="23"/>
        <v>475</v>
      </c>
      <c r="P275" s="24">
        <f t="shared" si="24"/>
        <v>10</v>
      </c>
    </row>
    <row r="276" spans="2:16" ht="24" customHeight="1" x14ac:dyDescent="0.25">
      <c r="B276" s="1">
        <v>188</v>
      </c>
      <c r="C276" s="6">
        <v>16719370</v>
      </c>
      <c r="D276" s="2" t="s">
        <v>260</v>
      </c>
      <c r="E276" s="2" t="s">
        <v>572</v>
      </c>
      <c r="F276" s="2">
        <v>3492347</v>
      </c>
      <c r="G276" s="35" t="s">
        <v>708</v>
      </c>
      <c r="H276">
        <v>5000</v>
      </c>
      <c r="I276" s="43">
        <f t="shared" si="21"/>
        <v>5000</v>
      </c>
      <c r="J276" s="3">
        <v>500</v>
      </c>
      <c r="K276" s="44">
        <f t="shared" si="20"/>
        <v>4500</v>
      </c>
      <c r="L276" s="23">
        <v>0</v>
      </c>
      <c r="M276" s="24">
        <f t="shared" si="22"/>
        <v>0</v>
      </c>
      <c r="N276" s="25">
        <v>10</v>
      </c>
      <c r="O276" s="22">
        <f t="shared" si="23"/>
        <v>500</v>
      </c>
      <c r="P276" s="24">
        <f t="shared" si="24"/>
        <v>1</v>
      </c>
    </row>
    <row r="277" spans="2:16" ht="24" customHeight="1" x14ac:dyDescent="0.25">
      <c r="B277" s="1">
        <v>189</v>
      </c>
      <c r="C277" s="6">
        <v>14040710</v>
      </c>
      <c r="D277" s="2" t="s">
        <v>261</v>
      </c>
      <c r="E277" s="2" t="s">
        <v>578</v>
      </c>
      <c r="F277" s="2">
        <v>6109570</v>
      </c>
      <c r="G277" s="35" t="s">
        <v>732</v>
      </c>
      <c r="H277">
        <v>5000</v>
      </c>
      <c r="I277" s="43">
        <f t="shared" si="21"/>
        <v>4750</v>
      </c>
      <c r="J277" s="3">
        <v>4750</v>
      </c>
      <c r="K277" s="44">
        <f t="shared" si="20"/>
        <v>0</v>
      </c>
      <c r="L277" s="23">
        <v>0.05</v>
      </c>
      <c r="M277" s="24">
        <f t="shared" si="22"/>
        <v>250</v>
      </c>
      <c r="N277" s="25">
        <v>10</v>
      </c>
      <c r="O277" s="22">
        <f t="shared" si="23"/>
        <v>475</v>
      </c>
      <c r="P277" s="24">
        <f t="shared" si="24"/>
        <v>10</v>
      </c>
    </row>
    <row r="278" spans="2:16" ht="24" customHeight="1" x14ac:dyDescent="0.25">
      <c r="B278" s="1">
        <v>189</v>
      </c>
      <c r="C278" s="6">
        <v>14040527</v>
      </c>
      <c r="D278" s="2" t="s">
        <v>262</v>
      </c>
      <c r="E278" s="2" t="s">
        <v>574</v>
      </c>
      <c r="F278" s="2">
        <v>6109570</v>
      </c>
      <c r="G278" s="35" t="s">
        <v>732</v>
      </c>
      <c r="H278">
        <v>5000</v>
      </c>
      <c r="I278" s="43">
        <f t="shared" si="21"/>
        <v>4750</v>
      </c>
      <c r="J278" s="3">
        <v>4750</v>
      </c>
      <c r="K278" s="44">
        <f t="shared" si="20"/>
        <v>0</v>
      </c>
      <c r="L278" s="23">
        <v>0.05</v>
      </c>
      <c r="M278" s="24">
        <f t="shared" si="22"/>
        <v>250</v>
      </c>
      <c r="N278" s="25">
        <v>10</v>
      </c>
      <c r="O278" s="22">
        <f t="shared" si="23"/>
        <v>475</v>
      </c>
      <c r="P278" s="24">
        <f t="shared" si="24"/>
        <v>10</v>
      </c>
    </row>
    <row r="279" spans="2:16" ht="24" customHeight="1" x14ac:dyDescent="0.25">
      <c r="B279" s="1">
        <v>190</v>
      </c>
      <c r="C279" s="6">
        <v>14184213</v>
      </c>
      <c r="D279" s="2" t="s">
        <v>263</v>
      </c>
      <c r="E279" s="2" t="s">
        <v>576</v>
      </c>
      <c r="F279" s="2">
        <v>5966870017</v>
      </c>
      <c r="G279" s="35" t="s">
        <v>733</v>
      </c>
      <c r="H279">
        <v>5000</v>
      </c>
      <c r="I279" s="43">
        <f t="shared" si="21"/>
        <v>5000</v>
      </c>
      <c r="J279" s="3">
        <v>500</v>
      </c>
      <c r="K279" s="44">
        <f t="shared" si="20"/>
        <v>4500</v>
      </c>
      <c r="L279" s="23">
        <v>0</v>
      </c>
      <c r="M279" s="24">
        <f t="shared" si="22"/>
        <v>0</v>
      </c>
      <c r="N279" s="25">
        <v>10</v>
      </c>
      <c r="O279" s="22">
        <f t="shared" si="23"/>
        <v>500</v>
      </c>
      <c r="P279" s="24">
        <f t="shared" si="24"/>
        <v>1</v>
      </c>
    </row>
    <row r="280" spans="2:16" ht="24" customHeight="1" x14ac:dyDescent="0.25">
      <c r="B280" s="1">
        <v>191</v>
      </c>
      <c r="C280" s="6">
        <v>15013009</v>
      </c>
      <c r="D280" s="2" t="s">
        <v>264</v>
      </c>
      <c r="E280" s="2" t="s">
        <v>572</v>
      </c>
      <c r="F280" s="2">
        <v>3492347</v>
      </c>
      <c r="G280" s="35" t="s">
        <v>708</v>
      </c>
      <c r="H280">
        <v>5000</v>
      </c>
      <c r="I280" s="43">
        <f t="shared" si="21"/>
        <v>5000</v>
      </c>
      <c r="J280" s="3">
        <v>500</v>
      </c>
      <c r="K280" s="44">
        <f t="shared" si="20"/>
        <v>4500</v>
      </c>
      <c r="L280" s="23">
        <v>0</v>
      </c>
      <c r="M280" s="24">
        <f t="shared" si="22"/>
        <v>0</v>
      </c>
      <c r="N280" s="25">
        <v>10</v>
      </c>
      <c r="O280" s="22">
        <f t="shared" si="23"/>
        <v>500</v>
      </c>
      <c r="P280" s="24">
        <f t="shared" si="24"/>
        <v>1</v>
      </c>
    </row>
    <row r="281" spans="2:16" ht="24" customHeight="1" x14ac:dyDescent="0.25">
      <c r="B281" s="1">
        <v>192</v>
      </c>
      <c r="C281" s="6">
        <v>17057484</v>
      </c>
      <c r="D281" s="2" t="s">
        <v>265</v>
      </c>
      <c r="E281" s="2" t="s">
        <v>567</v>
      </c>
      <c r="F281" s="2">
        <v>2623118011</v>
      </c>
      <c r="G281" s="35" t="s">
        <v>734</v>
      </c>
      <c r="H281">
        <v>5000</v>
      </c>
      <c r="I281" s="43">
        <f t="shared" si="21"/>
        <v>5000</v>
      </c>
      <c r="J281" s="3">
        <v>500</v>
      </c>
      <c r="K281" s="44">
        <f t="shared" si="20"/>
        <v>4500</v>
      </c>
      <c r="L281" s="23">
        <v>0</v>
      </c>
      <c r="M281" s="24">
        <f t="shared" si="22"/>
        <v>0</v>
      </c>
      <c r="N281" s="25">
        <v>10</v>
      </c>
      <c r="O281" s="22">
        <f t="shared" si="23"/>
        <v>500</v>
      </c>
      <c r="P281" s="24">
        <f t="shared" si="24"/>
        <v>1</v>
      </c>
    </row>
    <row r="282" spans="2:16" ht="24" customHeight="1" x14ac:dyDescent="0.25">
      <c r="B282" s="1">
        <v>193</v>
      </c>
      <c r="C282" s="6">
        <v>13376872</v>
      </c>
      <c r="D282" s="2" t="s">
        <v>266</v>
      </c>
      <c r="E282" s="2" t="s">
        <v>565</v>
      </c>
      <c r="F282" s="2">
        <v>13376873</v>
      </c>
      <c r="G282" s="35" t="s">
        <v>735</v>
      </c>
      <c r="H282">
        <v>5000</v>
      </c>
      <c r="I282" s="43">
        <f t="shared" si="21"/>
        <v>5000</v>
      </c>
      <c r="J282" s="3">
        <v>500</v>
      </c>
      <c r="K282" s="44">
        <f t="shared" si="20"/>
        <v>4500</v>
      </c>
      <c r="L282" s="23">
        <v>0</v>
      </c>
      <c r="M282" s="24">
        <f t="shared" si="22"/>
        <v>0</v>
      </c>
      <c r="N282" s="25">
        <v>10</v>
      </c>
      <c r="O282" s="22">
        <f t="shared" si="23"/>
        <v>500</v>
      </c>
      <c r="P282" s="24">
        <f t="shared" si="24"/>
        <v>1</v>
      </c>
    </row>
    <row r="283" spans="2:16" ht="24" customHeight="1" x14ac:dyDescent="0.25">
      <c r="B283" s="1">
        <v>194</v>
      </c>
      <c r="C283" s="6">
        <v>13692475</v>
      </c>
      <c r="D283" s="2" t="s">
        <v>267</v>
      </c>
      <c r="E283" s="2" t="s">
        <v>574</v>
      </c>
      <c r="F283" s="2">
        <v>6031738</v>
      </c>
      <c r="G283" s="35" t="s">
        <v>736</v>
      </c>
      <c r="H283">
        <v>5000</v>
      </c>
      <c r="I283" s="43">
        <f t="shared" si="21"/>
        <v>5000</v>
      </c>
      <c r="J283" s="3">
        <v>500</v>
      </c>
      <c r="K283" s="44">
        <f t="shared" si="20"/>
        <v>4500</v>
      </c>
      <c r="L283" s="23">
        <v>0</v>
      </c>
      <c r="M283" s="24">
        <f t="shared" si="22"/>
        <v>0</v>
      </c>
      <c r="N283" s="25">
        <v>10</v>
      </c>
      <c r="O283" s="22">
        <f t="shared" si="23"/>
        <v>500</v>
      </c>
      <c r="P283" s="24">
        <f t="shared" si="24"/>
        <v>1</v>
      </c>
    </row>
    <row r="284" spans="2:16" ht="24" customHeight="1" x14ac:dyDescent="0.25">
      <c r="B284" s="1">
        <v>194</v>
      </c>
      <c r="C284" s="6">
        <v>15934968</v>
      </c>
      <c r="D284" s="2" t="s">
        <v>268</v>
      </c>
      <c r="E284" s="2" t="s">
        <v>565</v>
      </c>
      <c r="F284" s="2">
        <v>6031738</v>
      </c>
      <c r="G284" s="35" t="s">
        <v>736</v>
      </c>
      <c r="H284">
        <v>5000</v>
      </c>
      <c r="I284" s="43">
        <f t="shared" si="21"/>
        <v>4750</v>
      </c>
      <c r="J284" s="3">
        <v>475</v>
      </c>
      <c r="K284" s="44">
        <f t="shared" si="20"/>
        <v>4275</v>
      </c>
      <c r="L284" s="23">
        <v>0.05</v>
      </c>
      <c r="M284" s="24">
        <f t="shared" si="22"/>
        <v>250</v>
      </c>
      <c r="N284" s="25">
        <v>10</v>
      </c>
      <c r="O284" s="22">
        <f t="shared" si="23"/>
        <v>475</v>
      </c>
      <c r="P284" s="24">
        <f t="shared" si="24"/>
        <v>1</v>
      </c>
    </row>
    <row r="285" spans="2:16" ht="24" customHeight="1" x14ac:dyDescent="0.25">
      <c r="B285" s="1">
        <v>195</v>
      </c>
      <c r="C285" s="6">
        <v>15616894</v>
      </c>
      <c r="D285" s="2" t="s">
        <v>269</v>
      </c>
      <c r="E285" s="2" t="s">
        <v>572</v>
      </c>
      <c r="F285" s="2">
        <v>6032711</v>
      </c>
      <c r="G285" s="35" t="s">
        <v>737</v>
      </c>
      <c r="H285">
        <v>5000</v>
      </c>
      <c r="I285" s="43">
        <f t="shared" si="21"/>
        <v>5000</v>
      </c>
      <c r="J285" s="45">
        <v>500</v>
      </c>
      <c r="K285" s="44">
        <f t="shared" si="20"/>
        <v>4500</v>
      </c>
      <c r="L285" s="23">
        <v>0</v>
      </c>
      <c r="M285" s="24">
        <f t="shared" si="22"/>
        <v>0</v>
      </c>
      <c r="N285" s="25">
        <v>10</v>
      </c>
      <c r="O285" s="22">
        <f t="shared" si="23"/>
        <v>500</v>
      </c>
      <c r="P285" s="24">
        <f t="shared" si="24"/>
        <v>1</v>
      </c>
    </row>
    <row r="286" spans="2:16" ht="24" customHeight="1" thickBot="1" x14ac:dyDescent="0.3">
      <c r="B286" s="1">
        <v>195</v>
      </c>
      <c r="C286" s="26">
        <v>16739387</v>
      </c>
      <c r="D286" s="2" t="s">
        <v>270</v>
      </c>
      <c r="E286" s="17" t="s">
        <v>571</v>
      </c>
      <c r="F286" s="17">
        <v>6032712</v>
      </c>
      <c r="G286" s="37" t="s">
        <v>737</v>
      </c>
      <c r="H286">
        <v>5000</v>
      </c>
      <c r="I286" s="43">
        <f t="shared" si="21"/>
        <v>4750</v>
      </c>
      <c r="J286" s="45">
        <v>475</v>
      </c>
      <c r="K286" s="44">
        <f t="shared" si="20"/>
        <v>4275</v>
      </c>
      <c r="L286" s="23">
        <v>0.05</v>
      </c>
      <c r="M286" s="24">
        <f t="shared" si="22"/>
        <v>250</v>
      </c>
      <c r="N286" s="25">
        <v>10</v>
      </c>
      <c r="O286" s="22">
        <f t="shared" si="23"/>
        <v>475</v>
      </c>
      <c r="P286" s="24">
        <f t="shared" si="24"/>
        <v>1</v>
      </c>
    </row>
    <row r="287" spans="2:16" ht="24" customHeight="1" x14ac:dyDescent="0.25">
      <c r="B287" s="1"/>
      <c r="C287" s="5"/>
      <c r="D287" s="2" t="s">
        <v>271</v>
      </c>
      <c r="E287" s="10" t="s">
        <v>863</v>
      </c>
      <c r="F287" s="10"/>
      <c r="G287" s="36"/>
      <c r="H287">
        <v>5000</v>
      </c>
      <c r="I287" s="43">
        <f t="shared" si="21"/>
        <v>4650</v>
      </c>
      <c r="J287" s="46">
        <v>4650</v>
      </c>
      <c r="K287" s="44">
        <f t="shared" si="20"/>
        <v>0</v>
      </c>
      <c r="L287" s="23">
        <v>7.0000000000000007E-2</v>
      </c>
      <c r="M287" s="24">
        <f t="shared" si="22"/>
        <v>350.00000000000006</v>
      </c>
      <c r="N287" s="25">
        <v>10</v>
      </c>
      <c r="O287" s="22">
        <f t="shared" si="23"/>
        <v>465</v>
      </c>
      <c r="P287" s="24">
        <f t="shared" si="24"/>
        <v>10</v>
      </c>
    </row>
    <row r="288" spans="2:16" ht="24" customHeight="1" x14ac:dyDescent="0.25">
      <c r="B288" s="1"/>
      <c r="C288" s="5"/>
      <c r="D288" s="2" t="s">
        <v>272</v>
      </c>
      <c r="E288" s="10" t="s">
        <v>582</v>
      </c>
      <c r="F288" s="10"/>
      <c r="G288" s="36"/>
      <c r="H288">
        <v>5000</v>
      </c>
      <c r="I288" s="43">
        <f t="shared" si="21"/>
        <v>4750</v>
      </c>
      <c r="J288" s="46">
        <v>4750</v>
      </c>
      <c r="K288" s="44">
        <f t="shared" si="20"/>
        <v>0</v>
      </c>
      <c r="L288" s="23">
        <v>0.05</v>
      </c>
      <c r="M288" s="24">
        <f t="shared" si="22"/>
        <v>250</v>
      </c>
      <c r="N288" s="25">
        <v>10</v>
      </c>
      <c r="O288" s="22">
        <f t="shared" si="23"/>
        <v>475</v>
      </c>
      <c r="P288" s="24">
        <f t="shared" si="24"/>
        <v>10</v>
      </c>
    </row>
    <row r="289" spans="2:16" ht="24" customHeight="1" x14ac:dyDescent="0.25">
      <c r="B289" s="1"/>
      <c r="C289" s="5"/>
      <c r="D289" s="2" t="s">
        <v>273</v>
      </c>
      <c r="E289" s="10" t="s">
        <v>584</v>
      </c>
      <c r="F289" s="10"/>
      <c r="G289" s="36"/>
      <c r="H289">
        <v>5000</v>
      </c>
      <c r="I289" s="43">
        <f t="shared" si="21"/>
        <v>4775</v>
      </c>
      <c r="J289" s="46">
        <v>477.5</v>
      </c>
      <c r="K289" s="44">
        <f t="shared" si="20"/>
        <v>4297.5</v>
      </c>
      <c r="L289" s="49">
        <v>4.4999999999999998E-2</v>
      </c>
      <c r="M289" s="24">
        <f t="shared" si="22"/>
        <v>225</v>
      </c>
      <c r="N289" s="25">
        <v>10</v>
      </c>
      <c r="O289" s="22">
        <f t="shared" si="23"/>
        <v>477.5</v>
      </c>
      <c r="P289" s="24">
        <f t="shared" si="24"/>
        <v>1</v>
      </c>
    </row>
    <row r="290" spans="2:16" ht="24" customHeight="1" x14ac:dyDescent="0.25">
      <c r="B290" s="1"/>
      <c r="C290" s="5"/>
      <c r="D290" s="2" t="s">
        <v>274</v>
      </c>
      <c r="E290" s="10" t="s">
        <v>579</v>
      </c>
      <c r="F290" s="10"/>
      <c r="G290" s="36"/>
      <c r="H290">
        <v>5000</v>
      </c>
      <c r="I290" s="43">
        <f t="shared" si="21"/>
        <v>4550</v>
      </c>
      <c r="J290" s="46">
        <v>455</v>
      </c>
      <c r="K290" s="44">
        <f t="shared" si="20"/>
        <v>4095</v>
      </c>
      <c r="L290" s="23">
        <v>0.09</v>
      </c>
      <c r="M290" s="24">
        <f t="shared" si="22"/>
        <v>450</v>
      </c>
      <c r="N290" s="25">
        <v>10</v>
      </c>
      <c r="O290" s="22">
        <f t="shared" si="23"/>
        <v>455</v>
      </c>
      <c r="P290" s="24">
        <f t="shared" si="24"/>
        <v>1</v>
      </c>
    </row>
    <row r="291" spans="2:16" ht="24" customHeight="1" x14ac:dyDescent="0.25">
      <c r="B291" s="1"/>
      <c r="C291" s="5"/>
      <c r="D291" s="2" t="s">
        <v>275</v>
      </c>
      <c r="E291" s="10" t="s">
        <v>589</v>
      </c>
      <c r="F291" s="10"/>
      <c r="G291" s="36"/>
      <c r="H291">
        <v>5000</v>
      </c>
      <c r="I291" s="43">
        <f t="shared" si="21"/>
        <v>4100</v>
      </c>
      <c r="J291" s="46">
        <v>410</v>
      </c>
      <c r="K291" s="44">
        <f t="shared" si="20"/>
        <v>3690</v>
      </c>
      <c r="L291" s="23">
        <v>0.18</v>
      </c>
      <c r="M291" s="24">
        <f t="shared" si="22"/>
        <v>900</v>
      </c>
      <c r="N291" s="25">
        <v>10</v>
      </c>
      <c r="O291" s="22">
        <f t="shared" si="23"/>
        <v>410</v>
      </c>
      <c r="P291" s="24">
        <f t="shared" si="24"/>
        <v>1</v>
      </c>
    </row>
    <row r="292" spans="2:16" ht="24" customHeight="1" x14ac:dyDescent="0.25">
      <c r="B292" s="1"/>
      <c r="C292" s="5"/>
      <c r="D292" s="2" t="s">
        <v>276</v>
      </c>
      <c r="E292" s="10" t="s">
        <v>866</v>
      </c>
      <c r="F292" s="10"/>
      <c r="G292" s="36"/>
      <c r="H292">
        <v>5000</v>
      </c>
      <c r="I292" s="43">
        <f t="shared" si="21"/>
        <v>4500</v>
      </c>
      <c r="J292" s="4">
        <v>450</v>
      </c>
      <c r="K292" s="44">
        <f t="shared" si="20"/>
        <v>4050</v>
      </c>
      <c r="L292" s="23">
        <v>0.1</v>
      </c>
      <c r="M292" s="24">
        <f t="shared" si="22"/>
        <v>500</v>
      </c>
      <c r="N292" s="25">
        <v>10</v>
      </c>
      <c r="O292" s="22">
        <f t="shared" si="23"/>
        <v>450</v>
      </c>
      <c r="P292" s="24">
        <f t="shared" si="24"/>
        <v>1</v>
      </c>
    </row>
    <row r="293" spans="2:16" ht="24" customHeight="1" x14ac:dyDescent="0.25">
      <c r="B293" s="1"/>
      <c r="C293" s="5"/>
      <c r="D293" s="2" t="s">
        <v>277</v>
      </c>
      <c r="E293" s="10" t="s">
        <v>588</v>
      </c>
      <c r="F293" s="10"/>
      <c r="G293" s="36"/>
      <c r="H293">
        <v>5000</v>
      </c>
      <c r="I293" s="43">
        <f t="shared" si="21"/>
        <v>4500</v>
      </c>
      <c r="J293" s="4">
        <v>450</v>
      </c>
      <c r="K293" s="44">
        <f t="shared" si="20"/>
        <v>4050</v>
      </c>
      <c r="L293" s="23">
        <v>0.1</v>
      </c>
      <c r="M293" s="24">
        <f t="shared" si="22"/>
        <v>500</v>
      </c>
      <c r="N293" s="25">
        <v>10</v>
      </c>
      <c r="O293" s="22">
        <f t="shared" si="23"/>
        <v>450</v>
      </c>
      <c r="P293" s="24">
        <f t="shared" si="24"/>
        <v>1</v>
      </c>
    </row>
    <row r="294" spans="2:16" ht="24" customHeight="1" x14ac:dyDescent="0.25">
      <c r="B294" s="1"/>
      <c r="C294" s="5"/>
      <c r="D294" s="2" t="s">
        <v>278</v>
      </c>
      <c r="E294" s="10" t="s">
        <v>595</v>
      </c>
      <c r="F294" s="10"/>
      <c r="G294" s="36"/>
      <c r="H294">
        <v>5000</v>
      </c>
      <c r="I294" s="43">
        <f t="shared" si="21"/>
        <v>4500</v>
      </c>
      <c r="J294" s="4">
        <v>450</v>
      </c>
      <c r="K294" s="44">
        <f t="shared" si="20"/>
        <v>4050</v>
      </c>
      <c r="L294" s="23">
        <v>0.1</v>
      </c>
      <c r="M294" s="24">
        <f t="shared" si="22"/>
        <v>500</v>
      </c>
      <c r="N294" s="25">
        <v>10</v>
      </c>
      <c r="O294" s="22">
        <f t="shared" si="23"/>
        <v>450</v>
      </c>
      <c r="P294" s="24">
        <f t="shared" si="24"/>
        <v>1</v>
      </c>
    </row>
    <row r="295" spans="2:16" ht="24" customHeight="1" x14ac:dyDescent="0.25">
      <c r="B295" s="1"/>
      <c r="C295" s="5"/>
      <c r="D295" s="2" t="s">
        <v>279</v>
      </c>
      <c r="E295" s="10" t="s">
        <v>580</v>
      </c>
      <c r="F295" s="10"/>
      <c r="G295" s="36"/>
      <c r="H295">
        <v>5000</v>
      </c>
      <c r="I295" s="43">
        <f t="shared" si="21"/>
        <v>4500</v>
      </c>
      <c r="J295" s="4">
        <v>450</v>
      </c>
      <c r="K295" s="44">
        <f t="shared" si="20"/>
        <v>4050</v>
      </c>
      <c r="L295" s="23">
        <v>0.1</v>
      </c>
      <c r="M295" s="24">
        <f t="shared" si="22"/>
        <v>500</v>
      </c>
      <c r="N295" s="25">
        <v>10</v>
      </c>
      <c r="O295" s="22">
        <f t="shared" si="23"/>
        <v>450</v>
      </c>
      <c r="P295" s="24">
        <f t="shared" si="24"/>
        <v>1</v>
      </c>
    </row>
    <row r="296" spans="2:16" ht="24" customHeight="1" x14ac:dyDescent="0.25">
      <c r="B296" s="1">
        <v>196</v>
      </c>
      <c r="C296" s="29">
        <v>13961399</v>
      </c>
      <c r="D296" s="2" t="s">
        <v>280</v>
      </c>
      <c r="E296" s="19" t="s">
        <v>566</v>
      </c>
      <c r="F296" s="19">
        <v>6089764</v>
      </c>
      <c r="G296" s="40" t="s">
        <v>738</v>
      </c>
      <c r="H296">
        <v>5000</v>
      </c>
      <c r="I296" s="43">
        <f t="shared" si="21"/>
        <v>5000</v>
      </c>
      <c r="J296" s="3">
        <v>2500</v>
      </c>
      <c r="K296" s="44">
        <f t="shared" si="20"/>
        <v>2500</v>
      </c>
      <c r="L296" s="23">
        <v>0</v>
      </c>
      <c r="M296" s="24">
        <f t="shared" si="22"/>
        <v>0</v>
      </c>
      <c r="N296" s="25">
        <v>10</v>
      </c>
      <c r="O296" s="22">
        <f t="shared" si="23"/>
        <v>500</v>
      </c>
      <c r="P296" s="24">
        <f t="shared" si="24"/>
        <v>5</v>
      </c>
    </row>
    <row r="297" spans="2:16" ht="24" customHeight="1" x14ac:dyDescent="0.25">
      <c r="B297" s="1">
        <v>196</v>
      </c>
      <c r="C297" s="6">
        <v>13961475</v>
      </c>
      <c r="D297" s="2" t="s">
        <v>281</v>
      </c>
      <c r="E297" s="2" t="s">
        <v>578</v>
      </c>
      <c r="F297" s="2">
        <v>6089765</v>
      </c>
      <c r="G297" s="35" t="s">
        <v>738</v>
      </c>
      <c r="H297">
        <v>5000</v>
      </c>
      <c r="I297" s="43">
        <f t="shared" si="21"/>
        <v>4750</v>
      </c>
      <c r="J297" s="3">
        <v>2375</v>
      </c>
      <c r="K297" s="44">
        <f t="shared" si="20"/>
        <v>2375</v>
      </c>
      <c r="L297" s="23">
        <v>0.05</v>
      </c>
      <c r="M297" s="24">
        <f t="shared" si="22"/>
        <v>250</v>
      </c>
      <c r="N297" s="25">
        <v>10</v>
      </c>
      <c r="O297" s="22">
        <f t="shared" si="23"/>
        <v>475</v>
      </c>
      <c r="P297" s="24">
        <f t="shared" si="24"/>
        <v>5</v>
      </c>
    </row>
    <row r="298" spans="2:16" ht="24" customHeight="1" x14ac:dyDescent="0.25">
      <c r="B298" s="1">
        <v>197</v>
      </c>
      <c r="C298" s="6">
        <v>13967116</v>
      </c>
      <c r="D298" s="2" t="s">
        <v>282</v>
      </c>
      <c r="E298" s="2" t="s">
        <v>578</v>
      </c>
      <c r="F298" s="2">
        <v>6806151</v>
      </c>
      <c r="G298" s="35" t="s">
        <v>739</v>
      </c>
      <c r="H298">
        <v>5000</v>
      </c>
      <c r="I298" s="43">
        <f t="shared" si="21"/>
        <v>5000</v>
      </c>
      <c r="J298" s="3">
        <v>500</v>
      </c>
      <c r="K298" s="44">
        <f t="shared" si="20"/>
        <v>4500</v>
      </c>
      <c r="L298" s="23">
        <v>0</v>
      </c>
      <c r="M298" s="24">
        <f t="shared" si="22"/>
        <v>0</v>
      </c>
      <c r="N298" s="25">
        <v>10</v>
      </c>
      <c r="O298" s="22">
        <f t="shared" si="23"/>
        <v>500</v>
      </c>
      <c r="P298" s="24">
        <f t="shared" si="24"/>
        <v>1</v>
      </c>
    </row>
    <row r="299" spans="2:16" ht="24" customHeight="1" x14ac:dyDescent="0.25">
      <c r="B299" s="1">
        <v>198</v>
      </c>
      <c r="C299" s="6">
        <v>13549652</v>
      </c>
      <c r="D299" s="2" t="s">
        <v>283</v>
      </c>
      <c r="E299" s="2" t="s">
        <v>565</v>
      </c>
      <c r="F299" s="2">
        <v>6088916</v>
      </c>
      <c r="G299" s="35" t="s">
        <v>740</v>
      </c>
      <c r="H299">
        <v>5000</v>
      </c>
      <c r="I299" s="43">
        <f t="shared" si="21"/>
        <v>4750</v>
      </c>
      <c r="J299" s="3">
        <v>4750</v>
      </c>
      <c r="K299" s="44">
        <f t="shared" si="20"/>
        <v>0</v>
      </c>
      <c r="L299" s="23">
        <v>0.05</v>
      </c>
      <c r="M299" s="24">
        <f t="shared" si="22"/>
        <v>250</v>
      </c>
      <c r="N299" s="25">
        <v>10</v>
      </c>
      <c r="O299" s="22">
        <f t="shared" si="23"/>
        <v>475</v>
      </c>
      <c r="P299" s="24">
        <f t="shared" si="24"/>
        <v>10</v>
      </c>
    </row>
    <row r="300" spans="2:16" ht="24" customHeight="1" x14ac:dyDescent="0.25">
      <c r="B300" s="1">
        <v>199</v>
      </c>
      <c r="C300" s="6">
        <v>15439848</v>
      </c>
      <c r="D300" s="2" t="s">
        <v>284</v>
      </c>
      <c r="E300" s="2" t="s">
        <v>576</v>
      </c>
      <c r="F300" s="2">
        <v>2487257</v>
      </c>
      <c r="G300" s="35" t="s">
        <v>656</v>
      </c>
      <c r="H300">
        <v>5000</v>
      </c>
      <c r="I300" s="43">
        <f t="shared" si="21"/>
        <v>4750</v>
      </c>
      <c r="J300" s="3">
        <v>4750</v>
      </c>
      <c r="K300" s="44">
        <f t="shared" si="20"/>
        <v>0</v>
      </c>
      <c r="L300" s="23">
        <v>0.05</v>
      </c>
      <c r="M300" s="24">
        <f t="shared" si="22"/>
        <v>250</v>
      </c>
      <c r="N300" s="25">
        <v>10</v>
      </c>
      <c r="O300" s="22">
        <f t="shared" si="23"/>
        <v>475</v>
      </c>
      <c r="P300" s="24">
        <f t="shared" si="24"/>
        <v>10</v>
      </c>
    </row>
    <row r="301" spans="2:16" ht="24" customHeight="1" x14ac:dyDescent="0.25">
      <c r="B301" s="1">
        <v>199</v>
      </c>
      <c r="C301" s="6">
        <v>15439887</v>
      </c>
      <c r="D301" s="2" t="s">
        <v>285</v>
      </c>
      <c r="E301" s="2" t="s">
        <v>567</v>
      </c>
      <c r="F301" s="2">
        <v>2487257</v>
      </c>
      <c r="G301" s="35" t="s">
        <v>617</v>
      </c>
      <c r="H301">
        <v>5000</v>
      </c>
      <c r="I301" s="43">
        <f t="shared" si="21"/>
        <v>4750</v>
      </c>
      <c r="J301" s="3">
        <v>4750</v>
      </c>
      <c r="K301" s="44">
        <f t="shared" si="20"/>
        <v>0</v>
      </c>
      <c r="L301" s="23">
        <v>0.05</v>
      </c>
      <c r="M301" s="24">
        <f t="shared" si="22"/>
        <v>250</v>
      </c>
      <c r="N301" s="25">
        <v>10</v>
      </c>
      <c r="O301" s="22">
        <f t="shared" si="23"/>
        <v>475</v>
      </c>
      <c r="P301" s="24">
        <f t="shared" si="24"/>
        <v>10</v>
      </c>
    </row>
    <row r="302" spans="2:16" ht="24" customHeight="1" x14ac:dyDescent="0.25">
      <c r="B302" s="1">
        <v>200</v>
      </c>
      <c r="C302" s="6">
        <v>14180162</v>
      </c>
      <c r="D302" s="2" t="s">
        <v>286</v>
      </c>
      <c r="E302" s="2" t="s">
        <v>574</v>
      </c>
      <c r="F302" s="2">
        <v>6051506</v>
      </c>
      <c r="G302" s="35" t="s">
        <v>741</v>
      </c>
      <c r="H302">
        <v>5000</v>
      </c>
      <c r="I302" s="43">
        <f t="shared" si="21"/>
        <v>5000</v>
      </c>
      <c r="J302" s="3">
        <v>500</v>
      </c>
      <c r="K302" s="44">
        <f t="shared" si="20"/>
        <v>4500</v>
      </c>
      <c r="L302" s="23">
        <v>0</v>
      </c>
      <c r="M302" s="24">
        <f t="shared" si="22"/>
        <v>0</v>
      </c>
      <c r="N302" s="25">
        <v>10</v>
      </c>
      <c r="O302" s="22">
        <f t="shared" si="23"/>
        <v>500</v>
      </c>
      <c r="P302" s="24">
        <f t="shared" si="24"/>
        <v>1</v>
      </c>
    </row>
    <row r="303" spans="2:16" ht="24" customHeight="1" x14ac:dyDescent="0.25">
      <c r="B303" s="1">
        <v>201</v>
      </c>
      <c r="C303" s="6">
        <v>15721940</v>
      </c>
      <c r="D303" s="2" t="s">
        <v>287</v>
      </c>
      <c r="E303" s="2" t="s">
        <v>567</v>
      </c>
      <c r="F303" s="2">
        <v>2380141019</v>
      </c>
      <c r="G303" s="35" t="s">
        <v>742</v>
      </c>
      <c r="H303">
        <v>5000</v>
      </c>
      <c r="I303" s="43">
        <f t="shared" si="21"/>
        <v>4750</v>
      </c>
      <c r="J303" s="3">
        <v>4750</v>
      </c>
      <c r="K303" s="44">
        <f t="shared" si="20"/>
        <v>0</v>
      </c>
      <c r="L303" s="23">
        <v>0.05</v>
      </c>
      <c r="M303" s="24">
        <f t="shared" si="22"/>
        <v>250</v>
      </c>
      <c r="N303" s="25">
        <v>10</v>
      </c>
      <c r="O303" s="22">
        <f t="shared" si="23"/>
        <v>475</v>
      </c>
      <c r="P303" s="24">
        <f t="shared" si="24"/>
        <v>10</v>
      </c>
    </row>
    <row r="304" spans="2:16" ht="24" customHeight="1" x14ac:dyDescent="0.25">
      <c r="B304" s="1">
        <v>202</v>
      </c>
      <c r="C304" s="6">
        <v>15143229</v>
      </c>
      <c r="D304" s="2" t="s">
        <v>288</v>
      </c>
      <c r="E304" s="2" t="s">
        <v>574</v>
      </c>
      <c r="F304" s="2">
        <v>4940651</v>
      </c>
      <c r="G304" s="35" t="s">
        <v>743</v>
      </c>
      <c r="H304">
        <v>5000</v>
      </c>
      <c r="I304" s="43">
        <f t="shared" si="21"/>
        <v>5000</v>
      </c>
      <c r="J304" s="3">
        <v>500</v>
      </c>
      <c r="K304" s="44">
        <f t="shared" si="20"/>
        <v>4500</v>
      </c>
      <c r="L304" s="23">
        <v>0</v>
      </c>
      <c r="M304" s="24">
        <f t="shared" si="22"/>
        <v>0</v>
      </c>
      <c r="N304" s="25">
        <v>10</v>
      </c>
      <c r="O304" s="22">
        <f t="shared" si="23"/>
        <v>500</v>
      </c>
      <c r="P304" s="24">
        <f t="shared" si="24"/>
        <v>1</v>
      </c>
    </row>
    <row r="305" spans="2:16" ht="24" customHeight="1" x14ac:dyDescent="0.25">
      <c r="B305" s="1">
        <v>203</v>
      </c>
      <c r="C305" s="6">
        <v>13922603</v>
      </c>
      <c r="D305" s="2" t="s">
        <v>289</v>
      </c>
      <c r="E305" s="2" t="s">
        <v>574</v>
      </c>
      <c r="F305" s="2">
        <v>7078623</v>
      </c>
      <c r="G305" s="35" t="s">
        <v>707</v>
      </c>
      <c r="H305">
        <v>5000</v>
      </c>
      <c r="I305" s="43">
        <f t="shared" si="21"/>
        <v>5000</v>
      </c>
      <c r="J305" s="3">
        <v>500</v>
      </c>
      <c r="K305" s="44">
        <f t="shared" si="20"/>
        <v>4500</v>
      </c>
      <c r="L305" s="23">
        <v>0</v>
      </c>
      <c r="M305" s="24">
        <f t="shared" si="22"/>
        <v>0</v>
      </c>
      <c r="N305" s="25">
        <v>10</v>
      </c>
      <c r="O305" s="22">
        <f t="shared" si="23"/>
        <v>500</v>
      </c>
      <c r="P305" s="24">
        <f t="shared" si="24"/>
        <v>1</v>
      </c>
    </row>
    <row r="306" spans="2:16" ht="24" customHeight="1" x14ac:dyDescent="0.25">
      <c r="B306" s="1">
        <v>204</v>
      </c>
      <c r="C306" s="6">
        <v>15003204</v>
      </c>
      <c r="D306" s="2" t="s">
        <v>290</v>
      </c>
      <c r="E306" s="2" t="s">
        <v>574</v>
      </c>
      <c r="F306" s="2">
        <v>2629174</v>
      </c>
      <c r="G306" s="35" t="s">
        <v>744</v>
      </c>
      <c r="H306">
        <v>5000</v>
      </c>
      <c r="I306" s="43">
        <f t="shared" si="21"/>
        <v>5000</v>
      </c>
      <c r="J306" s="3">
        <v>500</v>
      </c>
      <c r="K306" s="44">
        <f t="shared" si="20"/>
        <v>4500</v>
      </c>
      <c r="L306" s="23">
        <v>0</v>
      </c>
      <c r="M306" s="24">
        <f t="shared" si="22"/>
        <v>0</v>
      </c>
      <c r="N306" s="25">
        <v>10</v>
      </c>
      <c r="O306" s="22">
        <f t="shared" si="23"/>
        <v>500</v>
      </c>
      <c r="P306" s="24">
        <f t="shared" si="24"/>
        <v>1</v>
      </c>
    </row>
    <row r="307" spans="2:16" ht="24" customHeight="1" x14ac:dyDescent="0.25">
      <c r="B307" s="1">
        <v>205</v>
      </c>
      <c r="C307" s="6">
        <v>14617317</v>
      </c>
      <c r="D307" s="2" t="s">
        <v>291</v>
      </c>
      <c r="E307" s="2" t="s">
        <v>574</v>
      </c>
      <c r="F307" s="2">
        <v>2405443</v>
      </c>
      <c r="G307" s="35" t="s">
        <v>745</v>
      </c>
      <c r="H307">
        <v>5000</v>
      </c>
      <c r="I307" s="43">
        <f t="shared" si="21"/>
        <v>5000</v>
      </c>
      <c r="J307" s="3">
        <v>500</v>
      </c>
      <c r="K307" s="44">
        <f t="shared" si="20"/>
        <v>4500</v>
      </c>
      <c r="L307" s="23">
        <v>0</v>
      </c>
      <c r="M307" s="24">
        <f t="shared" si="22"/>
        <v>0</v>
      </c>
      <c r="N307" s="25">
        <v>10</v>
      </c>
      <c r="O307" s="22">
        <f t="shared" si="23"/>
        <v>500</v>
      </c>
      <c r="P307" s="24">
        <f t="shared" si="24"/>
        <v>1</v>
      </c>
    </row>
    <row r="308" spans="2:16" ht="24" customHeight="1" x14ac:dyDescent="0.25">
      <c r="B308" s="1">
        <v>206</v>
      </c>
      <c r="C308" s="6">
        <v>15436435</v>
      </c>
      <c r="D308" s="2" t="s">
        <v>292</v>
      </c>
      <c r="E308" s="2" t="s">
        <v>567</v>
      </c>
      <c r="F308" s="2">
        <v>9128271</v>
      </c>
      <c r="G308" s="35" t="s">
        <v>746</v>
      </c>
      <c r="H308">
        <v>5000</v>
      </c>
      <c r="I308" s="43">
        <f t="shared" si="21"/>
        <v>5000</v>
      </c>
      <c r="J308" s="3">
        <v>500</v>
      </c>
      <c r="K308" s="44">
        <f t="shared" si="20"/>
        <v>4500</v>
      </c>
      <c r="L308" s="23">
        <v>0</v>
      </c>
      <c r="M308" s="24">
        <f t="shared" si="22"/>
        <v>0</v>
      </c>
      <c r="N308" s="25">
        <v>10</v>
      </c>
      <c r="O308" s="22">
        <f t="shared" si="23"/>
        <v>500</v>
      </c>
      <c r="P308" s="24">
        <f t="shared" si="24"/>
        <v>1</v>
      </c>
    </row>
    <row r="309" spans="2:16" ht="24" customHeight="1" x14ac:dyDescent="0.25">
      <c r="B309" s="1">
        <v>207</v>
      </c>
      <c r="C309" s="6">
        <v>15309882</v>
      </c>
      <c r="D309" s="2" t="s">
        <v>293</v>
      </c>
      <c r="E309" s="2" t="s">
        <v>572</v>
      </c>
      <c r="F309" s="2">
        <v>4829495</v>
      </c>
      <c r="G309" s="35" t="s">
        <v>747</v>
      </c>
      <c r="H309">
        <v>5000</v>
      </c>
      <c r="I309" s="43">
        <f t="shared" si="21"/>
        <v>5000</v>
      </c>
      <c r="J309" s="3">
        <v>500</v>
      </c>
      <c r="K309" s="44">
        <f t="shared" si="20"/>
        <v>4500</v>
      </c>
      <c r="L309" s="23">
        <v>0</v>
      </c>
      <c r="M309" s="24">
        <f t="shared" si="22"/>
        <v>0</v>
      </c>
      <c r="N309" s="25">
        <v>10</v>
      </c>
      <c r="O309" s="22">
        <f t="shared" si="23"/>
        <v>500</v>
      </c>
      <c r="P309" s="24">
        <f t="shared" si="24"/>
        <v>1</v>
      </c>
    </row>
    <row r="310" spans="2:16" ht="24" customHeight="1" x14ac:dyDescent="0.25">
      <c r="B310" s="1">
        <v>208</v>
      </c>
      <c r="C310" s="6">
        <v>15278489</v>
      </c>
      <c r="D310" s="2" t="s">
        <v>294</v>
      </c>
      <c r="E310" s="2" t="s">
        <v>567</v>
      </c>
      <c r="F310" s="2">
        <v>6044590</v>
      </c>
      <c r="G310" s="35" t="s">
        <v>748</v>
      </c>
      <c r="H310">
        <v>5000</v>
      </c>
      <c r="I310" s="43">
        <f t="shared" si="21"/>
        <v>4750</v>
      </c>
      <c r="J310" s="3">
        <v>4750</v>
      </c>
      <c r="K310" s="44">
        <f t="shared" si="20"/>
        <v>0</v>
      </c>
      <c r="L310" s="23">
        <v>0.05</v>
      </c>
      <c r="M310" s="24">
        <f t="shared" si="22"/>
        <v>250</v>
      </c>
      <c r="N310" s="25">
        <v>10</v>
      </c>
      <c r="O310" s="22">
        <f t="shared" si="23"/>
        <v>475</v>
      </c>
      <c r="P310" s="24">
        <f t="shared" si="24"/>
        <v>10</v>
      </c>
    </row>
    <row r="311" spans="2:16" ht="24" customHeight="1" x14ac:dyDescent="0.25">
      <c r="B311" s="1">
        <v>209</v>
      </c>
      <c r="C311" s="6">
        <v>16240092</v>
      </c>
      <c r="D311" s="2" t="s">
        <v>295</v>
      </c>
      <c r="E311" s="2" t="s">
        <v>577</v>
      </c>
      <c r="F311" s="2">
        <v>6881686010</v>
      </c>
      <c r="G311" s="35" t="s">
        <v>749</v>
      </c>
      <c r="H311">
        <v>5000</v>
      </c>
      <c r="I311" s="43">
        <f t="shared" si="21"/>
        <v>5000</v>
      </c>
      <c r="J311" s="3">
        <v>500</v>
      </c>
      <c r="K311" s="44">
        <f t="shared" si="20"/>
        <v>4500</v>
      </c>
      <c r="L311" s="23">
        <v>0</v>
      </c>
      <c r="M311" s="24">
        <f t="shared" si="22"/>
        <v>0</v>
      </c>
      <c r="N311" s="25">
        <v>10</v>
      </c>
      <c r="O311" s="22">
        <f t="shared" si="23"/>
        <v>500</v>
      </c>
      <c r="P311" s="24">
        <f t="shared" si="24"/>
        <v>1</v>
      </c>
    </row>
    <row r="312" spans="2:16" ht="24" customHeight="1" x14ac:dyDescent="0.25">
      <c r="B312" s="1">
        <v>209</v>
      </c>
      <c r="C312" s="6">
        <v>17062036</v>
      </c>
      <c r="D312" s="2" t="s">
        <v>296</v>
      </c>
      <c r="E312" s="2" t="s">
        <v>572</v>
      </c>
      <c r="F312" s="2">
        <v>6881686010</v>
      </c>
      <c r="G312" s="35" t="s">
        <v>749</v>
      </c>
      <c r="H312">
        <v>5000</v>
      </c>
      <c r="I312" s="43">
        <f t="shared" si="21"/>
        <v>4750</v>
      </c>
      <c r="J312" s="3">
        <v>475</v>
      </c>
      <c r="K312" s="44">
        <f t="shared" si="20"/>
        <v>4275</v>
      </c>
      <c r="L312" s="23">
        <v>0.05</v>
      </c>
      <c r="M312" s="24">
        <f t="shared" si="22"/>
        <v>250</v>
      </c>
      <c r="N312" s="25">
        <v>10</v>
      </c>
      <c r="O312" s="22">
        <f t="shared" si="23"/>
        <v>475</v>
      </c>
      <c r="P312" s="24">
        <f t="shared" si="24"/>
        <v>1</v>
      </c>
    </row>
    <row r="313" spans="2:16" ht="24" customHeight="1" x14ac:dyDescent="0.25">
      <c r="B313" s="1">
        <v>209</v>
      </c>
      <c r="C313" s="6">
        <v>15639227</v>
      </c>
      <c r="D313" s="2" t="s">
        <v>297</v>
      </c>
      <c r="E313" s="2" t="s">
        <v>569</v>
      </c>
      <c r="F313" s="2">
        <v>6881686010</v>
      </c>
      <c r="G313" s="35" t="s">
        <v>749</v>
      </c>
      <c r="H313">
        <v>5000</v>
      </c>
      <c r="I313" s="43">
        <f t="shared" si="21"/>
        <v>4500</v>
      </c>
      <c r="J313" s="3">
        <v>450</v>
      </c>
      <c r="K313" s="44">
        <f t="shared" si="20"/>
        <v>4050</v>
      </c>
      <c r="L313" s="23">
        <v>0.1</v>
      </c>
      <c r="M313" s="24">
        <f t="shared" si="22"/>
        <v>500</v>
      </c>
      <c r="N313" s="25">
        <v>10</v>
      </c>
      <c r="O313" s="22">
        <f t="shared" si="23"/>
        <v>450</v>
      </c>
      <c r="P313" s="24">
        <f t="shared" si="24"/>
        <v>1</v>
      </c>
    </row>
    <row r="314" spans="2:16" ht="24" customHeight="1" x14ac:dyDescent="0.25">
      <c r="B314" s="1">
        <v>210</v>
      </c>
      <c r="C314" s="6">
        <v>16615884</v>
      </c>
      <c r="D314" s="2" t="s">
        <v>298</v>
      </c>
      <c r="E314" s="2" t="s">
        <v>567</v>
      </c>
      <c r="F314" s="2">
        <v>4338863</v>
      </c>
      <c r="G314" s="35" t="s">
        <v>750</v>
      </c>
      <c r="H314">
        <v>5000</v>
      </c>
      <c r="I314" s="43">
        <f t="shared" si="21"/>
        <v>4750</v>
      </c>
      <c r="J314" s="3">
        <v>4750</v>
      </c>
      <c r="K314" s="44">
        <f t="shared" si="20"/>
        <v>0</v>
      </c>
      <c r="L314" s="23">
        <v>0.05</v>
      </c>
      <c r="M314" s="24">
        <f t="shared" si="22"/>
        <v>250</v>
      </c>
      <c r="N314" s="25">
        <v>10</v>
      </c>
      <c r="O314" s="22">
        <f t="shared" si="23"/>
        <v>475</v>
      </c>
      <c r="P314" s="24">
        <f t="shared" si="24"/>
        <v>10</v>
      </c>
    </row>
    <row r="315" spans="2:16" ht="24" customHeight="1" x14ac:dyDescent="0.25">
      <c r="B315" s="1">
        <v>211</v>
      </c>
      <c r="C315" s="6">
        <v>17103014</v>
      </c>
      <c r="D315" s="2" t="s">
        <v>299</v>
      </c>
      <c r="E315" s="2" t="s">
        <v>571</v>
      </c>
      <c r="F315" s="2">
        <v>8313500</v>
      </c>
      <c r="G315" s="35" t="s">
        <v>751</v>
      </c>
      <c r="H315">
        <v>5000</v>
      </c>
      <c r="I315" s="43">
        <f t="shared" si="21"/>
        <v>4750</v>
      </c>
      <c r="J315" s="3">
        <v>475</v>
      </c>
      <c r="K315" s="44">
        <f t="shared" si="20"/>
        <v>4275</v>
      </c>
      <c r="L315" s="23">
        <v>0.05</v>
      </c>
      <c r="M315" s="24">
        <f t="shared" si="22"/>
        <v>250</v>
      </c>
      <c r="N315" s="25">
        <v>10</v>
      </c>
      <c r="O315" s="22">
        <f t="shared" si="23"/>
        <v>475</v>
      </c>
      <c r="P315" s="24">
        <f t="shared" si="24"/>
        <v>1</v>
      </c>
    </row>
    <row r="316" spans="2:16" ht="24" customHeight="1" x14ac:dyDescent="0.25">
      <c r="B316" s="1">
        <v>211</v>
      </c>
      <c r="C316" s="6">
        <v>12581499</v>
      </c>
      <c r="D316" s="2" t="s">
        <v>300</v>
      </c>
      <c r="E316" s="2" t="s">
        <v>578</v>
      </c>
      <c r="F316" s="2">
        <v>8313500</v>
      </c>
      <c r="G316" s="35" t="s">
        <v>751</v>
      </c>
      <c r="H316">
        <v>5000</v>
      </c>
      <c r="I316" s="43">
        <f t="shared" si="21"/>
        <v>5000</v>
      </c>
      <c r="J316" s="3">
        <v>500</v>
      </c>
      <c r="K316" s="44">
        <f t="shared" si="20"/>
        <v>4500</v>
      </c>
      <c r="L316" s="23">
        <v>0</v>
      </c>
      <c r="M316" s="24">
        <f t="shared" si="22"/>
        <v>0</v>
      </c>
      <c r="N316" s="25">
        <v>10</v>
      </c>
      <c r="O316" s="22">
        <f t="shared" si="23"/>
        <v>500</v>
      </c>
      <c r="P316" s="24">
        <f t="shared" si="24"/>
        <v>1</v>
      </c>
    </row>
    <row r="317" spans="2:16" ht="24" customHeight="1" x14ac:dyDescent="0.25">
      <c r="B317" s="1">
        <v>212</v>
      </c>
      <c r="C317" s="6">
        <v>12892996</v>
      </c>
      <c r="D317" s="2" t="s">
        <v>548</v>
      </c>
      <c r="E317" s="2" t="s">
        <v>574</v>
      </c>
      <c r="F317" s="2">
        <v>6794439</v>
      </c>
      <c r="G317" s="35" t="s">
        <v>752</v>
      </c>
      <c r="H317">
        <v>5000</v>
      </c>
      <c r="I317" s="43">
        <f t="shared" si="21"/>
        <v>4750</v>
      </c>
      <c r="J317" s="3">
        <v>4750</v>
      </c>
      <c r="K317" s="44">
        <f t="shared" si="20"/>
        <v>0</v>
      </c>
      <c r="L317" s="23">
        <v>0.05</v>
      </c>
      <c r="M317" s="24">
        <f t="shared" si="22"/>
        <v>250</v>
      </c>
      <c r="N317" s="25">
        <v>10</v>
      </c>
      <c r="O317" s="22">
        <f t="shared" si="23"/>
        <v>475</v>
      </c>
      <c r="P317" s="24">
        <f t="shared" si="24"/>
        <v>10</v>
      </c>
    </row>
    <row r="318" spans="2:16" ht="24" customHeight="1" x14ac:dyDescent="0.25">
      <c r="B318" s="1">
        <v>213</v>
      </c>
      <c r="C318" s="6">
        <v>12764524</v>
      </c>
      <c r="D318" s="2" t="s">
        <v>301</v>
      </c>
      <c r="E318" s="2" t="s">
        <v>576</v>
      </c>
      <c r="F318" s="2">
        <v>6732543</v>
      </c>
      <c r="G318" s="35" t="s">
        <v>753</v>
      </c>
      <c r="H318">
        <v>5000</v>
      </c>
      <c r="I318" s="43">
        <f t="shared" si="21"/>
        <v>5000</v>
      </c>
      <c r="J318" s="3">
        <v>500</v>
      </c>
      <c r="K318" s="44">
        <f t="shared" si="20"/>
        <v>4500</v>
      </c>
      <c r="L318" s="23">
        <v>0</v>
      </c>
      <c r="M318" s="24">
        <f t="shared" si="22"/>
        <v>0</v>
      </c>
      <c r="N318" s="25">
        <v>10</v>
      </c>
      <c r="O318" s="22">
        <f t="shared" si="23"/>
        <v>500</v>
      </c>
      <c r="P318" s="24">
        <f t="shared" si="24"/>
        <v>1</v>
      </c>
    </row>
    <row r="319" spans="2:16" ht="24" customHeight="1" x14ac:dyDescent="0.25">
      <c r="B319" s="1">
        <v>213</v>
      </c>
      <c r="C319" s="6">
        <v>15566873</v>
      </c>
      <c r="D319" s="2" t="s">
        <v>302</v>
      </c>
      <c r="E319" s="2" t="s">
        <v>567</v>
      </c>
      <c r="F319" s="2">
        <v>6732543</v>
      </c>
      <c r="G319" s="35" t="s">
        <v>753</v>
      </c>
      <c r="H319">
        <v>5000</v>
      </c>
      <c r="I319" s="43">
        <f t="shared" si="21"/>
        <v>4750</v>
      </c>
      <c r="J319" s="3">
        <v>475</v>
      </c>
      <c r="K319" s="44">
        <f t="shared" si="20"/>
        <v>4275</v>
      </c>
      <c r="L319" s="23">
        <v>0.05</v>
      </c>
      <c r="M319" s="24">
        <f t="shared" si="22"/>
        <v>250</v>
      </c>
      <c r="N319" s="25">
        <v>10</v>
      </c>
      <c r="O319" s="22">
        <f t="shared" si="23"/>
        <v>475</v>
      </c>
      <c r="P319" s="24">
        <f t="shared" si="24"/>
        <v>1</v>
      </c>
    </row>
    <row r="320" spans="2:16" ht="24" customHeight="1" x14ac:dyDescent="0.25">
      <c r="B320" s="1">
        <v>214</v>
      </c>
      <c r="C320" s="6">
        <v>14650185</v>
      </c>
      <c r="D320" s="2" t="s">
        <v>303</v>
      </c>
      <c r="E320" s="2" t="s">
        <v>574</v>
      </c>
      <c r="F320" s="2">
        <v>2022861014</v>
      </c>
      <c r="G320" s="35" t="s">
        <v>617</v>
      </c>
      <c r="H320">
        <v>5000</v>
      </c>
      <c r="I320" s="43">
        <f t="shared" si="21"/>
        <v>5000</v>
      </c>
      <c r="J320" s="3">
        <v>500</v>
      </c>
      <c r="K320" s="44">
        <f t="shared" ref="K320:K382" si="25">I320-J320</f>
        <v>4500</v>
      </c>
      <c r="L320" s="23">
        <v>0</v>
      </c>
      <c r="M320" s="24">
        <f t="shared" si="22"/>
        <v>0</v>
      </c>
      <c r="N320" s="25">
        <v>10</v>
      </c>
      <c r="O320" s="22">
        <f t="shared" si="23"/>
        <v>500</v>
      </c>
      <c r="P320" s="24">
        <f t="shared" si="24"/>
        <v>1</v>
      </c>
    </row>
    <row r="321" spans="2:16" ht="24" customHeight="1" x14ac:dyDescent="0.25">
      <c r="B321" s="1">
        <v>214</v>
      </c>
      <c r="C321" s="6">
        <v>16637976</v>
      </c>
      <c r="D321" s="2" t="s">
        <v>304</v>
      </c>
      <c r="E321" s="2" t="s">
        <v>577</v>
      </c>
      <c r="F321" s="2">
        <v>2022861014</v>
      </c>
      <c r="G321" s="35" t="s">
        <v>617</v>
      </c>
      <c r="H321">
        <v>5000</v>
      </c>
      <c r="I321" s="43">
        <f t="shared" si="21"/>
        <v>4750</v>
      </c>
      <c r="J321" s="3">
        <v>475</v>
      </c>
      <c r="K321" s="44">
        <f t="shared" si="25"/>
        <v>4275</v>
      </c>
      <c r="L321" s="23">
        <v>0.05</v>
      </c>
      <c r="M321" s="24">
        <f t="shared" si="22"/>
        <v>250</v>
      </c>
      <c r="N321" s="25">
        <v>10</v>
      </c>
      <c r="O321" s="22">
        <f t="shared" si="23"/>
        <v>475</v>
      </c>
      <c r="P321" s="24">
        <f t="shared" si="24"/>
        <v>1</v>
      </c>
    </row>
    <row r="322" spans="2:16" ht="24" customHeight="1" x14ac:dyDescent="0.25">
      <c r="B322" s="1">
        <v>215</v>
      </c>
      <c r="C322" s="6">
        <v>15501722</v>
      </c>
      <c r="D322" s="2" t="s">
        <v>305</v>
      </c>
      <c r="E322" s="2" t="s">
        <v>567</v>
      </c>
      <c r="F322" s="2">
        <v>7037938</v>
      </c>
      <c r="G322" s="35" t="s">
        <v>621</v>
      </c>
      <c r="H322">
        <v>5000</v>
      </c>
      <c r="I322" s="43">
        <f t="shared" ref="I322:I385" si="26">H322-M322</f>
        <v>4750</v>
      </c>
      <c r="J322" s="3">
        <v>4750</v>
      </c>
      <c r="K322" s="44">
        <f t="shared" si="25"/>
        <v>0</v>
      </c>
      <c r="L322" s="23">
        <v>0.05</v>
      </c>
      <c r="M322" s="24">
        <f t="shared" ref="M322:M385" si="27">H322*L322</f>
        <v>250</v>
      </c>
      <c r="N322" s="25">
        <v>10</v>
      </c>
      <c r="O322" s="22">
        <f t="shared" ref="O322:O385" si="28">I322/N322</f>
        <v>475</v>
      </c>
      <c r="P322" s="24">
        <f t="shared" ref="P322:P385" si="29">INT(J322/O322)</f>
        <v>10</v>
      </c>
    </row>
    <row r="323" spans="2:16" ht="24" customHeight="1" x14ac:dyDescent="0.25">
      <c r="B323" s="1">
        <v>215</v>
      </c>
      <c r="C323" s="6">
        <v>16943011</v>
      </c>
      <c r="D323" s="2" t="s">
        <v>306</v>
      </c>
      <c r="E323" s="2" t="s">
        <v>568</v>
      </c>
      <c r="F323" s="2">
        <v>7037938</v>
      </c>
      <c r="G323" s="35" t="s">
        <v>621</v>
      </c>
      <c r="H323">
        <v>5000</v>
      </c>
      <c r="I323" s="43">
        <f t="shared" si="26"/>
        <v>4750</v>
      </c>
      <c r="J323" s="3">
        <v>4750</v>
      </c>
      <c r="K323" s="44">
        <f t="shared" si="25"/>
        <v>0</v>
      </c>
      <c r="L323" s="23">
        <v>0.05</v>
      </c>
      <c r="M323" s="24">
        <f t="shared" si="27"/>
        <v>250</v>
      </c>
      <c r="N323" s="25">
        <v>10</v>
      </c>
      <c r="O323" s="22">
        <f t="shared" si="28"/>
        <v>475</v>
      </c>
      <c r="P323" s="24">
        <f t="shared" si="29"/>
        <v>10</v>
      </c>
    </row>
    <row r="324" spans="2:16" ht="24" customHeight="1" x14ac:dyDescent="0.25">
      <c r="B324" s="1">
        <v>216</v>
      </c>
      <c r="C324" s="6">
        <v>14039301</v>
      </c>
      <c r="D324" s="2" t="s">
        <v>307</v>
      </c>
      <c r="E324" s="2" t="s">
        <v>574</v>
      </c>
      <c r="F324" s="2">
        <v>3490243</v>
      </c>
      <c r="G324" s="35" t="s">
        <v>754</v>
      </c>
      <c r="H324">
        <v>5000</v>
      </c>
      <c r="I324" s="43">
        <f t="shared" si="26"/>
        <v>5000</v>
      </c>
      <c r="J324" s="3">
        <v>500</v>
      </c>
      <c r="K324" s="44">
        <f t="shared" si="25"/>
        <v>4500</v>
      </c>
      <c r="L324" s="23">
        <v>0</v>
      </c>
      <c r="M324" s="24">
        <f t="shared" si="27"/>
        <v>0</v>
      </c>
      <c r="N324" s="25">
        <v>10</v>
      </c>
      <c r="O324" s="22">
        <f t="shared" si="28"/>
        <v>500</v>
      </c>
      <c r="P324" s="24">
        <f t="shared" si="29"/>
        <v>1</v>
      </c>
    </row>
    <row r="325" spans="2:16" ht="24" customHeight="1" x14ac:dyDescent="0.25">
      <c r="B325" s="1">
        <v>217</v>
      </c>
      <c r="C325" s="6">
        <v>14945561</v>
      </c>
      <c r="D325" s="2" t="s">
        <v>308</v>
      </c>
      <c r="E325" s="2" t="s">
        <v>574</v>
      </c>
      <c r="F325" s="2">
        <v>6053462</v>
      </c>
      <c r="G325" s="35" t="s">
        <v>674</v>
      </c>
      <c r="H325">
        <v>5000</v>
      </c>
      <c r="I325" s="43">
        <f t="shared" si="26"/>
        <v>5000</v>
      </c>
      <c r="J325" s="3">
        <v>500</v>
      </c>
      <c r="K325" s="44">
        <f t="shared" si="25"/>
        <v>4500</v>
      </c>
      <c r="L325" s="23">
        <v>0</v>
      </c>
      <c r="M325" s="24">
        <f t="shared" si="27"/>
        <v>0</v>
      </c>
      <c r="N325" s="25">
        <v>10</v>
      </c>
      <c r="O325" s="22">
        <f t="shared" si="28"/>
        <v>500</v>
      </c>
      <c r="P325" s="24">
        <f t="shared" si="29"/>
        <v>1</v>
      </c>
    </row>
    <row r="326" spans="2:16" ht="24" customHeight="1" x14ac:dyDescent="0.25">
      <c r="B326" s="1">
        <v>218</v>
      </c>
      <c r="C326" s="6">
        <v>13922388</v>
      </c>
      <c r="D326" s="2" t="s">
        <v>309</v>
      </c>
      <c r="E326" s="2" t="s">
        <v>574</v>
      </c>
      <c r="F326" s="2">
        <v>4375056</v>
      </c>
      <c r="G326" s="35" t="s">
        <v>755</v>
      </c>
      <c r="H326">
        <v>5000</v>
      </c>
      <c r="I326" s="43">
        <f t="shared" si="26"/>
        <v>5000</v>
      </c>
      <c r="J326" s="3">
        <v>500</v>
      </c>
      <c r="K326" s="44">
        <f t="shared" si="25"/>
        <v>4500</v>
      </c>
      <c r="L326" s="23">
        <v>0</v>
      </c>
      <c r="M326" s="24">
        <f t="shared" si="27"/>
        <v>0</v>
      </c>
      <c r="N326" s="25">
        <v>10</v>
      </c>
      <c r="O326" s="22">
        <f t="shared" si="28"/>
        <v>500</v>
      </c>
      <c r="P326" s="24">
        <f t="shared" si="29"/>
        <v>1</v>
      </c>
    </row>
    <row r="327" spans="2:16" ht="24" customHeight="1" x14ac:dyDescent="0.25">
      <c r="B327" s="1">
        <v>219</v>
      </c>
      <c r="C327" s="6">
        <v>12640715</v>
      </c>
      <c r="D327" s="2" t="s">
        <v>310</v>
      </c>
      <c r="E327" s="2" t="s">
        <v>576</v>
      </c>
      <c r="F327" s="2">
        <v>6126439</v>
      </c>
      <c r="G327" s="35" t="s">
        <v>756</v>
      </c>
      <c r="H327">
        <v>5000</v>
      </c>
      <c r="I327" s="43">
        <f t="shared" si="26"/>
        <v>4750</v>
      </c>
      <c r="J327" s="3">
        <v>4750</v>
      </c>
      <c r="K327" s="44">
        <f t="shared" si="25"/>
        <v>0</v>
      </c>
      <c r="L327" s="23">
        <v>0.05</v>
      </c>
      <c r="M327" s="24">
        <f t="shared" si="27"/>
        <v>250</v>
      </c>
      <c r="N327" s="25">
        <v>10</v>
      </c>
      <c r="O327" s="22">
        <f t="shared" si="28"/>
        <v>475</v>
      </c>
      <c r="P327" s="24">
        <f t="shared" si="29"/>
        <v>10</v>
      </c>
    </row>
    <row r="328" spans="2:16" ht="24" customHeight="1" x14ac:dyDescent="0.25">
      <c r="B328" s="1">
        <v>219</v>
      </c>
      <c r="C328" s="6">
        <v>15344282</v>
      </c>
      <c r="D328" s="2" t="s">
        <v>311</v>
      </c>
      <c r="E328" s="2" t="s">
        <v>567</v>
      </c>
      <c r="F328" s="2">
        <v>6126439</v>
      </c>
      <c r="G328" s="35" t="s">
        <v>756</v>
      </c>
      <c r="H328">
        <v>5000</v>
      </c>
      <c r="I328" s="43">
        <f t="shared" si="26"/>
        <v>4750</v>
      </c>
      <c r="J328" s="3">
        <v>4750</v>
      </c>
      <c r="K328" s="44">
        <f t="shared" si="25"/>
        <v>0</v>
      </c>
      <c r="L328" s="23">
        <v>0.05</v>
      </c>
      <c r="M328" s="24">
        <f t="shared" si="27"/>
        <v>250</v>
      </c>
      <c r="N328" s="25">
        <v>10</v>
      </c>
      <c r="O328" s="22">
        <f t="shared" si="28"/>
        <v>475</v>
      </c>
      <c r="P328" s="24">
        <f t="shared" si="29"/>
        <v>10</v>
      </c>
    </row>
    <row r="329" spans="2:16" ht="24" customHeight="1" x14ac:dyDescent="0.25">
      <c r="B329" s="1">
        <v>220</v>
      </c>
      <c r="C329" s="6">
        <v>13299112</v>
      </c>
      <c r="D329" s="2" t="s">
        <v>312</v>
      </c>
      <c r="E329" s="2" t="s">
        <v>574</v>
      </c>
      <c r="F329" s="2">
        <v>4910871</v>
      </c>
      <c r="G329" s="35" t="s">
        <v>757</v>
      </c>
      <c r="H329">
        <v>5000</v>
      </c>
      <c r="I329" s="43">
        <f t="shared" si="26"/>
        <v>4750</v>
      </c>
      <c r="J329" s="3">
        <v>4750</v>
      </c>
      <c r="K329" s="44">
        <f t="shared" si="25"/>
        <v>0</v>
      </c>
      <c r="L329" s="23">
        <v>0.05</v>
      </c>
      <c r="M329" s="24">
        <f t="shared" si="27"/>
        <v>250</v>
      </c>
      <c r="N329" s="25">
        <v>10</v>
      </c>
      <c r="O329" s="22">
        <f t="shared" si="28"/>
        <v>475</v>
      </c>
      <c r="P329" s="24">
        <f t="shared" si="29"/>
        <v>10</v>
      </c>
    </row>
    <row r="330" spans="2:16" ht="24" customHeight="1" x14ac:dyDescent="0.25">
      <c r="B330" s="1">
        <v>221</v>
      </c>
      <c r="C330" s="6">
        <v>12571751</v>
      </c>
      <c r="D330" s="2" t="s">
        <v>313</v>
      </c>
      <c r="E330" s="2" t="s">
        <v>574</v>
      </c>
      <c r="F330" s="2">
        <v>6830348</v>
      </c>
      <c r="G330" s="35" t="s">
        <v>758</v>
      </c>
      <c r="H330">
        <v>5000</v>
      </c>
      <c r="I330" s="43">
        <f t="shared" si="26"/>
        <v>5000</v>
      </c>
      <c r="J330" s="3">
        <v>500</v>
      </c>
      <c r="K330" s="44">
        <f t="shared" si="25"/>
        <v>4500</v>
      </c>
      <c r="L330" s="23">
        <v>0</v>
      </c>
      <c r="M330" s="24">
        <f t="shared" si="27"/>
        <v>0</v>
      </c>
      <c r="N330" s="25">
        <v>10</v>
      </c>
      <c r="O330" s="22">
        <f t="shared" si="28"/>
        <v>500</v>
      </c>
      <c r="P330" s="24">
        <f t="shared" si="29"/>
        <v>1</v>
      </c>
    </row>
    <row r="331" spans="2:16" ht="24" customHeight="1" x14ac:dyDescent="0.25">
      <c r="B331" s="1">
        <v>222</v>
      </c>
      <c r="C331" s="6">
        <v>14560999</v>
      </c>
      <c r="D331" s="2" t="s">
        <v>314</v>
      </c>
      <c r="E331" s="2" t="s">
        <v>578</v>
      </c>
      <c r="F331" s="2">
        <v>6045782</v>
      </c>
      <c r="G331" s="35" t="s">
        <v>759</v>
      </c>
      <c r="H331">
        <v>5000</v>
      </c>
      <c r="I331" s="43">
        <f t="shared" si="26"/>
        <v>5000</v>
      </c>
      <c r="J331" s="3">
        <v>500</v>
      </c>
      <c r="K331" s="44">
        <f t="shared" si="25"/>
        <v>4500</v>
      </c>
      <c r="L331" s="23">
        <v>0</v>
      </c>
      <c r="M331" s="24">
        <f t="shared" si="27"/>
        <v>0</v>
      </c>
      <c r="N331" s="25">
        <v>10</v>
      </c>
      <c r="O331" s="22">
        <f t="shared" si="28"/>
        <v>500</v>
      </c>
      <c r="P331" s="24">
        <f t="shared" si="29"/>
        <v>1</v>
      </c>
    </row>
    <row r="332" spans="2:16" ht="24" customHeight="1" x14ac:dyDescent="0.25">
      <c r="B332" s="1">
        <v>223</v>
      </c>
      <c r="C332" s="6">
        <v>15204206</v>
      </c>
      <c r="D332" s="2" t="s">
        <v>315</v>
      </c>
      <c r="E332" s="2" t="s">
        <v>565</v>
      </c>
      <c r="F332" s="2">
        <v>4877358</v>
      </c>
      <c r="G332" s="35" t="s">
        <v>614</v>
      </c>
      <c r="H332">
        <v>5000</v>
      </c>
      <c r="I332" s="43">
        <f t="shared" si="26"/>
        <v>4750</v>
      </c>
      <c r="J332" s="3">
        <v>4750</v>
      </c>
      <c r="K332" s="44">
        <f t="shared" si="25"/>
        <v>0</v>
      </c>
      <c r="L332" s="23">
        <v>0.05</v>
      </c>
      <c r="M332" s="24">
        <f t="shared" si="27"/>
        <v>250</v>
      </c>
      <c r="N332" s="25">
        <v>10</v>
      </c>
      <c r="O332" s="22">
        <f t="shared" si="28"/>
        <v>475</v>
      </c>
      <c r="P332" s="24">
        <f t="shared" si="29"/>
        <v>10</v>
      </c>
    </row>
    <row r="333" spans="2:16" ht="24" customHeight="1" x14ac:dyDescent="0.25">
      <c r="B333" s="1">
        <v>223</v>
      </c>
      <c r="C333" s="6">
        <v>13313219</v>
      </c>
      <c r="D333" s="2" t="s">
        <v>316</v>
      </c>
      <c r="E333" s="2" t="s">
        <v>576</v>
      </c>
      <c r="F333" s="2">
        <v>4877358</v>
      </c>
      <c r="G333" s="35" t="s">
        <v>614</v>
      </c>
      <c r="H333">
        <v>5000</v>
      </c>
      <c r="I333" s="43">
        <f t="shared" si="26"/>
        <v>4750</v>
      </c>
      <c r="J333" s="3">
        <v>4750</v>
      </c>
      <c r="K333" s="44">
        <f t="shared" si="25"/>
        <v>0</v>
      </c>
      <c r="L333" s="23">
        <v>0.05</v>
      </c>
      <c r="M333" s="24">
        <f t="shared" si="27"/>
        <v>250</v>
      </c>
      <c r="N333" s="25">
        <v>10</v>
      </c>
      <c r="O333" s="22">
        <f t="shared" si="28"/>
        <v>475</v>
      </c>
      <c r="P333" s="24">
        <f t="shared" si="29"/>
        <v>10</v>
      </c>
    </row>
    <row r="334" spans="2:16" ht="24" customHeight="1" x14ac:dyDescent="0.25">
      <c r="B334" s="1">
        <v>224</v>
      </c>
      <c r="C334" s="6">
        <v>14449349</v>
      </c>
      <c r="D334" s="2" t="s">
        <v>317</v>
      </c>
      <c r="E334" s="2" t="s">
        <v>565</v>
      </c>
      <c r="F334" s="2">
        <v>4813861</v>
      </c>
      <c r="G334" s="35" t="s">
        <v>760</v>
      </c>
      <c r="H334">
        <v>5000</v>
      </c>
      <c r="I334" s="43">
        <f t="shared" si="26"/>
        <v>4750</v>
      </c>
      <c r="J334" s="3">
        <v>4750</v>
      </c>
      <c r="K334" s="44">
        <f t="shared" si="25"/>
        <v>0</v>
      </c>
      <c r="L334" s="23">
        <v>0.05</v>
      </c>
      <c r="M334" s="24">
        <f t="shared" si="27"/>
        <v>250</v>
      </c>
      <c r="N334" s="25">
        <v>10</v>
      </c>
      <c r="O334" s="22">
        <f t="shared" si="28"/>
        <v>475</v>
      </c>
      <c r="P334" s="24">
        <f t="shared" si="29"/>
        <v>10</v>
      </c>
    </row>
    <row r="335" spans="2:16" ht="24" customHeight="1" x14ac:dyDescent="0.25">
      <c r="B335" s="1">
        <v>225</v>
      </c>
      <c r="C335" s="6">
        <v>16191343</v>
      </c>
      <c r="D335" s="2" t="s">
        <v>318</v>
      </c>
      <c r="E335" s="2" t="s">
        <v>567</v>
      </c>
      <c r="F335" s="2">
        <v>9880254</v>
      </c>
      <c r="G335" s="35" t="s">
        <v>761</v>
      </c>
      <c r="H335">
        <v>5000</v>
      </c>
      <c r="I335" s="43">
        <f t="shared" si="26"/>
        <v>5000</v>
      </c>
      <c r="J335" s="3">
        <v>500</v>
      </c>
      <c r="K335" s="44">
        <f t="shared" si="25"/>
        <v>4500</v>
      </c>
      <c r="L335" s="23">
        <v>0</v>
      </c>
      <c r="M335" s="24">
        <f t="shared" si="27"/>
        <v>0</v>
      </c>
      <c r="N335" s="25">
        <v>10</v>
      </c>
      <c r="O335" s="22">
        <f t="shared" si="28"/>
        <v>500</v>
      </c>
      <c r="P335" s="24">
        <f t="shared" si="29"/>
        <v>1</v>
      </c>
    </row>
    <row r="336" spans="2:16" ht="24" customHeight="1" x14ac:dyDescent="0.25">
      <c r="B336" s="1">
        <v>226</v>
      </c>
      <c r="C336" s="6">
        <v>12897398</v>
      </c>
      <c r="D336" s="2" t="s">
        <v>319</v>
      </c>
      <c r="E336" s="2" t="s">
        <v>574</v>
      </c>
      <c r="F336" s="2">
        <v>3457622</v>
      </c>
      <c r="G336" s="35" t="s">
        <v>762</v>
      </c>
      <c r="H336">
        <v>5000</v>
      </c>
      <c r="I336" s="43">
        <f t="shared" si="26"/>
        <v>5000</v>
      </c>
      <c r="J336" s="3">
        <v>500</v>
      </c>
      <c r="K336" s="44">
        <f t="shared" si="25"/>
        <v>4500</v>
      </c>
      <c r="L336" s="23">
        <v>0</v>
      </c>
      <c r="M336" s="24">
        <f t="shared" si="27"/>
        <v>0</v>
      </c>
      <c r="N336" s="25">
        <v>10</v>
      </c>
      <c r="O336" s="22">
        <f t="shared" si="28"/>
        <v>500</v>
      </c>
      <c r="P336" s="24">
        <f t="shared" si="29"/>
        <v>1</v>
      </c>
    </row>
    <row r="337" spans="2:16" ht="24" customHeight="1" x14ac:dyDescent="0.25">
      <c r="B337" s="1">
        <v>226</v>
      </c>
      <c r="C337" s="6">
        <v>15573860</v>
      </c>
      <c r="D337" s="2" t="s">
        <v>320</v>
      </c>
      <c r="E337" s="2" t="s">
        <v>575</v>
      </c>
      <c r="F337" s="2">
        <v>3457622</v>
      </c>
      <c r="G337" s="35" t="s">
        <v>762</v>
      </c>
      <c r="H337">
        <v>5000</v>
      </c>
      <c r="I337" s="43">
        <f t="shared" si="26"/>
        <v>4750</v>
      </c>
      <c r="J337" s="3">
        <v>475</v>
      </c>
      <c r="K337" s="44">
        <f t="shared" si="25"/>
        <v>4275</v>
      </c>
      <c r="L337" s="23">
        <v>0.05</v>
      </c>
      <c r="M337" s="24">
        <f t="shared" si="27"/>
        <v>250</v>
      </c>
      <c r="N337" s="25">
        <v>10</v>
      </c>
      <c r="O337" s="22">
        <f t="shared" si="28"/>
        <v>475</v>
      </c>
      <c r="P337" s="24">
        <f t="shared" si="29"/>
        <v>1</v>
      </c>
    </row>
    <row r="338" spans="2:16" ht="24" customHeight="1" x14ac:dyDescent="0.25">
      <c r="B338" s="1">
        <v>226</v>
      </c>
      <c r="C338" s="6">
        <v>15573893</v>
      </c>
      <c r="D338" s="2" t="s">
        <v>321</v>
      </c>
      <c r="E338" s="2" t="s">
        <v>567</v>
      </c>
      <c r="F338" s="2">
        <v>3457622</v>
      </c>
      <c r="G338" s="35" t="s">
        <v>762</v>
      </c>
      <c r="H338">
        <v>5000</v>
      </c>
      <c r="I338" s="43">
        <f t="shared" si="26"/>
        <v>4500</v>
      </c>
      <c r="J338" s="3">
        <v>450</v>
      </c>
      <c r="K338" s="44">
        <f t="shared" si="25"/>
        <v>4050</v>
      </c>
      <c r="L338" s="23">
        <v>0.1</v>
      </c>
      <c r="M338" s="24">
        <f t="shared" si="27"/>
        <v>500</v>
      </c>
      <c r="N338" s="25">
        <v>10</v>
      </c>
      <c r="O338" s="22">
        <f t="shared" si="28"/>
        <v>450</v>
      </c>
      <c r="P338" s="24">
        <f t="shared" si="29"/>
        <v>1</v>
      </c>
    </row>
    <row r="339" spans="2:16" ht="24" customHeight="1" x14ac:dyDescent="0.25">
      <c r="B339" s="1">
        <v>227</v>
      </c>
      <c r="C339" s="6">
        <v>16950828</v>
      </c>
      <c r="D339" s="2" t="s">
        <v>322</v>
      </c>
      <c r="E339" s="2" t="s">
        <v>567</v>
      </c>
      <c r="F339" s="2">
        <v>4840208</v>
      </c>
      <c r="G339" s="35" t="s">
        <v>763</v>
      </c>
      <c r="H339">
        <v>5000</v>
      </c>
      <c r="I339" s="43">
        <f t="shared" si="26"/>
        <v>5000</v>
      </c>
      <c r="J339" s="3">
        <v>500</v>
      </c>
      <c r="K339" s="44">
        <f t="shared" si="25"/>
        <v>4500</v>
      </c>
      <c r="L339" s="23">
        <v>0</v>
      </c>
      <c r="M339" s="24">
        <f t="shared" si="27"/>
        <v>0</v>
      </c>
      <c r="N339" s="25">
        <v>10</v>
      </c>
      <c r="O339" s="22">
        <f t="shared" si="28"/>
        <v>500</v>
      </c>
      <c r="P339" s="24">
        <f t="shared" si="29"/>
        <v>1</v>
      </c>
    </row>
    <row r="340" spans="2:16" ht="24" customHeight="1" x14ac:dyDescent="0.25">
      <c r="B340" s="1">
        <v>228</v>
      </c>
      <c r="C340" s="6">
        <v>14007554</v>
      </c>
      <c r="D340" s="2" t="s">
        <v>323</v>
      </c>
      <c r="E340" s="2" t="s">
        <v>574</v>
      </c>
      <c r="F340" s="2">
        <v>2337013018</v>
      </c>
      <c r="G340" s="35" t="s">
        <v>764</v>
      </c>
      <c r="H340">
        <v>5000</v>
      </c>
      <c r="I340" s="43">
        <f t="shared" si="26"/>
        <v>4750</v>
      </c>
      <c r="J340" s="3">
        <v>4750</v>
      </c>
      <c r="K340" s="44">
        <f t="shared" si="25"/>
        <v>0</v>
      </c>
      <c r="L340" s="23">
        <v>0.05</v>
      </c>
      <c r="M340" s="24">
        <f t="shared" si="27"/>
        <v>250</v>
      </c>
      <c r="N340" s="25">
        <v>10</v>
      </c>
      <c r="O340" s="22">
        <f t="shared" si="28"/>
        <v>475</v>
      </c>
      <c r="P340" s="24">
        <f t="shared" si="29"/>
        <v>10</v>
      </c>
    </row>
    <row r="341" spans="2:16" ht="24" customHeight="1" x14ac:dyDescent="0.25">
      <c r="B341" s="1">
        <v>229</v>
      </c>
      <c r="C341" s="6">
        <v>17044431</v>
      </c>
      <c r="D341" s="2" t="s">
        <v>324</v>
      </c>
      <c r="E341" s="2" t="s">
        <v>574</v>
      </c>
      <c r="F341" s="2">
        <v>4289092</v>
      </c>
      <c r="G341" s="35" t="s">
        <v>640</v>
      </c>
      <c r="H341">
        <v>5000</v>
      </c>
      <c r="I341" s="43">
        <f t="shared" si="26"/>
        <v>5000</v>
      </c>
      <c r="J341" s="3">
        <v>500</v>
      </c>
      <c r="K341" s="44">
        <f t="shared" si="25"/>
        <v>4500</v>
      </c>
      <c r="L341" s="23">
        <v>0</v>
      </c>
      <c r="M341" s="24">
        <f t="shared" si="27"/>
        <v>0</v>
      </c>
      <c r="N341" s="25">
        <v>10</v>
      </c>
      <c r="O341" s="22">
        <f t="shared" si="28"/>
        <v>500</v>
      </c>
      <c r="P341" s="24">
        <f t="shared" si="29"/>
        <v>1</v>
      </c>
    </row>
    <row r="342" spans="2:16" ht="24" customHeight="1" x14ac:dyDescent="0.25">
      <c r="B342" s="1">
        <v>230</v>
      </c>
      <c r="C342" s="6">
        <v>13024313</v>
      </c>
      <c r="D342" s="2" t="s">
        <v>325</v>
      </c>
      <c r="E342" s="2" t="s">
        <v>573</v>
      </c>
      <c r="F342" s="2">
        <v>4935322</v>
      </c>
      <c r="G342" s="35" t="s">
        <v>683</v>
      </c>
      <c r="H342">
        <v>5000</v>
      </c>
      <c r="I342" s="43">
        <f t="shared" si="26"/>
        <v>5000</v>
      </c>
      <c r="J342" s="3">
        <v>500</v>
      </c>
      <c r="K342" s="44">
        <f t="shared" si="25"/>
        <v>4500</v>
      </c>
      <c r="L342" s="23">
        <v>0</v>
      </c>
      <c r="M342" s="24">
        <f t="shared" si="27"/>
        <v>0</v>
      </c>
      <c r="N342" s="25">
        <v>10</v>
      </c>
      <c r="O342" s="22">
        <f t="shared" si="28"/>
        <v>500</v>
      </c>
      <c r="P342" s="24">
        <f t="shared" si="29"/>
        <v>1</v>
      </c>
    </row>
    <row r="343" spans="2:16" ht="24" customHeight="1" x14ac:dyDescent="0.25">
      <c r="B343" s="1">
        <v>231</v>
      </c>
      <c r="C343" s="6">
        <v>12929430</v>
      </c>
      <c r="D343" s="2" t="s">
        <v>326</v>
      </c>
      <c r="E343" s="2" t="s">
        <v>574</v>
      </c>
      <c r="F343" s="2">
        <v>4242856</v>
      </c>
      <c r="G343" s="35" t="s">
        <v>765</v>
      </c>
      <c r="H343">
        <v>5000</v>
      </c>
      <c r="I343" s="43">
        <f t="shared" si="26"/>
        <v>5000</v>
      </c>
      <c r="J343" s="3">
        <v>500</v>
      </c>
      <c r="K343" s="44">
        <f t="shared" si="25"/>
        <v>4500</v>
      </c>
      <c r="L343" s="23">
        <v>0</v>
      </c>
      <c r="M343" s="24">
        <f t="shared" si="27"/>
        <v>0</v>
      </c>
      <c r="N343" s="25">
        <v>10</v>
      </c>
      <c r="O343" s="22">
        <f t="shared" si="28"/>
        <v>500</v>
      </c>
      <c r="P343" s="24">
        <f t="shared" si="29"/>
        <v>1</v>
      </c>
    </row>
    <row r="344" spans="2:16" ht="24" customHeight="1" x14ac:dyDescent="0.25">
      <c r="B344" s="1">
        <v>232</v>
      </c>
      <c r="C344" s="6">
        <v>12581641</v>
      </c>
      <c r="D344" s="2" t="s">
        <v>327</v>
      </c>
      <c r="E344" s="2" t="s">
        <v>574</v>
      </c>
      <c r="F344" s="2">
        <v>6727628</v>
      </c>
      <c r="G344" s="35" t="s">
        <v>751</v>
      </c>
      <c r="H344">
        <v>5000</v>
      </c>
      <c r="I344" s="43">
        <f t="shared" si="26"/>
        <v>4750</v>
      </c>
      <c r="J344" s="3">
        <v>4750</v>
      </c>
      <c r="K344" s="44">
        <f t="shared" si="25"/>
        <v>0</v>
      </c>
      <c r="L344" s="23">
        <v>0.05</v>
      </c>
      <c r="M344" s="24">
        <f t="shared" si="27"/>
        <v>250</v>
      </c>
      <c r="N344" s="25">
        <v>10</v>
      </c>
      <c r="O344" s="22">
        <f t="shared" si="28"/>
        <v>475</v>
      </c>
      <c r="P344" s="24">
        <f t="shared" si="29"/>
        <v>10</v>
      </c>
    </row>
    <row r="345" spans="2:16" ht="24" customHeight="1" x14ac:dyDescent="0.25">
      <c r="B345" s="1">
        <v>232</v>
      </c>
      <c r="C345" s="6">
        <v>14804092</v>
      </c>
      <c r="D345" s="2" t="s">
        <v>328</v>
      </c>
      <c r="E345" s="2" t="s">
        <v>567</v>
      </c>
      <c r="F345" s="2">
        <v>6727628</v>
      </c>
      <c r="G345" s="35" t="s">
        <v>751</v>
      </c>
      <c r="H345">
        <v>5000</v>
      </c>
      <c r="I345" s="43">
        <f t="shared" si="26"/>
        <v>4750</v>
      </c>
      <c r="J345" s="3">
        <v>4750</v>
      </c>
      <c r="K345" s="44">
        <f t="shared" si="25"/>
        <v>0</v>
      </c>
      <c r="L345" s="23">
        <v>0.05</v>
      </c>
      <c r="M345" s="24">
        <f t="shared" si="27"/>
        <v>250</v>
      </c>
      <c r="N345" s="25">
        <v>10</v>
      </c>
      <c r="O345" s="22">
        <f t="shared" si="28"/>
        <v>475</v>
      </c>
      <c r="P345" s="24">
        <f t="shared" si="29"/>
        <v>10</v>
      </c>
    </row>
    <row r="346" spans="2:16" ht="24" customHeight="1" x14ac:dyDescent="0.25">
      <c r="B346" s="1">
        <v>233</v>
      </c>
      <c r="C346" s="6">
        <v>14183895</v>
      </c>
      <c r="D346" s="2" t="s">
        <v>329</v>
      </c>
      <c r="E346" s="2" t="s">
        <v>566</v>
      </c>
      <c r="F346" s="2">
        <v>4992310</v>
      </c>
      <c r="G346" s="35" t="s">
        <v>640</v>
      </c>
      <c r="H346">
        <v>5000</v>
      </c>
      <c r="I346" s="43">
        <f t="shared" si="26"/>
        <v>5000</v>
      </c>
      <c r="J346" s="3">
        <v>500</v>
      </c>
      <c r="K346" s="44">
        <f t="shared" si="25"/>
        <v>4500</v>
      </c>
      <c r="L346" s="23">
        <v>0</v>
      </c>
      <c r="M346" s="24">
        <f t="shared" si="27"/>
        <v>0</v>
      </c>
      <c r="N346" s="25">
        <v>10</v>
      </c>
      <c r="O346" s="22">
        <f t="shared" si="28"/>
        <v>500</v>
      </c>
      <c r="P346" s="24">
        <f t="shared" si="29"/>
        <v>1</v>
      </c>
    </row>
    <row r="347" spans="2:16" ht="24" customHeight="1" x14ac:dyDescent="0.25">
      <c r="B347" s="1">
        <v>233</v>
      </c>
      <c r="C347" s="6">
        <v>16975437</v>
      </c>
      <c r="D347" s="2" t="s">
        <v>330</v>
      </c>
      <c r="E347" s="2" t="s">
        <v>572</v>
      </c>
      <c r="F347" s="2">
        <v>4992310</v>
      </c>
      <c r="G347" s="35" t="s">
        <v>640</v>
      </c>
      <c r="H347">
        <v>5000</v>
      </c>
      <c r="I347" s="43">
        <f t="shared" si="26"/>
        <v>4750</v>
      </c>
      <c r="J347" s="3">
        <v>475</v>
      </c>
      <c r="K347" s="44">
        <f t="shared" si="25"/>
        <v>4275</v>
      </c>
      <c r="L347" s="23">
        <v>0.05</v>
      </c>
      <c r="M347" s="24">
        <f t="shared" si="27"/>
        <v>250</v>
      </c>
      <c r="N347" s="25">
        <v>10</v>
      </c>
      <c r="O347" s="22">
        <f t="shared" si="28"/>
        <v>475</v>
      </c>
      <c r="P347" s="24">
        <f t="shared" si="29"/>
        <v>1</v>
      </c>
    </row>
    <row r="348" spans="2:16" ht="24" customHeight="1" x14ac:dyDescent="0.25">
      <c r="B348" s="1">
        <v>234</v>
      </c>
      <c r="C348" s="6">
        <v>15164352</v>
      </c>
      <c r="D348" s="2" t="s">
        <v>331</v>
      </c>
      <c r="E348" s="2" t="s">
        <v>567</v>
      </c>
      <c r="F348" s="2">
        <v>6039052</v>
      </c>
      <c r="G348" s="35" t="s">
        <v>617</v>
      </c>
      <c r="H348">
        <v>5000</v>
      </c>
      <c r="I348" s="43">
        <f t="shared" si="26"/>
        <v>4750</v>
      </c>
      <c r="J348" s="3">
        <v>4750</v>
      </c>
      <c r="K348" s="44">
        <f t="shared" si="25"/>
        <v>0</v>
      </c>
      <c r="L348" s="23">
        <v>0.05</v>
      </c>
      <c r="M348" s="24">
        <f t="shared" si="27"/>
        <v>250</v>
      </c>
      <c r="N348" s="25">
        <v>10</v>
      </c>
      <c r="O348" s="22">
        <f t="shared" si="28"/>
        <v>475</v>
      </c>
      <c r="P348" s="24">
        <f t="shared" si="29"/>
        <v>10</v>
      </c>
    </row>
    <row r="349" spans="2:16" ht="24" customHeight="1" x14ac:dyDescent="0.25">
      <c r="B349" s="1">
        <v>234</v>
      </c>
      <c r="C349" s="6">
        <v>17597043</v>
      </c>
      <c r="D349" s="2" t="s">
        <v>332</v>
      </c>
      <c r="E349" s="2" t="s">
        <v>570</v>
      </c>
      <c r="F349" s="2">
        <v>6039052</v>
      </c>
      <c r="G349" s="35" t="s">
        <v>617</v>
      </c>
      <c r="H349">
        <v>5000</v>
      </c>
      <c r="I349" s="43">
        <f t="shared" si="26"/>
        <v>4750</v>
      </c>
      <c r="J349" s="3">
        <v>475</v>
      </c>
      <c r="K349" s="44">
        <f t="shared" si="25"/>
        <v>4275</v>
      </c>
      <c r="L349" s="23">
        <v>0.05</v>
      </c>
      <c r="M349" s="24">
        <f t="shared" si="27"/>
        <v>250</v>
      </c>
      <c r="N349" s="25">
        <v>10</v>
      </c>
      <c r="O349" s="22">
        <f t="shared" si="28"/>
        <v>475</v>
      </c>
      <c r="P349" s="24">
        <f t="shared" si="29"/>
        <v>1</v>
      </c>
    </row>
    <row r="350" spans="2:16" ht="24" customHeight="1" x14ac:dyDescent="0.25">
      <c r="B350" s="1">
        <v>235</v>
      </c>
      <c r="C350" s="6">
        <v>15986303</v>
      </c>
      <c r="D350" s="2" t="s">
        <v>333</v>
      </c>
      <c r="E350" s="2" t="s">
        <v>577</v>
      </c>
      <c r="F350" s="2">
        <v>4311594</v>
      </c>
      <c r="G350" s="35" t="s">
        <v>766</v>
      </c>
      <c r="H350">
        <v>5000</v>
      </c>
      <c r="I350" s="43">
        <f t="shared" si="26"/>
        <v>5000</v>
      </c>
      <c r="J350" s="3">
        <v>500</v>
      </c>
      <c r="K350" s="44">
        <f t="shared" si="25"/>
        <v>4500</v>
      </c>
      <c r="L350" s="23">
        <v>0</v>
      </c>
      <c r="M350" s="24">
        <f t="shared" si="27"/>
        <v>0</v>
      </c>
      <c r="N350" s="25">
        <v>10</v>
      </c>
      <c r="O350" s="22">
        <f t="shared" si="28"/>
        <v>500</v>
      </c>
      <c r="P350" s="24">
        <f t="shared" si="29"/>
        <v>1</v>
      </c>
    </row>
    <row r="351" spans="2:16" ht="24" customHeight="1" x14ac:dyDescent="0.25">
      <c r="B351" s="1">
        <v>236</v>
      </c>
      <c r="C351" s="6">
        <v>18032654</v>
      </c>
      <c r="D351" s="2" t="s">
        <v>334</v>
      </c>
      <c r="E351" s="2" t="s">
        <v>574</v>
      </c>
      <c r="F351" s="2">
        <v>6098619</v>
      </c>
      <c r="G351" s="35" t="s">
        <v>728</v>
      </c>
      <c r="H351">
        <v>5000</v>
      </c>
      <c r="I351" s="43">
        <f t="shared" si="26"/>
        <v>5000</v>
      </c>
      <c r="J351" s="3">
        <v>500</v>
      </c>
      <c r="K351" s="44">
        <f t="shared" si="25"/>
        <v>4500</v>
      </c>
      <c r="L351" s="23">
        <v>0</v>
      </c>
      <c r="M351" s="24">
        <f t="shared" si="27"/>
        <v>0</v>
      </c>
      <c r="N351" s="25">
        <v>10</v>
      </c>
      <c r="O351" s="22">
        <f t="shared" si="28"/>
        <v>500</v>
      </c>
      <c r="P351" s="24">
        <f t="shared" si="29"/>
        <v>1</v>
      </c>
    </row>
    <row r="352" spans="2:16" ht="24" customHeight="1" x14ac:dyDescent="0.25">
      <c r="B352" s="1">
        <v>237</v>
      </c>
      <c r="C352" s="6">
        <v>16010450</v>
      </c>
      <c r="D352" s="2" t="s">
        <v>335</v>
      </c>
      <c r="E352" s="2" t="s">
        <v>574</v>
      </c>
      <c r="F352" s="2">
        <v>4955358</v>
      </c>
      <c r="G352" s="35" t="s">
        <v>636</v>
      </c>
      <c r="H352">
        <v>5000</v>
      </c>
      <c r="I352" s="43">
        <f t="shared" si="26"/>
        <v>5000</v>
      </c>
      <c r="J352" s="3">
        <v>500</v>
      </c>
      <c r="K352" s="44">
        <f t="shared" si="25"/>
        <v>4500</v>
      </c>
      <c r="L352" s="23">
        <v>0</v>
      </c>
      <c r="M352" s="24">
        <f t="shared" si="27"/>
        <v>0</v>
      </c>
      <c r="N352" s="25">
        <v>10</v>
      </c>
      <c r="O352" s="22">
        <f t="shared" si="28"/>
        <v>500</v>
      </c>
      <c r="P352" s="24">
        <f t="shared" si="29"/>
        <v>1</v>
      </c>
    </row>
    <row r="353" spans="2:16" ht="24" customHeight="1" x14ac:dyDescent="0.25">
      <c r="B353" s="1">
        <v>238</v>
      </c>
      <c r="C353" s="6">
        <v>13959207</v>
      </c>
      <c r="D353" s="2" t="s">
        <v>336</v>
      </c>
      <c r="E353" s="2" t="s">
        <v>574</v>
      </c>
      <c r="F353" s="2">
        <v>4360069</v>
      </c>
      <c r="G353" s="35" t="s">
        <v>767</v>
      </c>
      <c r="H353">
        <v>5000</v>
      </c>
      <c r="I353" s="43">
        <f t="shared" si="26"/>
        <v>5000</v>
      </c>
      <c r="J353" s="3">
        <v>500</v>
      </c>
      <c r="K353" s="44">
        <f t="shared" si="25"/>
        <v>4500</v>
      </c>
      <c r="L353" s="23">
        <v>0</v>
      </c>
      <c r="M353" s="24">
        <f t="shared" si="27"/>
        <v>0</v>
      </c>
      <c r="N353" s="25">
        <v>10</v>
      </c>
      <c r="O353" s="22">
        <f t="shared" si="28"/>
        <v>500</v>
      </c>
      <c r="P353" s="24">
        <f t="shared" si="29"/>
        <v>1</v>
      </c>
    </row>
    <row r="354" spans="2:16" ht="24" customHeight="1" x14ac:dyDescent="0.25">
      <c r="B354" s="1">
        <v>239</v>
      </c>
      <c r="C354" s="6">
        <v>16609753</v>
      </c>
      <c r="D354" s="2" t="s">
        <v>546</v>
      </c>
      <c r="E354" s="2" t="s">
        <v>575</v>
      </c>
      <c r="F354" s="2">
        <v>685582023</v>
      </c>
      <c r="G354" s="35" t="s">
        <v>768</v>
      </c>
      <c r="H354">
        <v>5000</v>
      </c>
      <c r="I354" s="43">
        <f t="shared" si="26"/>
        <v>4750</v>
      </c>
      <c r="J354" s="3">
        <v>4750</v>
      </c>
      <c r="K354" s="44">
        <f t="shared" si="25"/>
        <v>0</v>
      </c>
      <c r="L354" s="23">
        <v>0.05</v>
      </c>
      <c r="M354" s="24">
        <f t="shared" si="27"/>
        <v>250</v>
      </c>
      <c r="N354" s="25">
        <v>10</v>
      </c>
      <c r="O354" s="22">
        <f t="shared" si="28"/>
        <v>475</v>
      </c>
      <c r="P354" s="24">
        <f t="shared" si="29"/>
        <v>10</v>
      </c>
    </row>
    <row r="355" spans="2:16" ht="24" customHeight="1" x14ac:dyDescent="0.25">
      <c r="B355" s="1">
        <v>240</v>
      </c>
      <c r="C355" s="6">
        <v>15511335</v>
      </c>
      <c r="D355" s="2" t="s">
        <v>337</v>
      </c>
      <c r="E355" s="2" t="s">
        <v>572</v>
      </c>
      <c r="F355" s="2">
        <v>6030237</v>
      </c>
      <c r="G355" s="35" t="s">
        <v>623</v>
      </c>
      <c r="H355">
        <v>5000</v>
      </c>
      <c r="I355" s="43">
        <f t="shared" si="26"/>
        <v>4750</v>
      </c>
      <c r="J355" s="3">
        <v>4750</v>
      </c>
      <c r="K355" s="44">
        <f t="shared" si="25"/>
        <v>0</v>
      </c>
      <c r="L355" s="23">
        <v>0.05</v>
      </c>
      <c r="M355" s="24">
        <f t="shared" si="27"/>
        <v>250</v>
      </c>
      <c r="N355" s="25">
        <v>10</v>
      </c>
      <c r="O355" s="22">
        <f t="shared" si="28"/>
        <v>475</v>
      </c>
      <c r="P355" s="24">
        <f t="shared" si="29"/>
        <v>10</v>
      </c>
    </row>
    <row r="356" spans="2:16" ht="24" customHeight="1" x14ac:dyDescent="0.25">
      <c r="B356" s="1">
        <v>241</v>
      </c>
      <c r="C356" s="6">
        <v>15528428</v>
      </c>
      <c r="D356" s="2" t="s">
        <v>338</v>
      </c>
      <c r="E356" s="2" t="s">
        <v>575</v>
      </c>
      <c r="F356" s="2">
        <v>4320957</v>
      </c>
      <c r="G356" s="35" t="s">
        <v>769</v>
      </c>
      <c r="H356">
        <v>5000</v>
      </c>
      <c r="I356" s="43">
        <f t="shared" si="26"/>
        <v>5000</v>
      </c>
      <c r="J356" s="3">
        <v>500</v>
      </c>
      <c r="K356" s="44">
        <f t="shared" si="25"/>
        <v>4500</v>
      </c>
      <c r="L356" s="23">
        <v>0</v>
      </c>
      <c r="M356" s="24">
        <f t="shared" si="27"/>
        <v>0</v>
      </c>
      <c r="N356" s="25">
        <v>10</v>
      </c>
      <c r="O356" s="22">
        <f t="shared" si="28"/>
        <v>500</v>
      </c>
      <c r="P356" s="24">
        <f t="shared" si="29"/>
        <v>1</v>
      </c>
    </row>
    <row r="357" spans="2:16" ht="24" customHeight="1" x14ac:dyDescent="0.25">
      <c r="B357" s="1">
        <v>242</v>
      </c>
      <c r="C357" s="6">
        <v>15532117</v>
      </c>
      <c r="D357" s="2" t="s">
        <v>339</v>
      </c>
      <c r="E357" s="2" t="s">
        <v>567</v>
      </c>
      <c r="F357" s="2">
        <v>12639140</v>
      </c>
      <c r="G357" s="35" t="s">
        <v>674</v>
      </c>
      <c r="H357">
        <v>5000</v>
      </c>
      <c r="I357" s="43">
        <f t="shared" si="26"/>
        <v>5000</v>
      </c>
      <c r="J357" s="3">
        <v>500</v>
      </c>
      <c r="K357" s="44">
        <f t="shared" si="25"/>
        <v>4500</v>
      </c>
      <c r="L357" s="23">
        <v>0</v>
      </c>
      <c r="M357" s="24">
        <f t="shared" si="27"/>
        <v>0</v>
      </c>
      <c r="N357" s="25">
        <v>10</v>
      </c>
      <c r="O357" s="22">
        <f t="shared" si="28"/>
        <v>500</v>
      </c>
      <c r="P357" s="24">
        <f t="shared" si="29"/>
        <v>1</v>
      </c>
    </row>
    <row r="358" spans="2:16" ht="24" customHeight="1" x14ac:dyDescent="0.25">
      <c r="B358" s="1">
        <v>243</v>
      </c>
      <c r="C358" s="6">
        <v>13495501</v>
      </c>
      <c r="D358" s="2" t="s">
        <v>340</v>
      </c>
      <c r="E358" s="2" t="s">
        <v>566</v>
      </c>
      <c r="F358" s="2">
        <v>4846049</v>
      </c>
      <c r="G358" s="35" t="s">
        <v>770</v>
      </c>
      <c r="H358">
        <v>5000</v>
      </c>
      <c r="I358" s="43">
        <f t="shared" si="26"/>
        <v>5000</v>
      </c>
      <c r="J358" s="45">
        <v>500</v>
      </c>
      <c r="K358" s="44">
        <f t="shared" si="25"/>
        <v>4500</v>
      </c>
      <c r="L358" s="23">
        <v>0</v>
      </c>
      <c r="M358" s="24">
        <f t="shared" si="27"/>
        <v>0</v>
      </c>
      <c r="N358" s="25">
        <v>10</v>
      </c>
      <c r="O358" s="22">
        <f t="shared" si="28"/>
        <v>500</v>
      </c>
      <c r="P358" s="24">
        <f t="shared" si="29"/>
        <v>1</v>
      </c>
    </row>
    <row r="359" spans="2:16" ht="24" customHeight="1" x14ac:dyDescent="0.25">
      <c r="B359" s="1">
        <v>244</v>
      </c>
      <c r="C359" s="6">
        <v>14904799</v>
      </c>
      <c r="D359" s="2" t="s">
        <v>341</v>
      </c>
      <c r="E359" s="2" t="s">
        <v>578</v>
      </c>
      <c r="F359" s="2">
        <v>12641492</v>
      </c>
      <c r="G359" s="35" t="s">
        <v>771</v>
      </c>
      <c r="H359">
        <v>5000</v>
      </c>
      <c r="I359" s="43">
        <f t="shared" si="26"/>
        <v>5000</v>
      </c>
      <c r="J359" s="45">
        <v>1000</v>
      </c>
      <c r="K359" s="44">
        <f t="shared" si="25"/>
        <v>4000</v>
      </c>
      <c r="L359" s="23">
        <v>0</v>
      </c>
      <c r="M359" s="24">
        <f t="shared" si="27"/>
        <v>0</v>
      </c>
      <c r="N359" s="25">
        <v>10</v>
      </c>
      <c r="O359" s="22">
        <f t="shared" si="28"/>
        <v>500</v>
      </c>
      <c r="P359" s="24">
        <f t="shared" si="29"/>
        <v>2</v>
      </c>
    </row>
    <row r="360" spans="2:16" ht="24" customHeight="1" x14ac:dyDescent="0.25">
      <c r="B360" s="1">
        <v>245</v>
      </c>
      <c r="C360" s="6">
        <v>13640906</v>
      </c>
      <c r="D360" s="2" t="s">
        <v>342</v>
      </c>
      <c r="E360" s="2" t="s">
        <v>565</v>
      </c>
      <c r="F360" s="2">
        <v>7037627</v>
      </c>
      <c r="G360" s="35" t="s">
        <v>683</v>
      </c>
      <c r="H360">
        <v>5000</v>
      </c>
      <c r="I360" s="43">
        <f t="shared" si="26"/>
        <v>4750</v>
      </c>
      <c r="J360" s="3">
        <v>4750</v>
      </c>
      <c r="K360" s="44">
        <f t="shared" si="25"/>
        <v>0</v>
      </c>
      <c r="L360" s="23">
        <v>0.05</v>
      </c>
      <c r="M360" s="24">
        <f t="shared" si="27"/>
        <v>250</v>
      </c>
      <c r="N360" s="25">
        <v>10</v>
      </c>
      <c r="O360" s="22">
        <f t="shared" si="28"/>
        <v>475</v>
      </c>
      <c r="P360" s="24">
        <f t="shared" si="29"/>
        <v>10</v>
      </c>
    </row>
    <row r="361" spans="2:16" ht="24" customHeight="1" x14ac:dyDescent="0.25">
      <c r="B361" s="1">
        <v>245</v>
      </c>
      <c r="C361" s="6">
        <v>15531105</v>
      </c>
      <c r="D361" s="2" t="s">
        <v>343</v>
      </c>
      <c r="E361" s="2" t="s">
        <v>569</v>
      </c>
      <c r="F361" s="2">
        <v>7037627</v>
      </c>
      <c r="G361" s="35" t="s">
        <v>683</v>
      </c>
      <c r="H361">
        <v>5000</v>
      </c>
      <c r="I361" s="43">
        <f t="shared" si="26"/>
        <v>4750</v>
      </c>
      <c r="J361" s="3">
        <v>475</v>
      </c>
      <c r="K361" s="44">
        <f t="shared" si="25"/>
        <v>4275</v>
      </c>
      <c r="L361" s="23">
        <v>0.05</v>
      </c>
      <c r="M361" s="24">
        <f t="shared" si="27"/>
        <v>250</v>
      </c>
      <c r="N361" s="25">
        <v>10</v>
      </c>
      <c r="O361" s="22">
        <f t="shared" si="28"/>
        <v>475</v>
      </c>
      <c r="P361" s="24">
        <f t="shared" si="29"/>
        <v>1</v>
      </c>
    </row>
    <row r="362" spans="2:16" ht="24" customHeight="1" x14ac:dyDescent="0.25">
      <c r="B362" s="1">
        <v>246</v>
      </c>
      <c r="C362" s="6">
        <v>12861127</v>
      </c>
      <c r="D362" s="2" t="s">
        <v>344</v>
      </c>
      <c r="E362" s="2" t="s">
        <v>574</v>
      </c>
      <c r="F362" s="2">
        <v>6729343</v>
      </c>
      <c r="G362" s="35" t="s">
        <v>683</v>
      </c>
      <c r="H362">
        <v>5000</v>
      </c>
      <c r="I362" s="43">
        <f t="shared" si="26"/>
        <v>5000</v>
      </c>
      <c r="J362" s="3">
        <v>500</v>
      </c>
      <c r="K362" s="44">
        <f t="shared" si="25"/>
        <v>4500</v>
      </c>
      <c r="L362" s="23">
        <v>0</v>
      </c>
      <c r="M362" s="24">
        <f t="shared" si="27"/>
        <v>0</v>
      </c>
      <c r="N362" s="25">
        <v>10</v>
      </c>
      <c r="O362" s="22">
        <f t="shared" si="28"/>
        <v>500</v>
      </c>
      <c r="P362" s="24">
        <f t="shared" si="29"/>
        <v>1</v>
      </c>
    </row>
    <row r="363" spans="2:16" ht="24" customHeight="1" x14ac:dyDescent="0.25">
      <c r="B363" s="1">
        <v>247</v>
      </c>
      <c r="C363" s="30">
        <v>15543807</v>
      </c>
      <c r="D363" s="2" t="s">
        <v>345</v>
      </c>
      <c r="E363" s="20" t="s">
        <v>575</v>
      </c>
      <c r="F363" s="20">
        <v>6925850</v>
      </c>
      <c r="G363" s="41" t="s">
        <v>772</v>
      </c>
      <c r="H363">
        <v>5000</v>
      </c>
      <c r="I363" s="43">
        <f t="shared" si="26"/>
        <v>5000</v>
      </c>
      <c r="J363" s="3">
        <v>500</v>
      </c>
      <c r="K363" s="44">
        <f t="shared" si="25"/>
        <v>4500</v>
      </c>
      <c r="L363" s="23">
        <v>0</v>
      </c>
      <c r="M363" s="24">
        <f t="shared" si="27"/>
        <v>0</v>
      </c>
      <c r="N363" s="25">
        <v>10</v>
      </c>
      <c r="O363" s="22">
        <f t="shared" si="28"/>
        <v>500</v>
      </c>
      <c r="P363" s="24">
        <f t="shared" si="29"/>
        <v>1</v>
      </c>
    </row>
    <row r="364" spans="2:16" ht="24" customHeight="1" x14ac:dyDescent="0.25">
      <c r="B364" s="1"/>
      <c r="C364" s="5"/>
      <c r="D364" s="2" t="s">
        <v>346</v>
      </c>
      <c r="E364" s="10" t="s">
        <v>582</v>
      </c>
      <c r="F364" s="10"/>
      <c r="G364" s="36"/>
      <c r="H364">
        <v>5000</v>
      </c>
      <c r="I364" s="43">
        <f t="shared" si="26"/>
        <v>4775</v>
      </c>
      <c r="J364" s="4">
        <v>4775</v>
      </c>
      <c r="K364" s="44">
        <f t="shared" si="25"/>
        <v>0</v>
      </c>
      <c r="L364" s="49">
        <v>4.4999999999999998E-2</v>
      </c>
      <c r="M364" s="24">
        <f t="shared" si="27"/>
        <v>225</v>
      </c>
      <c r="N364" s="25">
        <v>10</v>
      </c>
      <c r="O364" s="22">
        <f t="shared" si="28"/>
        <v>477.5</v>
      </c>
      <c r="P364" s="24">
        <f t="shared" si="29"/>
        <v>10</v>
      </c>
    </row>
    <row r="365" spans="2:16" ht="24" customHeight="1" x14ac:dyDescent="0.25">
      <c r="B365" s="1"/>
      <c r="C365" s="5"/>
      <c r="D365" s="2" t="s">
        <v>347</v>
      </c>
      <c r="E365" s="10" t="s">
        <v>595</v>
      </c>
      <c r="F365" s="10"/>
      <c r="G365" s="36"/>
      <c r="H365">
        <v>5000</v>
      </c>
      <c r="I365" s="43">
        <f t="shared" si="26"/>
        <v>4550</v>
      </c>
      <c r="J365" s="4">
        <v>4550</v>
      </c>
      <c r="K365" s="44">
        <f t="shared" si="25"/>
        <v>0</v>
      </c>
      <c r="L365" s="23">
        <v>0.09</v>
      </c>
      <c r="M365" s="24">
        <f t="shared" si="27"/>
        <v>450</v>
      </c>
      <c r="N365" s="25">
        <v>10</v>
      </c>
      <c r="O365" s="22">
        <f t="shared" si="28"/>
        <v>455</v>
      </c>
      <c r="P365" s="24">
        <f t="shared" si="29"/>
        <v>10</v>
      </c>
    </row>
    <row r="366" spans="2:16" ht="24" customHeight="1" x14ac:dyDescent="0.25">
      <c r="B366" s="1"/>
      <c r="C366" s="5"/>
      <c r="D366" s="2" t="s">
        <v>348</v>
      </c>
      <c r="E366" s="10" t="s">
        <v>582</v>
      </c>
      <c r="F366" s="10"/>
      <c r="G366" s="36"/>
      <c r="H366">
        <v>5000</v>
      </c>
      <c r="I366" s="43">
        <f t="shared" si="26"/>
        <v>4550</v>
      </c>
      <c r="J366" s="4">
        <v>4550</v>
      </c>
      <c r="K366" s="44">
        <f t="shared" si="25"/>
        <v>0</v>
      </c>
      <c r="L366" s="23">
        <v>0.09</v>
      </c>
      <c r="M366" s="24">
        <f t="shared" si="27"/>
        <v>450</v>
      </c>
      <c r="N366" s="25">
        <v>10</v>
      </c>
      <c r="O366" s="22">
        <f t="shared" si="28"/>
        <v>455</v>
      </c>
      <c r="P366" s="24">
        <f t="shared" si="29"/>
        <v>10</v>
      </c>
    </row>
    <row r="367" spans="2:16" ht="24" customHeight="1" x14ac:dyDescent="0.25">
      <c r="B367" s="1"/>
      <c r="C367" s="5"/>
      <c r="D367" s="2" t="s">
        <v>349</v>
      </c>
      <c r="E367" s="10" t="s">
        <v>584</v>
      </c>
      <c r="F367" s="10"/>
      <c r="G367" s="36"/>
      <c r="H367">
        <v>5000</v>
      </c>
      <c r="I367" s="43">
        <f t="shared" si="26"/>
        <v>4550</v>
      </c>
      <c r="J367" s="4">
        <v>4550</v>
      </c>
      <c r="K367" s="44">
        <f t="shared" si="25"/>
        <v>0</v>
      </c>
      <c r="L367" s="23">
        <v>0.09</v>
      </c>
      <c r="M367" s="24">
        <f t="shared" si="27"/>
        <v>450</v>
      </c>
      <c r="N367" s="25">
        <v>10</v>
      </c>
      <c r="O367" s="22">
        <f t="shared" si="28"/>
        <v>455</v>
      </c>
      <c r="P367" s="24">
        <f t="shared" si="29"/>
        <v>10</v>
      </c>
    </row>
    <row r="368" spans="2:16" ht="24" customHeight="1" x14ac:dyDescent="0.25">
      <c r="B368" s="1"/>
      <c r="C368" s="5"/>
      <c r="D368" s="2" t="s">
        <v>350</v>
      </c>
      <c r="E368" s="10" t="s">
        <v>579</v>
      </c>
      <c r="F368" s="10"/>
      <c r="G368" s="36"/>
      <c r="H368">
        <v>5000</v>
      </c>
      <c r="I368" s="43">
        <f t="shared" si="26"/>
        <v>4550</v>
      </c>
      <c r="J368" s="4">
        <v>4550</v>
      </c>
      <c r="K368" s="44">
        <f t="shared" si="25"/>
        <v>0</v>
      </c>
      <c r="L368" s="23">
        <v>0.09</v>
      </c>
      <c r="M368" s="24">
        <f t="shared" si="27"/>
        <v>450</v>
      </c>
      <c r="N368" s="25">
        <v>10</v>
      </c>
      <c r="O368" s="22">
        <f t="shared" si="28"/>
        <v>455</v>
      </c>
      <c r="P368" s="24">
        <f t="shared" si="29"/>
        <v>10</v>
      </c>
    </row>
    <row r="369" spans="2:16" ht="24" customHeight="1" x14ac:dyDescent="0.25">
      <c r="B369" s="1"/>
      <c r="C369" s="5"/>
      <c r="D369" s="2" t="s">
        <v>351</v>
      </c>
      <c r="E369" s="10" t="s">
        <v>591</v>
      </c>
      <c r="F369" s="10"/>
      <c r="G369" s="36"/>
      <c r="H369">
        <v>5000</v>
      </c>
      <c r="I369" s="43">
        <f t="shared" si="26"/>
        <v>4500</v>
      </c>
      <c r="J369" s="4">
        <v>450</v>
      </c>
      <c r="K369" s="44">
        <f t="shared" si="25"/>
        <v>4050</v>
      </c>
      <c r="L369" s="23">
        <v>0.1</v>
      </c>
      <c r="M369" s="24">
        <f t="shared" si="27"/>
        <v>500</v>
      </c>
      <c r="N369" s="25">
        <v>10</v>
      </c>
      <c r="O369" s="22">
        <f t="shared" si="28"/>
        <v>450</v>
      </c>
      <c r="P369" s="24">
        <f t="shared" si="29"/>
        <v>1</v>
      </c>
    </row>
    <row r="370" spans="2:16" ht="24" customHeight="1" x14ac:dyDescent="0.25">
      <c r="B370" s="1"/>
      <c r="C370" s="5"/>
      <c r="D370" s="2" t="s">
        <v>352</v>
      </c>
      <c r="E370" s="10" t="s">
        <v>864</v>
      </c>
      <c r="F370" s="10"/>
      <c r="G370" s="36"/>
      <c r="H370">
        <v>5000</v>
      </c>
      <c r="I370" s="43">
        <f t="shared" si="26"/>
        <v>4500</v>
      </c>
      <c r="J370" s="4">
        <v>450</v>
      </c>
      <c r="K370" s="44">
        <f t="shared" si="25"/>
        <v>4050</v>
      </c>
      <c r="L370" s="23">
        <v>0.1</v>
      </c>
      <c r="M370" s="24">
        <f t="shared" si="27"/>
        <v>500</v>
      </c>
      <c r="N370" s="25">
        <v>10</v>
      </c>
      <c r="O370" s="22">
        <f t="shared" si="28"/>
        <v>450</v>
      </c>
      <c r="P370" s="24">
        <f t="shared" si="29"/>
        <v>1</v>
      </c>
    </row>
    <row r="371" spans="2:16" ht="24" customHeight="1" thickBot="1" x14ac:dyDescent="0.3">
      <c r="B371" s="1"/>
      <c r="C371" s="5"/>
      <c r="D371" s="2" t="s">
        <v>353</v>
      </c>
      <c r="E371" s="10" t="s">
        <v>865</v>
      </c>
      <c r="F371" s="10"/>
      <c r="G371" s="36"/>
      <c r="H371">
        <v>5000</v>
      </c>
      <c r="I371" s="43">
        <f t="shared" si="26"/>
        <v>4500</v>
      </c>
      <c r="J371" s="4">
        <v>450</v>
      </c>
      <c r="K371" s="44">
        <f t="shared" si="25"/>
        <v>4050</v>
      </c>
      <c r="L371" s="23">
        <v>0.1</v>
      </c>
      <c r="M371" s="24">
        <f t="shared" si="27"/>
        <v>500</v>
      </c>
      <c r="N371" s="25">
        <v>10</v>
      </c>
      <c r="O371" s="22">
        <f t="shared" si="28"/>
        <v>450</v>
      </c>
      <c r="P371" s="24">
        <f t="shared" si="29"/>
        <v>1</v>
      </c>
    </row>
    <row r="372" spans="2:16" ht="24" customHeight="1" x14ac:dyDescent="0.25">
      <c r="B372" s="1">
        <v>248</v>
      </c>
      <c r="C372" s="27">
        <v>16627362</v>
      </c>
      <c r="D372" s="2" t="s">
        <v>354</v>
      </c>
      <c r="E372" s="18" t="s">
        <v>567</v>
      </c>
      <c r="F372" s="18">
        <v>13018944</v>
      </c>
      <c r="G372" s="38" t="s">
        <v>773</v>
      </c>
      <c r="H372">
        <v>5000</v>
      </c>
      <c r="I372" s="43">
        <f t="shared" si="26"/>
        <v>5000</v>
      </c>
      <c r="J372" s="3">
        <v>500</v>
      </c>
      <c r="K372" s="44">
        <f t="shared" si="25"/>
        <v>4500</v>
      </c>
      <c r="L372" s="23">
        <v>0</v>
      </c>
      <c r="M372" s="24">
        <f t="shared" si="27"/>
        <v>0</v>
      </c>
      <c r="N372" s="25">
        <v>10</v>
      </c>
      <c r="O372" s="22">
        <f t="shared" si="28"/>
        <v>500</v>
      </c>
      <c r="P372" s="24">
        <f t="shared" si="29"/>
        <v>1</v>
      </c>
    </row>
    <row r="373" spans="2:16" ht="24" customHeight="1" x14ac:dyDescent="0.25">
      <c r="B373" s="1">
        <v>249</v>
      </c>
      <c r="C373" s="6">
        <v>15522490</v>
      </c>
      <c r="D373" s="2" t="s">
        <v>355</v>
      </c>
      <c r="E373" s="2" t="s">
        <v>574</v>
      </c>
      <c r="F373" s="2">
        <v>4762367</v>
      </c>
      <c r="G373" s="35" t="s">
        <v>774</v>
      </c>
      <c r="H373">
        <v>5000</v>
      </c>
      <c r="I373" s="43">
        <f t="shared" si="26"/>
        <v>5000</v>
      </c>
      <c r="J373" s="3">
        <v>500</v>
      </c>
      <c r="K373" s="44">
        <f t="shared" si="25"/>
        <v>4500</v>
      </c>
      <c r="L373" s="23">
        <v>0</v>
      </c>
      <c r="M373" s="24">
        <f t="shared" si="27"/>
        <v>0</v>
      </c>
      <c r="N373" s="25">
        <v>10</v>
      </c>
      <c r="O373" s="22">
        <f t="shared" si="28"/>
        <v>500</v>
      </c>
      <c r="P373" s="24">
        <f t="shared" si="29"/>
        <v>1</v>
      </c>
    </row>
    <row r="374" spans="2:16" ht="24" customHeight="1" x14ac:dyDescent="0.25">
      <c r="B374" s="1">
        <v>250</v>
      </c>
      <c r="C374" s="6">
        <v>15195054</v>
      </c>
      <c r="D374" s="2" t="s">
        <v>356</v>
      </c>
      <c r="E374" s="2" t="s">
        <v>572</v>
      </c>
      <c r="F374" s="2">
        <v>6732416</v>
      </c>
      <c r="G374" s="35" t="s">
        <v>775</v>
      </c>
      <c r="H374">
        <v>5000</v>
      </c>
      <c r="I374" s="43">
        <f t="shared" si="26"/>
        <v>5000</v>
      </c>
      <c r="J374" s="3">
        <v>500</v>
      </c>
      <c r="K374" s="44">
        <f t="shared" si="25"/>
        <v>4500</v>
      </c>
      <c r="L374" s="23">
        <v>0</v>
      </c>
      <c r="M374" s="24">
        <f t="shared" si="27"/>
        <v>0</v>
      </c>
      <c r="N374" s="25">
        <v>10</v>
      </c>
      <c r="O374" s="22">
        <f t="shared" si="28"/>
        <v>500</v>
      </c>
      <c r="P374" s="24">
        <f t="shared" si="29"/>
        <v>1</v>
      </c>
    </row>
    <row r="375" spans="2:16" ht="24" customHeight="1" x14ac:dyDescent="0.25">
      <c r="B375" s="1">
        <v>251</v>
      </c>
      <c r="C375" s="6">
        <v>15953039</v>
      </c>
      <c r="D375" s="2" t="s">
        <v>357</v>
      </c>
      <c r="E375" s="2" t="s">
        <v>567</v>
      </c>
      <c r="F375" s="2">
        <v>6866521</v>
      </c>
      <c r="G375" s="35" t="s">
        <v>776</v>
      </c>
      <c r="H375">
        <v>5000</v>
      </c>
      <c r="I375" s="43">
        <f t="shared" si="26"/>
        <v>4750</v>
      </c>
      <c r="J375" s="3">
        <v>4750</v>
      </c>
      <c r="K375" s="44">
        <f t="shared" si="25"/>
        <v>0</v>
      </c>
      <c r="L375" s="23">
        <v>0.05</v>
      </c>
      <c r="M375" s="24">
        <f t="shared" si="27"/>
        <v>250</v>
      </c>
      <c r="N375" s="25">
        <v>10</v>
      </c>
      <c r="O375" s="22">
        <f t="shared" si="28"/>
        <v>475</v>
      </c>
      <c r="P375" s="24">
        <f t="shared" si="29"/>
        <v>10</v>
      </c>
    </row>
    <row r="376" spans="2:16" ht="24" customHeight="1" x14ac:dyDescent="0.25">
      <c r="B376" s="1">
        <v>252</v>
      </c>
      <c r="C376" s="6">
        <v>16234098</v>
      </c>
      <c r="D376" s="2" t="s">
        <v>358</v>
      </c>
      <c r="E376" s="2" t="s">
        <v>577</v>
      </c>
      <c r="F376" s="2">
        <v>5481598</v>
      </c>
      <c r="G376" s="35" t="s">
        <v>777</v>
      </c>
      <c r="H376">
        <v>5000</v>
      </c>
      <c r="I376" s="43">
        <f t="shared" si="26"/>
        <v>4750</v>
      </c>
      <c r="J376" s="3">
        <v>4750</v>
      </c>
      <c r="K376" s="44">
        <f t="shared" si="25"/>
        <v>0</v>
      </c>
      <c r="L376" s="23">
        <v>0.05</v>
      </c>
      <c r="M376" s="24">
        <f t="shared" si="27"/>
        <v>250</v>
      </c>
      <c r="N376" s="25">
        <v>10</v>
      </c>
      <c r="O376" s="22">
        <f t="shared" si="28"/>
        <v>475</v>
      </c>
      <c r="P376" s="24">
        <f t="shared" si="29"/>
        <v>10</v>
      </c>
    </row>
    <row r="377" spans="2:16" ht="24" customHeight="1" x14ac:dyDescent="0.25">
      <c r="B377" s="1">
        <v>253</v>
      </c>
      <c r="C377" s="6">
        <v>16288559</v>
      </c>
      <c r="D377" s="2" t="s">
        <v>359</v>
      </c>
      <c r="E377" s="2" t="s">
        <v>577</v>
      </c>
      <c r="F377" s="2">
        <v>6080465</v>
      </c>
      <c r="G377" s="35" t="s">
        <v>778</v>
      </c>
      <c r="H377">
        <v>5000</v>
      </c>
      <c r="I377" s="43">
        <f t="shared" si="26"/>
        <v>5000</v>
      </c>
      <c r="J377" s="3">
        <v>500</v>
      </c>
      <c r="K377" s="44">
        <f t="shared" si="25"/>
        <v>4500</v>
      </c>
      <c r="L377" s="23">
        <v>0</v>
      </c>
      <c r="M377" s="24">
        <f t="shared" si="27"/>
        <v>0</v>
      </c>
      <c r="N377" s="25">
        <v>10</v>
      </c>
      <c r="O377" s="22">
        <f t="shared" si="28"/>
        <v>500</v>
      </c>
      <c r="P377" s="24">
        <f t="shared" si="29"/>
        <v>1</v>
      </c>
    </row>
    <row r="378" spans="2:16" ht="24" customHeight="1" x14ac:dyDescent="0.25">
      <c r="B378" s="1">
        <v>254</v>
      </c>
      <c r="C378" s="5"/>
      <c r="D378" s="2" t="s">
        <v>99</v>
      </c>
      <c r="E378" s="10"/>
      <c r="F378" s="10"/>
      <c r="G378" s="36"/>
      <c r="H378">
        <v>5000</v>
      </c>
      <c r="I378" s="43">
        <f t="shared" si="26"/>
        <v>5000</v>
      </c>
      <c r="J378" s="3">
        <v>0</v>
      </c>
      <c r="K378" s="44">
        <f t="shared" si="25"/>
        <v>5000</v>
      </c>
      <c r="L378" s="23">
        <v>0</v>
      </c>
      <c r="M378" s="24">
        <f t="shared" si="27"/>
        <v>0</v>
      </c>
      <c r="N378" s="25">
        <v>10</v>
      </c>
      <c r="O378" s="22">
        <f t="shared" si="28"/>
        <v>500</v>
      </c>
      <c r="P378" s="24">
        <f t="shared" si="29"/>
        <v>0</v>
      </c>
    </row>
    <row r="379" spans="2:16" ht="24" customHeight="1" x14ac:dyDescent="0.25">
      <c r="B379" s="1">
        <v>255</v>
      </c>
      <c r="C379" s="6">
        <v>13926552</v>
      </c>
      <c r="D379" s="2" t="s">
        <v>360</v>
      </c>
      <c r="E379" s="2" t="s">
        <v>566</v>
      </c>
      <c r="F379" s="2">
        <v>6048939</v>
      </c>
      <c r="G379" s="35" t="s">
        <v>779</v>
      </c>
      <c r="H379">
        <v>5000</v>
      </c>
      <c r="I379" s="43">
        <f t="shared" si="26"/>
        <v>4750</v>
      </c>
      <c r="J379" s="3">
        <v>4750</v>
      </c>
      <c r="K379" s="44">
        <f t="shared" si="25"/>
        <v>0</v>
      </c>
      <c r="L379" s="23">
        <v>0.05</v>
      </c>
      <c r="M379" s="24">
        <f t="shared" si="27"/>
        <v>250</v>
      </c>
      <c r="N379" s="25">
        <v>10</v>
      </c>
      <c r="O379" s="22">
        <f t="shared" si="28"/>
        <v>475</v>
      </c>
      <c r="P379" s="24">
        <f t="shared" si="29"/>
        <v>10</v>
      </c>
    </row>
    <row r="380" spans="2:16" ht="24" customHeight="1" x14ac:dyDescent="0.25">
      <c r="B380" s="1">
        <v>256</v>
      </c>
      <c r="C380" s="6">
        <v>16629816</v>
      </c>
      <c r="D380" s="2" t="s">
        <v>361</v>
      </c>
      <c r="E380" s="2" t="s">
        <v>577</v>
      </c>
      <c r="F380" s="2">
        <v>9908493</v>
      </c>
      <c r="G380" s="35" t="s">
        <v>780</v>
      </c>
      <c r="H380">
        <v>5000</v>
      </c>
      <c r="I380" s="43">
        <f t="shared" si="26"/>
        <v>5000</v>
      </c>
      <c r="J380" s="3">
        <v>500</v>
      </c>
      <c r="K380" s="44">
        <f t="shared" si="25"/>
        <v>4500</v>
      </c>
      <c r="L380" s="23">
        <v>0</v>
      </c>
      <c r="M380" s="24">
        <f t="shared" si="27"/>
        <v>0</v>
      </c>
      <c r="N380" s="25">
        <v>10</v>
      </c>
      <c r="O380" s="22">
        <f t="shared" si="28"/>
        <v>500</v>
      </c>
      <c r="P380" s="24">
        <f t="shared" si="29"/>
        <v>1</v>
      </c>
    </row>
    <row r="381" spans="2:16" ht="24" customHeight="1" x14ac:dyDescent="0.25">
      <c r="B381" s="1">
        <v>257</v>
      </c>
      <c r="C381" s="6">
        <v>13696962</v>
      </c>
      <c r="D381" s="2" t="s">
        <v>362</v>
      </c>
      <c r="E381" s="2" t="s">
        <v>566</v>
      </c>
      <c r="F381" s="2">
        <v>2607314</v>
      </c>
      <c r="G381" s="35" t="s">
        <v>781</v>
      </c>
      <c r="H381">
        <v>5000</v>
      </c>
      <c r="I381" s="43">
        <f t="shared" si="26"/>
        <v>5000</v>
      </c>
      <c r="J381" s="3">
        <v>500</v>
      </c>
      <c r="K381" s="44">
        <f t="shared" si="25"/>
        <v>4500</v>
      </c>
      <c r="L381" s="23">
        <v>0</v>
      </c>
      <c r="M381" s="24">
        <f t="shared" si="27"/>
        <v>0</v>
      </c>
      <c r="N381" s="25">
        <v>10</v>
      </c>
      <c r="O381" s="22">
        <f t="shared" si="28"/>
        <v>500</v>
      </c>
      <c r="P381" s="24">
        <f t="shared" si="29"/>
        <v>1</v>
      </c>
    </row>
    <row r="382" spans="2:16" ht="24" customHeight="1" x14ac:dyDescent="0.25">
      <c r="B382" s="1">
        <v>258</v>
      </c>
      <c r="C382" s="6">
        <v>14769033</v>
      </c>
      <c r="D382" s="2" t="s">
        <v>363</v>
      </c>
      <c r="E382" s="2" t="s">
        <v>578</v>
      </c>
      <c r="F382" s="2">
        <v>12608417</v>
      </c>
      <c r="G382" s="35" t="s">
        <v>782</v>
      </c>
      <c r="H382">
        <v>5000</v>
      </c>
      <c r="I382" s="43">
        <f t="shared" si="26"/>
        <v>5000</v>
      </c>
      <c r="J382" s="3">
        <v>500</v>
      </c>
      <c r="K382" s="44">
        <f t="shared" si="25"/>
        <v>4500</v>
      </c>
      <c r="L382" s="23">
        <v>0</v>
      </c>
      <c r="M382" s="24">
        <f t="shared" si="27"/>
        <v>0</v>
      </c>
      <c r="N382" s="25">
        <v>10</v>
      </c>
      <c r="O382" s="22">
        <f t="shared" si="28"/>
        <v>500</v>
      </c>
      <c r="P382" s="24">
        <f t="shared" si="29"/>
        <v>1</v>
      </c>
    </row>
    <row r="383" spans="2:16" ht="24" customHeight="1" x14ac:dyDescent="0.25">
      <c r="B383" s="1">
        <v>258</v>
      </c>
      <c r="C383" s="6">
        <v>15245571</v>
      </c>
      <c r="D383" s="2" t="s">
        <v>364</v>
      </c>
      <c r="E383" s="2" t="s">
        <v>567</v>
      </c>
      <c r="F383" s="2">
        <v>12608418</v>
      </c>
      <c r="G383" s="35" t="s">
        <v>782</v>
      </c>
      <c r="H383">
        <v>5000</v>
      </c>
      <c r="I383" s="43">
        <f t="shared" si="26"/>
        <v>4750</v>
      </c>
      <c r="J383" s="3">
        <v>475</v>
      </c>
      <c r="K383" s="44">
        <f t="shared" ref="K383:K445" si="30">I383-J383</f>
        <v>4275</v>
      </c>
      <c r="L383" s="23">
        <v>0.05</v>
      </c>
      <c r="M383" s="24">
        <f t="shared" si="27"/>
        <v>250</v>
      </c>
      <c r="N383" s="25">
        <v>10</v>
      </c>
      <c r="O383" s="22">
        <f t="shared" si="28"/>
        <v>475</v>
      </c>
      <c r="P383" s="24">
        <f t="shared" si="29"/>
        <v>1</v>
      </c>
    </row>
    <row r="384" spans="2:16" ht="24" customHeight="1" x14ac:dyDescent="0.25">
      <c r="B384" s="1">
        <v>259</v>
      </c>
      <c r="C384" s="6">
        <v>16191241</v>
      </c>
      <c r="D384" s="2" t="s">
        <v>365</v>
      </c>
      <c r="E384" s="2" t="s">
        <v>577</v>
      </c>
      <c r="F384" s="2">
        <v>9139806</v>
      </c>
      <c r="G384" s="35" t="s">
        <v>783</v>
      </c>
      <c r="H384">
        <v>5000</v>
      </c>
      <c r="I384" s="43">
        <f t="shared" si="26"/>
        <v>5000</v>
      </c>
      <c r="J384" s="3">
        <v>500</v>
      </c>
      <c r="K384" s="44">
        <f t="shared" si="30"/>
        <v>4500</v>
      </c>
      <c r="L384" s="23">
        <v>0</v>
      </c>
      <c r="M384" s="24">
        <f t="shared" si="27"/>
        <v>0</v>
      </c>
      <c r="N384" s="25">
        <v>10</v>
      </c>
      <c r="O384" s="22">
        <f t="shared" si="28"/>
        <v>500</v>
      </c>
      <c r="P384" s="24">
        <f t="shared" si="29"/>
        <v>1</v>
      </c>
    </row>
    <row r="385" spans="2:16" ht="24" customHeight="1" x14ac:dyDescent="0.25">
      <c r="B385" s="1">
        <v>260</v>
      </c>
      <c r="C385" s="6">
        <v>12671771</v>
      </c>
      <c r="D385" s="2" t="s">
        <v>366</v>
      </c>
      <c r="E385" s="2" t="s">
        <v>578</v>
      </c>
      <c r="F385" s="2">
        <v>4888151</v>
      </c>
      <c r="G385" s="35" t="s">
        <v>784</v>
      </c>
      <c r="H385">
        <v>5000</v>
      </c>
      <c r="I385" s="43">
        <f t="shared" si="26"/>
        <v>5000</v>
      </c>
      <c r="J385" s="3">
        <v>500</v>
      </c>
      <c r="K385" s="44">
        <f t="shared" si="30"/>
        <v>4500</v>
      </c>
      <c r="L385" s="23">
        <v>0</v>
      </c>
      <c r="M385" s="24">
        <f t="shared" si="27"/>
        <v>0</v>
      </c>
      <c r="N385" s="25">
        <v>10</v>
      </c>
      <c r="O385" s="22">
        <f t="shared" si="28"/>
        <v>500</v>
      </c>
      <c r="P385" s="24">
        <f t="shared" si="29"/>
        <v>1</v>
      </c>
    </row>
    <row r="386" spans="2:16" ht="24" customHeight="1" x14ac:dyDescent="0.25">
      <c r="B386" s="1">
        <v>260</v>
      </c>
      <c r="C386" s="6">
        <v>16266431</v>
      </c>
      <c r="D386" s="2" t="s">
        <v>367</v>
      </c>
      <c r="E386" s="2" t="s">
        <v>570</v>
      </c>
      <c r="F386" s="2">
        <v>4888152</v>
      </c>
      <c r="G386" s="35" t="s">
        <v>784</v>
      </c>
      <c r="H386">
        <v>5000</v>
      </c>
      <c r="I386" s="43">
        <f t="shared" ref="I386:I449" si="31">H386-M386</f>
        <v>4500</v>
      </c>
      <c r="J386" s="3">
        <v>450</v>
      </c>
      <c r="K386" s="44">
        <f t="shared" si="30"/>
        <v>4050</v>
      </c>
      <c r="L386" s="23">
        <v>0.1</v>
      </c>
      <c r="M386" s="24">
        <f t="shared" ref="M386:M449" si="32">H386*L386</f>
        <v>500</v>
      </c>
      <c r="N386" s="25">
        <v>10</v>
      </c>
      <c r="O386" s="22">
        <f t="shared" ref="O386:O449" si="33">I386/N386</f>
        <v>450</v>
      </c>
      <c r="P386" s="24">
        <f t="shared" ref="P386:P449" si="34">INT(J386/O386)</f>
        <v>1</v>
      </c>
    </row>
    <row r="387" spans="2:16" ht="24" customHeight="1" x14ac:dyDescent="0.25">
      <c r="B387" s="1">
        <v>260</v>
      </c>
      <c r="C387" s="6">
        <v>14528588</v>
      </c>
      <c r="D387" s="2" t="s">
        <v>368</v>
      </c>
      <c r="E387" s="2" t="s">
        <v>577</v>
      </c>
      <c r="F387" s="2">
        <v>4888153</v>
      </c>
      <c r="G387" s="35" t="s">
        <v>784</v>
      </c>
      <c r="H387">
        <v>5000</v>
      </c>
      <c r="I387" s="43">
        <f t="shared" si="31"/>
        <v>4750</v>
      </c>
      <c r="J387" s="3">
        <v>475</v>
      </c>
      <c r="K387" s="44">
        <f t="shared" si="30"/>
        <v>4275</v>
      </c>
      <c r="L387" s="23">
        <v>0.05</v>
      </c>
      <c r="M387" s="24">
        <f t="shared" si="32"/>
        <v>250</v>
      </c>
      <c r="N387" s="25">
        <v>10</v>
      </c>
      <c r="O387" s="22">
        <f t="shared" si="33"/>
        <v>475</v>
      </c>
      <c r="P387" s="24">
        <f t="shared" si="34"/>
        <v>1</v>
      </c>
    </row>
    <row r="388" spans="2:16" ht="24" customHeight="1" x14ac:dyDescent="0.25">
      <c r="B388" s="1">
        <v>261</v>
      </c>
      <c r="C388" s="6">
        <v>13815140</v>
      </c>
      <c r="D388" s="2" t="s">
        <v>369</v>
      </c>
      <c r="E388" s="2" t="s">
        <v>566</v>
      </c>
      <c r="F388" s="2">
        <v>4339896</v>
      </c>
      <c r="G388" s="35" t="s">
        <v>785</v>
      </c>
      <c r="H388">
        <v>5000</v>
      </c>
      <c r="I388" s="43">
        <f t="shared" si="31"/>
        <v>5000</v>
      </c>
      <c r="J388" s="3">
        <v>500</v>
      </c>
      <c r="K388" s="44">
        <f t="shared" si="30"/>
        <v>4500</v>
      </c>
      <c r="L388" s="23">
        <v>0</v>
      </c>
      <c r="M388" s="24">
        <f t="shared" si="32"/>
        <v>0</v>
      </c>
      <c r="N388" s="25">
        <v>10</v>
      </c>
      <c r="O388" s="22">
        <f t="shared" si="33"/>
        <v>500</v>
      </c>
      <c r="P388" s="24">
        <f t="shared" si="34"/>
        <v>1</v>
      </c>
    </row>
    <row r="389" spans="2:16" ht="24" customHeight="1" x14ac:dyDescent="0.25">
      <c r="B389" s="1">
        <v>262</v>
      </c>
      <c r="C389" s="6">
        <v>15565237</v>
      </c>
      <c r="D389" s="2" t="s">
        <v>370</v>
      </c>
      <c r="E389" s="2" t="s">
        <v>565</v>
      </c>
      <c r="F389" s="2">
        <v>6954838</v>
      </c>
      <c r="G389" s="35" t="s">
        <v>779</v>
      </c>
      <c r="H389">
        <v>5000</v>
      </c>
      <c r="I389" s="43">
        <f t="shared" si="31"/>
        <v>5000</v>
      </c>
      <c r="J389" s="3">
        <v>500</v>
      </c>
      <c r="K389" s="44">
        <f t="shared" si="30"/>
        <v>4500</v>
      </c>
      <c r="L389" s="23">
        <v>0</v>
      </c>
      <c r="M389" s="24">
        <f t="shared" si="32"/>
        <v>0</v>
      </c>
      <c r="N389" s="25">
        <v>10</v>
      </c>
      <c r="O389" s="22">
        <f t="shared" si="33"/>
        <v>500</v>
      </c>
      <c r="P389" s="24">
        <f t="shared" si="34"/>
        <v>1</v>
      </c>
    </row>
    <row r="390" spans="2:16" ht="24" customHeight="1" x14ac:dyDescent="0.25">
      <c r="B390" s="1">
        <v>262</v>
      </c>
      <c r="C390" s="6">
        <v>15565165</v>
      </c>
      <c r="D390" s="2" t="s">
        <v>371</v>
      </c>
      <c r="E390" s="2" t="s">
        <v>577</v>
      </c>
      <c r="F390" s="2">
        <v>6954839</v>
      </c>
      <c r="G390" s="35" t="s">
        <v>779</v>
      </c>
      <c r="H390">
        <v>5000</v>
      </c>
      <c r="I390" s="43">
        <f t="shared" si="31"/>
        <v>4750</v>
      </c>
      <c r="J390" s="3">
        <v>475</v>
      </c>
      <c r="K390" s="44">
        <f t="shared" si="30"/>
        <v>4275</v>
      </c>
      <c r="L390" s="23">
        <v>0.05</v>
      </c>
      <c r="M390" s="24">
        <f t="shared" si="32"/>
        <v>250</v>
      </c>
      <c r="N390" s="25">
        <v>10</v>
      </c>
      <c r="O390" s="22">
        <f t="shared" si="33"/>
        <v>475</v>
      </c>
      <c r="P390" s="24">
        <f t="shared" si="34"/>
        <v>1</v>
      </c>
    </row>
    <row r="391" spans="2:16" ht="24" customHeight="1" x14ac:dyDescent="0.25">
      <c r="B391" s="1">
        <v>263</v>
      </c>
      <c r="C391" s="6">
        <v>15350654</v>
      </c>
      <c r="D391" s="2" t="s">
        <v>372</v>
      </c>
      <c r="E391" s="2" t="s">
        <v>577</v>
      </c>
      <c r="F391" s="2">
        <v>7024074</v>
      </c>
      <c r="G391" s="35" t="s">
        <v>786</v>
      </c>
      <c r="H391">
        <v>5000</v>
      </c>
      <c r="I391" s="43">
        <f t="shared" si="31"/>
        <v>5000</v>
      </c>
      <c r="J391" s="3">
        <v>500</v>
      </c>
      <c r="K391" s="44">
        <f t="shared" si="30"/>
        <v>4500</v>
      </c>
      <c r="L391" s="23">
        <v>0</v>
      </c>
      <c r="M391" s="24">
        <f t="shared" si="32"/>
        <v>0</v>
      </c>
      <c r="N391" s="25">
        <v>10</v>
      </c>
      <c r="O391" s="22">
        <f t="shared" si="33"/>
        <v>500</v>
      </c>
      <c r="P391" s="24">
        <f t="shared" si="34"/>
        <v>1</v>
      </c>
    </row>
    <row r="392" spans="2:16" ht="24" customHeight="1" x14ac:dyDescent="0.25">
      <c r="B392" s="1">
        <v>263</v>
      </c>
      <c r="C392" s="6">
        <v>15512687</v>
      </c>
      <c r="D392" s="2" t="s">
        <v>373</v>
      </c>
      <c r="E392" s="2" t="s">
        <v>572</v>
      </c>
      <c r="F392" s="2">
        <v>7024075</v>
      </c>
      <c r="G392" s="35" t="s">
        <v>786</v>
      </c>
      <c r="H392">
        <v>5000</v>
      </c>
      <c r="I392" s="43">
        <f t="shared" si="31"/>
        <v>4750</v>
      </c>
      <c r="J392" s="3">
        <v>475</v>
      </c>
      <c r="K392" s="44">
        <f t="shared" si="30"/>
        <v>4275</v>
      </c>
      <c r="L392" s="23">
        <v>0.05</v>
      </c>
      <c r="M392" s="24">
        <f t="shared" si="32"/>
        <v>250</v>
      </c>
      <c r="N392" s="25">
        <v>10</v>
      </c>
      <c r="O392" s="22">
        <f t="shared" si="33"/>
        <v>475</v>
      </c>
      <c r="P392" s="24">
        <f t="shared" si="34"/>
        <v>1</v>
      </c>
    </row>
    <row r="393" spans="2:16" ht="24" customHeight="1" x14ac:dyDescent="0.25">
      <c r="B393" s="1">
        <v>264</v>
      </c>
      <c r="C393" s="6">
        <v>16672791</v>
      </c>
      <c r="D393" s="2" t="s">
        <v>374</v>
      </c>
      <c r="E393" s="2" t="s">
        <v>577</v>
      </c>
      <c r="F393" s="2">
        <v>7021114</v>
      </c>
      <c r="G393" s="35" t="s">
        <v>787</v>
      </c>
      <c r="H393">
        <v>5000</v>
      </c>
      <c r="I393" s="43">
        <f t="shared" si="31"/>
        <v>5000</v>
      </c>
      <c r="J393" s="3">
        <v>500</v>
      </c>
      <c r="K393" s="44">
        <f t="shared" si="30"/>
        <v>4500</v>
      </c>
      <c r="L393" s="23">
        <v>0</v>
      </c>
      <c r="M393" s="24">
        <f t="shared" si="32"/>
        <v>0</v>
      </c>
      <c r="N393" s="25">
        <v>10</v>
      </c>
      <c r="O393" s="22">
        <f t="shared" si="33"/>
        <v>500</v>
      </c>
      <c r="P393" s="24">
        <f t="shared" si="34"/>
        <v>1</v>
      </c>
    </row>
    <row r="394" spans="2:16" ht="24" customHeight="1" x14ac:dyDescent="0.25">
      <c r="B394" s="1">
        <v>265</v>
      </c>
      <c r="C394" s="6">
        <v>16864179</v>
      </c>
      <c r="D394" s="2" t="s">
        <v>375</v>
      </c>
      <c r="E394" s="2" t="s">
        <v>577</v>
      </c>
      <c r="F394" s="2">
        <v>5477502</v>
      </c>
      <c r="G394" s="35" t="s">
        <v>788</v>
      </c>
      <c r="H394">
        <v>5000</v>
      </c>
      <c r="I394" s="43">
        <f t="shared" si="31"/>
        <v>5000</v>
      </c>
      <c r="J394" s="3">
        <v>500</v>
      </c>
      <c r="K394" s="44">
        <f t="shared" si="30"/>
        <v>4500</v>
      </c>
      <c r="L394" s="23">
        <v>0</v>
      </c>
      <c r="M394" s="24">
        <f t="shared" si="32"/>
        <v>0</v>
      </c>
      <c r="N394" s="25">
        <v>10</v>
      </c>
      <c r="O394" s="22">
        <f t="shared" si="33"/>
        <v>500</v>
      </c>
      <c r="P394" s="24">
        <f t="shared" si="34"/>
        <v>1</v>
      </c>
    </row>
    <row r="395" spans="2:16" ht="24" customHeight="1" x14ac:dyDescent="0.25">
      <c r="B395" s="1">
        <v>266</v>
      </c>
      <c r="C395" s="6">
        <v>12424349</v>
      </c>
      <c r="D395" s="2" t="s">
        <v>376</v>
      </c>
      <c r="E395" s="2" t="s">
        <v>566</v>
      </c>
      <c r="F395" s="2">
        <v>3417558</v>
      </c>
      <c r="G395" s="35" t="s">
        <v>789</v>
      </c>
      <c r="H395">
        <v>5000</v>
      </c>
      <c r="I395" s="43">
        <f t="shared" si="31"/>
        <v>4750</v>
      </c>
      <c r="J395" s="3">
        <v>4750</v>
      </c>
      <c r="K395" s="44">
        <f t="shared" si="30"/>
        <v>0</v>
      </c>
      <c r="L395" s="23">
        <v>0.05</v>
      </c>
      <c r="M395" s="24">
        <f t="shared" si="32"/>
        <v>250</v>
      </c>
      <c r="N395" s="25">
        <v>10</v>
      </c>
      <c r="O395" s="22">
        <f t="shared" si="33"/>
        <v>475</v>
      </c>
      <c r="P395" s="24">
        <f t="shared" si="34"/>
        <v>10</v>
      </c>
    </row>
    <row r="396" spans="2:16" ht="24" customHeight="1" x14ac:dyDescent="0.25">
      <c r="B396" s="1">
        <v>267</v>
      </c>
      <c r="C396" s="6">
        <v>15292606</v>
      </c>
      <c r="D396" s="2" t="s">
        <v>377</v>
      </c>
      <c r="E396" s="2" t="s">
        <v>566</v>
      </c>
      <c r="F396" s="2">
        <v>6002557</v>
      </c>
      <c r="G396" s="35" t="s">
        <v>790</v>
      </c>
      <c r="H396">
        <v>5000</v>
      </c>
      <c r="I396" s="43">
        <f t="shared" si="31"/>
        <v>5000</v>
      </c>
      <c r="J396" s="3">
        <v>500</v>
      </c>
      <c r="K396" s="44">
        <f t="shared" si="30"/>
        <v>4500</v>
      </c>
      <c r="L396" s="23">
        <v>0</v>
      </c>
      <c r="M396" s="24">
        <f t="shared" si="32"/>
        <v>0</v>
      </c>
      <c r="N396" s="25">
        <v>10</v>
      </c>
      <c r="O396" s="22">
        <f t="shared" si="33"/>
        <v>500</v>
      </c>
      <c r="P396" s="24">
        <f t="shared" si="34"/>
        <v>1</v>
      </c>
    </row>
    <row r="397" spans="2:16" ht="24" customHeight="1" x14ac:dyDescent="0.25">
      <c r="B397" s="1">
        <v>268</v>
      </c>
      <c r="C397" s="6">
        <v>10271800</v>
      </c>
      <c r="D397" s="2" t="s">
        <v>378</v>
      </c>
      <c r="E397" s="2" t="s">
        <v>565</v>
      </c>
      <c r="F397" s="2">
        <v>10271799</v>
      </c>
      <c r="G397" s="35" t="s">
        <v>791</v>
      </c>
      <c r="H397">
        <v>5000</v>
      </c>
      <c r="I397" s="43">
        <f t="shared" si="31"/>
        <v>5000</v>
      </c>
      <c r="J397" s="3">
        <v>500</v>
      </c>
      <c r="K397" s="44">
        <f t="shared" si="30"/>
        <v>4500</v>
      </c>
      <c r="L397" s="23">
        <v>0</v>
      </c>
      <c r="M397" s="24">
        <f t="shared" si="32"/>
        <v>0</v>
      </c>
      <c r="N397" s="25">
        <v>10</v>
      </c>
      <c r="O397" s="22">
        <f t="shared" si="33"/>
        <v>500</v>
      </c>
      <c r="P397" s="24">
        <f t="shared" si="34"/>
        <v>1</v>
      </c>
    </row>
    <row r="398" spans="2:16" ht="24" customHeight="1" x14ac:dyDescent="0.25">
      <c r="B398" s="1">
        <v>268</v>
      </c>
      <c r="C398" s="6">
        <v>10271795</v>
      </c>
      <c r="D398" s="2" t="s">
        <v>379</v>
      </c>
      <c r="E398" s="2" t="s">
        <v>577</v>
      </c>
      <c r="F398" s="2">
        <v>10271799</v>
      </c>
      <c r="G398" s="35" t="s">
        <v>791</v>
      </c>
      <c r="H398">
        <v>5000</v>
      </c>
      <c r="I398" s="43">
        <f t="shared" si="31"/>
        <v>4750</v>
      </c>
      <c r="J398" s="3">
        <v>475</v>
      </c>
      <c r="K398" s="44">
        <f t="shared" si="30"/>
        <v>4275</v>
      </c>
      <c r="L398" s="23">
        <v>0.05</v>
      </c>
      <c r="M398" s="24">
        <f t="shared" si="32"/>
        <v>250</v>
      </c>
      <c r="N398" s="25">
        <v>10</v>
      </c>
      <c r="O398" s="22">
        <f t="shared" si="33"/>
        <v>475</v>
      </c>
      <c r="P398" s="24">
        <f t="shared" si="34"/>
        <v>1</v>
      </c>
    </row>
    <row r="399" spans="2:16" ht="24" customHeight="1" x14ac:dyDescent="0.25">
      <c r="B399" s="1">
        <v>269</v>
      </c>
      <c r="C399" s="6">
        <v>13696763</v>
      </c>
      <c r="D399" s="2" t="s">
        <v>380</v>
      </c>
      <c r="E399" s="2" t="s">
        <v>566</v>
      </c>
      <c r="F399" s="2">
        <v>2139227</v>
      </c>
      <c r="G399" s="35" t="s">
        <v>789</v>
      </c>
      <c r="H399">
        <v>5000</v>
      </c>
      <c r="I399" s="43">
        <f t="shared" si="31"/>
        <v>5000</v>
      </c>
      <c r="J399" s="3">
        <v>500</v>
      </c>
      <c r="K399" s="44">
        <f t="shared" si="30"/>
        <v>4500</v>
      </c>
      <c r="L399" s="23">
        <v>0</v>
      </c>
      <c r="M399" s="24">
        <f t="shared" si="32"/>
        <v>0</v>
      </c>
      <c r="N399" s="25">
        <v>10</v>
      </c>
      <c r="O399" s="22">
        <f t="shared" si="33"/>
        <v>500</v>
      </c>
      <c r="P399" s="24">
        <f t="shared" si="34"/>
        <v>1</v>
      </c>
    </row>
    <row r="400" spans="2:16" ht="24" customHeight="1" x14ac:dyDescent="0.25">
      <c r="B400" s="1">
        <v>270</v>
      </c>
      <c r="C400" s="6">
        <v>15342537</v>
      </c>
      <c r="D400" s="2" t="s">
        <v>381</v>
      </c>
      <c r="E400" s="2" t="s">
        <v>574</v>
      </c>
      <c r="F400" s="2">
        <v>6806074</v>
      </c>
      <c r="G400" s="35" t="s">
        <v>792</v>
      </c>
      <c r="H400">
        <v>5000</v>
      </c>
      <c r="I400" s="43">
        <f t="shared" si="31"/>
        <v>5000</v>
      </c>
      <c r="J400" s="3">
        <v>500</v>
      </c>
      <c r="K400" s="44">
        <f t="shared" si="30"/>
        <v>4500</v>
      </c>
      <c r="L400" s="23">
        <v>0</v>
      </c>
      <c r="M400" s="24">
        <f t="shared" si="32"/>
        <v>0</v>
      </c>
      <c r="N400" s="25">
        <v>10</v>
      </c>
      <c r="O400" s="22">
        <f t="shared" si="33"/>
        <v>500</v>
      </c>
      <c r="P400" s="24">
        <f t="shared" si="34"/>
        <v>1</v>
      </c>
    </row>
    <row r="401" spans="2:16" ht="24" customHeight="1" x14ac:dyDescent="0.25">
      <c r="B401" s="1">
        <v>270</v>
      </c>
      <c r="C401" s="6">
        <v>15342573</v>
      </c>
      <c r="D401" s="2" t="s">
        <v>382</v>
      </c>
      <c r="E401" s="2" t="s">
        <v>575</v>
      </c>
      <c r="F401" s="2">
        <v>6806074</v>
      </c>
      <c r="G401" s="35" t="s">
        <v>792</v>
      </c>
      <c r="H401">
        <v>5000</v>
      </c>
      <c r="I401" s="43">
        <f t="shared" si="31"/>
        <v>4750</v>
      </c>
      <c r="J401" s="3">
        <v>475</v>
      </c>
      <c r="K401" s="44">
        <f t="shared" si="30"/>
        <v>4275</v>
      </c>
      <c r="L401" s="23">
        <v>0.05</v>
      </c>
      <c r="M401" s="24">
        <f t="shared" si="32"/>
        <v>250</v>
      </c>
      <c r="N401" s="25">
        <v>10</v>
      </c>
      <c r="O401" s="22">
        <f t="shared" si="33"/>
        <v>475</v>
      </c>
      <c r="P401" s="24">
        <f t="shared" si="34"/>
        <v>1</v>
      </c>
    </row>
    <row r="402" spans="2:16" ht="24" customHeight="1" x14ac:dyDescent="0.25">
      <c r="B402" s="1">
        <v>271</v>
      </c>
      <c r="C402" s="6">
        <v>14358575</v>
      </c>
      <c r="D402" s="2" t="s">
        <v>383</v>
      </c>
      <c r="E402" s="2" t="s">
        <v>576</v>
      </c>
      <c r="F402" s="2">
        <v>6058588</v>
      </c>
      <c r="G402" s="35" t="s">
        <v>793</v>
      </c>
      <c r="H402">
        <v>5000</v>
      </c>
      <c r="I402" s="43">
        <f t="shared" si="31"/>
        <v>5000</v>
      </c>
      <c r="J402" s="3">
        <v>500</v>
      </c>
      <c r="K402" s="44">
        <f t="shared" si="30"/>
        <v>4500</v>
      </c>
      <c r="L402" s="23">
        <v>0</v>
      </c>
      <c r="M402" s="24">
        <f t="shared" si="32"/>
        <v>0</v>
      </c>
      <c r="N402" s="25">
        <v>10</v>
      </c>
      <c r="O402" s="22">
        <f t="shared" si="33"/>
        <v>500</v>
      </c>
      <c r="P402" s="24">
        <f t="shared" si="34"/>
        <v>1</v>
      </c>
    </row>
    <row r="403" spans="2:16" ht="24" customHeight="1" x14ac:dyDescent="0.25">
      <c r="B403" s="1">
        <v>271</v>
      </c>
      <c r="C403" s="6">
        <v>12450597</v>
      </c>
      <c r="D403" s="2" t="s">
        <v>384</v>
      </c>
      <c r="E403" s="2" t="s">
        <v>574</v>
      </c>
      <c r="F403" s="2">
        <v>6058588</v>
      </c>
      <c r="G403" s="35" t="s">
        <v>793</v>
      </c>
      <c r="H403">
        <v>5000</v>
      </c>
      <c r="I403" s="43">
        <f t="shared" si="31"/>
        <v>4750</v>
      </c>
      <c r="J403" s="3">
        <v>475</v>
      </c>
      <c r="K403" s="44">
        <f t="shared" si="30"/>
        <v>4275</v>
      </c>
      <c r="L403" s="23">
        <v>0.05</v>
      </c>
      <c r="M403" s="24">
        <f t="shared" si="32"/>
        <v>250</v>
      </c>
      <c r="N403" s="25">
        <v>10</v>
      </c>
      <c r="O403" s="22">
        <f t="shared" si="33"/>
        <v>475</v>
      </c>
      <c r="P403" s="24">
        <f t="shared" si="34"/>
        <v>1</v>
      </c>
    </row>
    <row r="404" spans="2:16" ht="24" customHeight="1" x14ac:dyDescent="0.25">
      <c r="B404" s="1">
        <v>272</v>
      </c>
      <c r="C404" s="6">
        <v>16693007</v>
      </c>
      <c r="D404" s="2" t="s">
        <v>385</v>
      </c>
      <c r="E404" s="2" t="s">
        <v>573</v>
      </c>
      <c r="F404" s="2">
        <v>4369030</v>
      </c>
      <c r="G404" s="35" t="s">
        <v>794</v>
      </c>
      <c r="H404">
        <v>5000</v>
      </c>
      <c r="I404" s="43">
        <f t="shared" si="31"/>
        <v>4750</v>
      </c>
      <c r="J404" s="3">
        <v>4750</v>
      </c>
      <c r="K404" s="44">
        <f t="shared" si="30"/>
        <v>0</v>
      </c>
      <c r="L404" s="23">
        <v>0.05</v>
      </c>
      <c r="M404" s="24">
        <f t="shared" si="32"/>
        <v>250</v>
      </c>
      <c r="N404" s="25">
        <v>10</v>
      </c>
      <c r="O404" s="22">
        <f t="shared" si="33"/>
        <v>475</v>
      </c>
      <c r="P404" s="24">
        <f t="shared" si="34"/>
        <v>10</v>
      </c>
    </row>
    <row r="405" spans="2:16" ht="24" customHeight="1" x14ac:dyDescent="0.25">
      <c r="B405" s="1">
        <v>272</v>
      </c>
      <c r="C405" s="6">
        <v>16692993</v>
      </c>
      <c r="D405" s="2" t="s">
        <v>386</v>
      </c>
      <c r="E405" s="2" t="s">
        <v>567</v>
      </c>
      <c r="F405" s="2">
        <v>4369030</v>
      </c>
      <c r="G405" s="35" t="s">
        <v>794</v>
      </c>
      <c r="H405">
        <v>5000</v>
      </c>
      <c r="I405" s="43">
        <f t="shared" si="31"/>
        <v>4750</v>
      </c>
      <c r="J405" s="3">
        <v>4750</v>
      </c>
      <c r="K405" s="44">
        <f t="shared" si="30"/>
        <v>0</v>
      </c>
      <c r="L405" s="23">
        <v>0.05</v>
      </c>
      <c r="M405" s="24">
        <f t="shared" si="32"/>
        <v>250</v>
      </c>
      <c r="N405" s="25">
        <v>10</v>
      </c>
      <c r="O405" s="22">
        <f t="shared" si="33"/>
        <v>475</v>
      </c>
      <c r="P405" s="24">
        <f t="shared" si="34"/>
        <v>10</v>
      </c>
    </row>
    <row r="406" spans="2:16" ht="24" customHeight="1" x14ac:dyDescent="0.25">
      <c r="B406" s="1">
        <v>272</v>
      </c>
      <c r="C406" s="6">
        <v>16330049</v>
      </c>
      <c r="D406" s="2" t="s">
        <v>387</v>
      </c>
      <c r="E406" s="2" t="s">
        <v>570</v>
      </c>
      <c r="F406" s="2">
        <v>4369030</v>
      </c>
      <c r="G406" s="35" t="s">
        <v>794</v>
      </c>
      <c r="H406">
        <v>5000</v>
      </c>
      <c r="I406" s="43">
        <f t="shared" si="31"/>
        <v>4500</v>
      </c>
      <c r="J406" s="3">
        <v>4500</v>
      </c>
      <c r="K406" s="44">
        <f t="shared" si="30"/>
        <v>0</v>
      </c>
      <c r="L406" s="23">
        <v>0.1</v>
      </c>
      <c r="M406" s="24">
        <f t="shared" si="32"/>
        <v>500</v>
      </c>
      <c r="N406" s="25">
        <v>10</v>
      </c>
      <c r="O406" s="22">
        <f t="shared" si="33"/>
        <v>450</v>
      </c>
      <c r="P406" s="24">
        <f t="shared" si="34"/>
        <v>10</v>
      </c>
    </row>
    <row r="407" spans="2:16" ht="24" customHeight="1" x14ac:dyDescent="0.25">
      <c r="B407" s="1">
        <v>273</v>
      </c>
      <c r="C407" s="6">
        <v>12832413</v>
      </c>
      <c r="D407" s="2" t="s">
        <v>388</v>
      </c>
      <c r="E407" s="2" t="s">
        <v>576</v>
      </c>
      <c r="F407" s="2">
        <v>6172960</v>
      </c>
      <c r="G407" s="35" t="s">
        <v>631</v>
      </c>
      <c r="H407">
        <v>5000</v>
      </c>
      <c r="I407" s="43">
        <f t="shared" si="31"/>
        <v>5000</v>
      </c>
      <c r="J407" s="3">
        <v>500</v>
      </c>
      <c r="K407" s="44">
        <f t="shared" si="30"/>
        <v>4500</v>
      </c>
      <c r="L407" s="23">
        <v>0</v>
      </c>
      <c r="M407" s="24">
        <f t="shared" si="32"/>
        <v>0</v>
      </c>
      <c r="N407" s="25">
        <v>10</v>
      </c>
      <c r="O407" s="22">
        <f t="shared" si="33"/>
        <v>500</v>
      </c>
      <c r="P407" s="24">
        <f t="shared" si="34"/>
        <v>1</v>
      </c>
    </row>
    <row r="408" spans="2:16" ht="24" customHeight="1" x14ac:dyDescent="0.25">
      <c r="B408" s="1">
        <v>273</v>
      </c>
      <c r="C408" s="6">
        <v>16294354</v>
      </c>
      <c r="D408" s="2" t="s">
        <v>389</v>
      </c>
      <c r="E408" s="2" t="s">
        <v>577</v>
      </c>
      <c r="F408" s="2">
        <v>6172960</v>
      </c>
      <c r="G408" s="35" t="s">
        <v>631</v>
      </c>
      <c r="H408">
        <v>5000</v>
      </c>
      <c r="I408" s="43">
        <f t="shared" si="31"/>
        <v>4750</v>
      </c>
      <c r="J408" s="3">
        <v>475</v>
      </c>
      <c r="K408" s="44">
        <f t="shared" si="30"/>
        <v>4275</v>
      </c>
      <c r="L408" s="23">
        <v>0.05</v>
      </c>
      <c r="M408" s="24">
        <f t="shared" si="32"/>
        <v>250</v>
      </c>
      <c r="N408" s="25">
        <v>10</v>
      </c>
      <c r="O408" s="22">
        <f t="shared" si="33"/>
        <v>475</v>
      </c>
      <c r="P408" s="24">
        <f t="shared" si="34"/>
        <v>1</v>
      </c>
    </row>
    <row r="409" spans="2:16" ht="24" customHeight="1" x14ac:dyDescent="0.25">
      <c r="B409" s="1">
        <v>274</v>
      </c>
      <c r="C409" s="6">
        <v>15057782</v>
      </c>
      <c r="D409" s="2" t="s">
        <v>390</v>
      </c>
      <c r="E409" s="2" t="s">
        <v>575</v>
      </c>
      <c r="F409" s="2">
        <v>10024319</v>
      </c>
      <c r="G409" s="35" t="s">
        <v>652</v>
      </c>
      <c r="H409">
        <v>5000</v>
      </c>
      <c r="I409" s="43">
        <f t="shared" si="31"/>
        <v>4750</v>
      </c>
      <c r="J409" s="3">
        <v>4750</v>
      </c>
      <c r="K409" s="44">
        <f t="shared" si="30"/>
        <v>0</v>
      </c>
      <c r="L409" s="23">
        <v>0.05</v>
      </c>
      <c r="M409" s="24">
        <f t="shared" si="32"/>
        <v>250</v>
      </c>
      <c r="N409" s="25">
        <v>10</v>
      </c>
      <c r="O409" s="22">
        <f t="shared" si="33"/>
        <v>475</v>
      </c>
      <c r="P409" s="24">
        <f t="shared" si="34"/>
        <v>10</v>
      </c>
    </row>
    <row r="410" spans="2:16" ht="24" customHeight="1" x14ac:dyDescent="0.25">
      <c r="B410" s="1">
        <v>275</v>
      </c>
      <c r="C410" s="6">
        <v>16375108</v>
      </c>
      <c r="D410" s="2" t="s">
        <v>391</v>
      </c>
      <c r="E410" s="2" t="s">
        <v>577</v>
      </c>
      <c r="F410" s="2">
        <v>7048936</v>
      </c>
      <c r="G410" s="35" t="s">
        <v>795</v>
      </c>
      <c r="H410">
        <v>5000</v>
      </c>
      <c r="I410" s="43">
        <f t="shared" si="31"/>
        <v>5000</v>
      </c>
      <c r="J410" s="3">
        <v>500</v>
      </c>
      <c r="K410" s="44">
        <f t="shared" si="30"/>
        <v>4500</v>
      </c>
      <c r="L410" s="23">
        <v>0</v>
      </c>
      <c r="M410" s="24">
        <f t="shared" si="32"/>
        <v>0</v>
      </c>
      <c r="N410" s="25">
        <v>10</v>
      </c>
      <c r="O410" s="22">
        <f t="shared" si="33"/>
        <v>500</v>
      </c>
      <c r="P410" s="24">
        <f t="shared" si="34"/>
        <v>1</v>
      </c>
    </row>
    <row r="411" spans="2:16" ht="24" customHeight="1" x14ac:dyDescent="0.25">
      <c r="B411" s="1">
        <v>234</v>
      </c>
      <c r="C411" s="6">
        <v>15164352</v>
      </c>
      <c r="D411" s="2" t="s">
        <v>392</v>
      </c>
      <c r="E411" s="2" t="s">
        <v>572</v>
      </c>
      <c r="F411" s="2">
        <v>7048936</v>
      </c>
      <c r="G411" s="35" t="s">
        <v>795</v>
      </c>
      <c r="H411">
        <v>5000</v>
      </c>
      <c r="I411" s="43">
        <f t="shared" si="31"/>
        <v>4750</v>
      </c>
      <c r="J411" s="3">
        <v>475</v>
      </c>
      <c r="K411" s="44">
        <f t="shared" si="30"/>
        <v>4275</v>
      </c>
      <c r="L411" s="23">
        <v>0.05</v>
      </c>
      <c r="M411" s="24">
        <f t="shared" si="32"/>
        <v>250</v>
      </c>
      <c r="N411" s="25">
        <v>10</v>
      </c>
      <c r="O411" s="22">
        <f t="shared" si="33"/>
        <v>475</v>
      </c>
      <c r="P411" s="24">
        <f t="shared" si="34"/>
        <v>1</v>
      </c>
    </row>
    <row r="412" spans="2:16" ht="24" customHeight="1" x14ac:dyDescent="0.25">
      <c r="B412" s="1">
        <v>234</v>
      </c>
      <c r="C412" s="6">
        <v>17597043</v>
      </c>
      <c r="D412" s="2" t="s">
        <v>393</v>
      </c>
      <c r="E412" s="2" t="s">
        <v>571</v>
      </c>
      <c r="F412" s="2">
        <v>7048936</v>
      </c>
      <c r="G412" s="35" t="s">
        <v>795</v>
      </c>
      <c r="H412">
        <v>5000</v>
      </c>
      <c r="I412" s="43">
        <f t="shared" si="31"/>
        <v>4500</v>
      </c>
      <c r="J412" s="3">
        <v>450</v>
      </c>
      <c r="K412" s="44">
        <f t="shared" si="30"/>
        <v>4050</v>
      </c>
      <c r="L412" s="23">
        <v>0.1</v>
      </c>
      <c r="M412" s="24">
        <f t="shared" si="32"/>
        <v>500</v>
      </c>
      <c r="N412" s="25">
        <v>10</v>
      </c>
      <c r="O412" s="22">
        <f t="shared" si="33"/>
        <v>450</v>
      </c>
      <c r="P412" s="24">
        <f t="shared" si="34"/>
        <v>1</v>
      </c>
    </row>
    <row r="413" spans="2:16" ht="24" customHeight="1" x14ac:dyDescent="0.25">
      <c r="B413" s="1">
        <v>276</v>
      </c>
      <c r="C413" s="6">
        <v>13961235</v>
      </c>
      <c r="D413" s="2" t="s">
        <v>394</v>
      </c>
      <c r="E413" s="2" t="s">
        <v>566</v>
      </c>
      <c r="F413" s="2">
        <v>3351159</v>
      </c>
      <c r="G413" s="35" t="s">
        <v>789</v>
      </c>
      <c r="H413">
        <v>5000</v>
      </c>
      <c r="I413" s="43">
        <f t="shared" si="31"/>
        <v>5000</v>
      </c>
      <c r="J413" s="3">
        <v>500</v>
      </c>
      <c r="K413" s="44">
        <f t="shared" si="30"/>
        <v>4500</v>
      </c>
      <c r="L413" s="23">
        <v>0</v>
      </c>
      <c r="M413" s="24">
        <f t="shared" si="32"/>
        <v>0</v>
      </c>
      <c r="N413" s="25">
        <v>10</v>
      </c>
      <c r="O413" s="22">
        <f t="shared" si="33"/>
        <v>500</v>
      </c>
      <c r="P413" s="24">
        <f t="shared" si="34"/>
        <v>1</v>
      </c>
    </row>
    <row r="414" spans="2:16" ht="24" customHeight="1" x14ac:dyDescent="0.25">
      <c r="B414" s="1">
        <v>277</v>
      </c>
      <c r="C414" s="6">
        <v>9975238</v>
      </c>
      <c r="D414" s="2" t="s">
        <v>395</v>
      </c>
      <c r="E414" s="2" t="s">
        <v>566</v>
      </c>
      <c r="F414" s="2">
        <v>3439344</v>
      </c>
      <c r="G414" s="35" t="s">
        <v>796</v>
      </c>
      <c r="H414">
        <v>5000</v>
      </c>
      <c r="I414" s="43">
        <f t="shared" si="31"/>
        <v>5000</v>
      </c>
      <c r="J414" s="3">
        <v>500</v>
      </c>
      <c r="K414" s="44">
        <f t="shared" si="30"/>
        <v>4500</v>
      </c>
      <c r="L414" s="23">
        <v>0</v>
      </c>
      <c r="M414" s="24">
        <f t="shared" si="32"/>
        <v>0</v>
      </c>
      <c r="N414" s="25">
        <v>10</v>
      </c>
      <c r="O414" s="22">
        <f t="shared" si="33"/>
        <v>500</v>
      </c>
      <c r="P414" s="24">
        <f t="shared" si="34"/>
        <v>1</v>
      </c>
    </row>
    <row r="415" spans="2:16" ht="24" customHeight="1" x14ac:dyDescent="0.25">
      <c r="B415" s="1">
        <v>278</v>
      </c>
      <c r="C415" s="6">
        <v>16155156</v>
      </c>
      <c r="D415" s="2" t="s">
        <v>396</v>
      </c>
      <c r="E415" s="2" t="s">
        <v>569</v>
      </c>
      <c r="F415" s="2">
        <v>6017274</v>
      </c>
      <c r="G415" s="35" t="s">
        <v>631</v>
      </c>
      <c r="H415">
        <v>5000</v>
      </c>
      <c r="I415" s="43">
        <f t="shared" si="31"/>
        <v>5000</v>
      </c>
      <c r="J415" s="3">
        <v>500</v>
      </c>
      <c r="K415" s="44">
        <f t="shared" si="30"/>
        <v>4500</v>
      </c>
      <c r="L415" s="23">
        <v>0</v>
      </c>
      <c r="M415" s="24">
        <f t="shared" si="32"/>
        <v>0</v>
      </c>
      <c r="N415" s="25">
        <v>10</v>
      </c>
      <c r="O415" s="22">
        <f t="shared" si="33"/>
        <v>500</v>
      </c>
      <c r="P415" s="24">
        <f t="shared" si="34"/>
        <v>1</v>
      </c>
    </row>
    <row r="416" spans="2:16" ht="24" customHeight="1" x14ac:dyDescent="0.25">
      <c r="B416" s="1">
        <v>279</v>
      </c>
      <c r="C416" s="6">
        <v>15590503</v>
      </c>
      <c r="D416" s="2" t="s">
        <v>397</v>
      </c>
      <c r="E416" s="2" t="s">
        <v>575</v>
      </c>
      <c r="F416" s="2">
        <v>9103210</v>
      </c>
      <c r="G416" s="35" t="s">
        <v>797</v>
      </c>
      <c r="H416">
        <v>5000</v>
      </c>
      <c r="I416" s="43">
        <f t="shared" si="31"/>
        <v>5000</v>
      </c>
      <c r="J416" s="3">
        <v>500</v>
      </c>
      <c r="K416" s="44">
        <f t="shared" si="30"/>
        <v>4500</v>
      </c>
      <c r="L416" s="23">
        <v>0</v>
      </c>
      <c r="M416" s="24">
        <f t="shared" si="32"/>
        <v>0</v>
      </c>
      <c r="N416" s="25">
        <v>10</v>
      </c>
      <c r="O416" s="22">
        <f t="shared" si="33"/>
        <v>500</v>
      </c>
      <c r="P416" s="24">
        <f t="shared" si="34"/>
        <v>1</v>
      </c>
    </row>
    <row r="417" spans="2:16" ht="24" customHeight="1" x14ac:dyDescent="0.25">
      <c r="B417" s="1">
        <v>279</v>
      </c>
      <c r="C417" s="6">
        <v>16647884</v>
      </c>
      <c r="D417" s="2" t="s">
        <v>398</v>
      </c>
      <c r="E417" s="2" t="s">
        <v>577</v>
      </c>
      <c r="F417" s="2">
        <v>9103210</v>
      </c>
      <c r="G417" s="35" t="s">
        <v>797</v>
      </c>
      <c r="H417">
        <v>5000</v>
      </c>
      <c r="I417" s="43">
        <f t="shared" si="31"/>
        <v>4750</v>
      </c>
      <c r="J417" s="3">
        <v>475</v>
      </c>
      <c r="K417" s="44">
        <f t="shared" si="30"/>
        <v>4275</v>
      </c>
      <c r="L417" s="23">
        <v>0.05</v>
      </c>
      <c r="M417" s="24">
        <f t="shared" si="32"/>
        <v>250</v>
      </c>
      <c r="N417" s="25">
        <v>10</v>
      </c>
      <c r="O417" s="22">
        <f t="shared" si="33"/>
        <v>475</v>
      </c>
      <c r="P417" s="24">
        <f t="shared" si="34"/>
        <v>1</v>
      </c>
    </row>
    <row r="418" spans="2:16" ht="24" customHeight="1" x14ac:dyDescent="0.25">
      <c r="B418" s="1">
        <v>280</v>
      </c>
      <c r="C418" s="6">
        <v>16898656</v>
      </c>
      <c r="D418" s="2" t="s">
        <v>399</v>
      </c>
      <c r="E418" s="2" t="s">
        <v>566</v>
      </c>
      <c r="F418" s="2">
        <v>12955596</v>
      </c>
      <c r="G418" s="35" t="s">
        <v>798</v>
      </c>
      <c r="H418">
        <v>5000</v>
      </c>
      <c r="I418" s="43">
        <f t="shared" si="31"/>
        <v>5000</v>
      </c>
      <c r="J418" s="3">
        <v>500</v>
      </c>
      <c r="K418" s="44">
        <f t="shared" si="30"/>
        <v>4500</v>
      </c>
      <c r="L418" s="23">
        <v>0</v>
      </c>
      <c r="M418" s="24">
        <f t="shared" si="32"/>
        <v>0</v>
      </c>
      <c r="N418" s="25">
        <v>10</v>
      </c>
      <c r="O418" s="22">
        <f t="shared" si="33"/>
        <v>500</v>
      </c>
      <c r="P418" s="24">
        <f t="shared" si="34"/>
        <v>1</v>
      </c>
    </row>
    <row r="419" spans="2:16" ht="24" customHeight="1" x14ac:dyDescent="0.25">
      <c r="B419" s="1">
        <v>281</v>
      </c>
      <c r="C419" s="6">
        <v>14358812</v>
      </c>
      <c r="D419" s="2" t="s">
        <v>400</v>
      </c>
      <c r="E419" s="2" t="s">
        <v>578</v>
      </c>
      <c r="F419" s="2">
        <v>6828090</v>
      </c>
      <c r="G419" s="35" t="s">
        <v>799</v>
      </c>
      <c r="H419">
        <v>5000</v>
      </c>
      <c r="I419" s="43">
        <f t="shared" si="31"/>
        <v>5000</v>
      </c>
      <c r="J419" s="3">
        <v>500</v>
      </c>
      <c r="K419" s="44">
        <f t="shared" si="30"/>
        <v>4500</v>
      </c>
      <c r="L419" s="23">
        <v>0</v>
      </c>
      <c r="M419" s="24">
        <f t="shared" si="32"/>
        <v>0</v>
      </c>
      <c r="N419" s="25">
        <v>10</v>
      </c>
      <c r="O419" s="22">
        <f t="shared" si="33"/>
        <v>500</v>
      </c>
      <c r="P419" s="24">
        <f t="shared" si="34"/>
        <v>1</v>
      </c>
    </row>
    <row r="420" spans="2:16" ht="24" customHeight="1" x14ac:dyDescent="0.25">
      <c r="B420" s="1">
        <v>282</v>
      </c>
      <c r="C420" s="6">
        <v>14290012</v>
      </c>
      <c r="D420" s="2" t="s">
        <v>401</v>
      </c>
      <c r="E420" s="2" t="s">
        <v>566</v>
      </c>
      <c r="F420" s="2">
        <v>4951383</v>
      </c>
      <c r="G420" s="35" t="s">
        <v>800</v>
      </c>
      <c r="H420">
        <v>5000</v>
      </c>
      <c r="I420" s="43">
        <f t="shared" si="31"/>
        <v>5000</v>
      </c>
      <c r="J420" s="3">
        <v>500</v>
      </c>
      <c r="K420" s="44">
        <f t="shared" si="30"/>
        <v>4500</v>
      </c>
      <c r="L420" s="23">
        <v>0</v>
      </c>
      <c r="M420" s="24">
        <f t="shared" si="32"/>
        <v>0</v>
      </c>
      <c r="N420" s="25">
        <v>10</v>
      </c>
      <c r="O420" s="22">
        <f t="shared" si="33"/>
        <v>500</v>
      </c>
      <c r="P420" s="24">
        <f t="shared" si="34"/>
        <v>1</v>
      </c>
    </row>
    <row r="421" spans="2:16" ht="24" customHeight="1" x14ac:dyDescent="0.25">
      <c r="B421" s="1">
        <v>283</v>
      </c>
      <c r="C421" s="6">
        <v>17224792</v>
      </c>
      <c r="D421" s="2" t="s">
        <v>402</v>
      </c>
      <c r="E421" s="2" t="s">
        <v>568</v>
      </c>
      <c r="F421" s="2">
        <v>6777897</v>
      </c>
      <c r="G421" s="35" t="s">
        <v>801</v>
      </c>
      <c r="H421">
        <v>5000</v>
      </c>
      <c r="I421" s="43">
        <f t="shared" si="31"/>
        <v>5000</v>
      </c>
      <c r="J421" s="3">
        <v>500</v>
      </c>
      <c r="K421" s="44">
        <f t="shared" si="30"/>
        <v>4500</v>
      </c>
      <c r="L421" s="23">
        <v>0</v>
      </c>
      <c r="M421" s="24">
        <f t="shared" si="32"/>
        <v>0</v>
      </c>
      <c r="N421" s="25">
        <v>10</v>
      </c>
      <c r="O421" s="22">
        <f t="shared" si="33"/>
        <v>500</v>
      </c>
      <c r="P421" s="24">
        <f t="shared" si="34"/>
        <v>1</v>
      </c>
    </row>
    <row r="422" spans="2:16" ht="24" customHeight="1" x14ac:dyDescent="0.25">
      <c r="B422" s="1">
        <v>284</v>
      </c>
      <c r="C422" s="6">
        <v>15137214</v>
      </c>
      <c r="D422" s="2" t="s">
        <v>403</v>
      </c>
      <c r="E422" s="2" t="s">
        <v>575</v>
      </c>
      <c r="F422" s="2">
        <v>5981873</v>
      </c>
      <c r="G422" s="35" t="s">
        <v>674</v>
      </c>
      <c r="H422">
        <v>5000</v>
      </c>
      <c r="I422" s="43">
        <f t="shared" si="31"/>
        <v>5000</v>
      </c>
      <c r="J422" s="3">
        <v>500</v>
      </c>
      <c r="K422" s="44">
        <f t="shared" si="30"/>
        <v>4500</v>
      </c>
      <c r="L422" s="23">
        <v>0</v>
      </c>
      <c r="M422" s="24">
        <f t="shared" si="32"/>
        <v>0</v>
      </c>
      <c r="N422" s="25">
        <v>10</v>
      </c>
      <c r="O422" s="22">
        <f t="shared" si="33"/>
        <v>500</v>
      </c>
      <c r="P422" s="24">
        <f t="shared" si="34"/>
        <v>1</v>
      </c>
    </row>
    <row r="423" spans="2:16" ht="24" customHeight="1" x14ac:dyDescent="0.25">
      <c r="B423" s="1">
        <v>285</v>
      </c>
      <c r="C423" s="6">
        <v>17523462</v>
      </c>
      <c r="D423" s="2" t="s">
        <v>404</v>
      </c>
      <c r="E423" s="2" t="s">
        <v>571</v>
      </c>
      <c r="F423" s="2">
        <v>6059179</v>
      </c>
      <c r="G423" s="35" t="s">
        <v>622</v>
      </c>
      <c r="H423">
        <v>5000</v>
      </c>
      <c r="I423" s="43">
        <f t="shared" si="31"/>
        <v>5000</v>
      </c>
      <c r="J423" s="3">
        <v>500</v>
      </c>
      <c r="K423" s="44">
        <f t="shared" si="30"/>
        <v>4500</v>
      </c>
      <c r="L423" s="23">
        <v>0</v>
      </c>
      <c r="M423" s="24">
        <f t="shared" si="32"/>
        <v>0</v>
      </c>
      <c r="N423" s="25">
        <v>10</v>
      </c>
      <c r="O423" s="22">
        <f t="shared" si="33"/>
        <v>500</v>
      </c>
      <c r="P423" s="24">
        <f t="shared" si="34"/>
        <v>1</v>
      </c>
    </row>
    <row r="424" spans="2:16" ht="24" customHeight="1" x14ac:dyDescent="0.25">
      <c r="B424" s="1">
        <v>286</v>
      </c>
      <c r="C424" s="6">
        <v>15137214</v>
      </c>
      <c r="D424" s="2" t="s">
        <v>403</v>
      </c>
      <c r="E424" s="2" t="s">
        <v>575</v>
      </c>
      <c r="F424" s="2">
        <v>5981873</v>
      </c>
      <c r="G424" s="35" t="s">
        <v>674</v>
      </c>
      <c r="H424">
        <v>5000</v>
      </c>
      <c r="I424" s="43">
        <f t="shared" si="31"/>
        <v>5000</v>
      </c>
      <c r="J424" s="3">
        <v>1000</v>
      </c>
      <c r="K424" s="44">
        <f t="shared" si="30"/>
        <v>4000</v>
      </c>
      <c r="L424" s="23">
        <v>0</v>
      </c>
      <c r="M424" s="24">
        <f t="shared" si="32"/>
        <v>0</v>
      </c>
      <c r="N424" s="25">
        <v>10</v>
      </c>
      <c r="O424" s="22">
        <f t="shared" si="33"/>
        <v>500</v>
      </c>
      <c r="P424" s="24">
        <f t="shared" si="34"/>
        <v>2</v>
      </c>
    </row>
    <row r="425" spans="2:16" ht="24" customHeight="1" thickBot="1" x14ac:dyDescent="0.3">
      <c r="B425" s="1">
        <v>287</v>
      </c>
      <c r="C425" s="26">
        <v>17071155</v>
      </c>
      <c r="D425" s="2" t="s">
        <v>405</v>
      </c>
      <c r="E425" s="17" t="s">
        <v>568</v>
      </c>
      <c r="F425" s="17">
        <v>6799003</v>
      </c>
      <c r="G425" s="37" t="s">
        <v>802</v>
      </c>
      <c r="H425">
        <v>5000</v>
      </c>
      <c r="I425" s="43">
        <f t="shared" si="31"/>
        <v>5000</v>
      </c>
      <c r="J425" s="3">
        <v>500</v>
      </c>
      <c r="K425" s="44">
        <f t="shared" si="30"/>
        <v>4500</v>
      </c>
      <c r="L425" s="23">
        <v>0</v>
      </c>
      <c r="M425" s="24">
        <f t="shared" si="32"/>
        <v>0</v>
      </c>
      <c r="N425" s="25">
        <v>10</v>
      </c>
      <c r="O425" s="22">
        <f t="shared" si="33"/>
        <v>500</v>
      </c>
      <c r="P425" s="24">
        <f t="shared" si="34"/>
        <v>1</v>
      </c>
    </row>
    <row r="426" spans="2:16" ht="24" customHeight="1" x14ac:dyDescent="0.25">
      <c r="B426" s="9"/>
      <c r="C426" s="9"/>
      <c r="D426" s="2" t="s">
        <v>406</v>
      </c>
      <c r="E426" s="10" t="s">
        <v>580</v>
      </c>
      <c r="F426" s="10"/>
      <c r="G426" s="36"/>
      <c r="H426">
        <v>5000</v>
      </c>
      <c r="I426" s="43">
        <f t="shared" si="31"/>
        <v>4600</v>
      </c>
      <c r="J426" s="48">
        <v>460</v>
      </c>
      <c r="K426" s="44">
        <f t="shared" si="30"/>
        <v>4140</v>
      </c>
      <c r="L426" s="23">
        <v>0.08</v>
      </c>
      <c r="M426" s="24">
        <f t="shared" si="32"/>
        <v>400</v>
      </c>
      <c r="N426" s="25">
        <v>10</v>
      </c>
      <c r="O426" s="22">
        <f t="shared" si="33"/>
        <v>460</v>
      </c>
      <c r="P426" s="24">
        <f t="shared" si="34"/>
        <v>1</v>
      </c>
    </row>
    <row r="427" spans="2:16" ht="24" customHeight="1" x14ac:dyDescent="0.25">
      <c r="B427" s="1">
        <v>288</v>
      </c>
      <c r="C427" s="29">
        <v>15397717</v>
      </c>
      <c r="D427" s="2" t="s">
        <v>407</v>
      </c>
      <c r="E427" s="19" t="s">
        <v>579</v>
      </c>
      <c r="F427" s="19">
        <v>6800131</v>
      </c>
      <c r="G427" s="40" t="s">
        <v>667</v>
      </c>
      <c r="H427">
        <v>5000</v>
      </c>
      <c r="I427" s="43">
        <f t="shared" si="31"/>
        <v>5000</v>
      </c>
      <c r="J427" s="3">
        <v>500</v>
      </c>
      <c r="K427" s="44">
        <f t="shared" si="30"/>
        <v>4500</v>
      </c>
      <c r="L427" s="23">
        <v>0</v>
      </c>
      <c r="M427" s="24">
        <f t="shared" si="32"/>
        <v>0</v>
      </c>
      <c r="N427" s="25">
        <v>10</v>
      </c>
      <c r="O427" s="22">
        <f t="shared" si="33"/>
        <v>500</v>
      </c>
      <c r="P427" s="24">
        <f t="shared" si="34"/>
        <v>1</v>
      </c>
    </row>
    <row r="428" spans="2:16" ht="24" customHeight="1" x14ac:dyDescent="0.25">
      <c r="B428" s="1">
        <v>289</v>
      </c>
      <c r="C428" s="6">
        <v>16727385</v>
      </c>
      <c r="D428" s="2" t="s">
        <v>408</v>
      </c>
      <c r="E428" s="2" t="s">
        <v>580</v>
      </c>
      <c r="F428" s="2">
        <v>10072878</v>
      </c>
      <c r="G428" s="35" t="s">
        <v>803</v>
      </c>
      <c r="H428">
        <v>5000</v>
      </c>
      <c r="I428" s="43">
        <f t="shared" si="31"/>
        <v>5000</v>
      </c>
      <c r="J428" s="3">
        <v>500</v>
      </c>
      <c r="K428" s="44">
        <f t="shared" si="30"/>
        <v>4500</v>
      </c>
      <c r="L428" s="23">
        <v>0</v>
      </c>
      <c r="M428" s="24">
        <f t="shared" si="32"/>
        <v>0</v>
      </c>
      <c r="N428" s="25">
        <v>10</v>
      </c>
      <c r="O428" s="22">
        <f t="shared" si="33"/>
        <v>500</v>
      </c>
      <c r="P428" s="24">
        <f t="shared" si="34"/>
        <v>1</v>
      </c>
    </row>
    <row r="429" spans="2:16" ht="24" customHeight="1" x14ac:dyDescent="0.25">
      <c r="B429" s="1">
        <v>290</v>
      </c>
      <c r="C429" s="6">
        <v>16475535</v>
      </c>
      <c r="D429" s="2" t="s">
        <v>409</v>
      </c>
      <c r="E429" s="2" t="s">
        <v>581</v>
      </c>
      <c r="F429" s="2">
        <v>6137691</v>
      </c>
      <c r="G429" s="35" t="s">
        <v>636</v>
      </c>
      <c r="H429">
        <v>5000</v>
      </c>
      <c r="I429" s="43">
        <f t="shared" si="31"/>
        <v>5000</v>
      </c>
      <c r="J429" s="3">
        <v>500</v>
      </c>
      <c r="K429" s="44">
        <f t="shared" si="30"/>
        <v>4500</v>
      </c>
      <c r="L429" s="23">
        <v>0</v>
      </c>
      <c r="M429" s="24">
        <f t="shared" si="32"/>
        <v>0</v>
      </c>
      <c r="N429" s="25">
        <v>10</v>
      </c>
      <c r="O429" s="22">
        <f t="shared" si="33"/>
        <v>500</v>
      </c>
      <c r="P429" s="24">
        <f t="shared" si="34"/>
        <v>1</v>
      </c>
    </row>
    <row r="430" spans="2:16" ht="24" customHeight="1" x14ac:dyDescent="0.25">
      <c r="B430" s="1">
        <v>291</v>
      </c>
      <c r="C430" s="6">
        <v>16897593</v>
      </c>
      <c r="D430" s="2" t="s">
        <v>410</v>
      </c>
      <c r="E430" s="2" t="s">
        <v>575</v>
      </c>
      <c r="F430" s="2">
        <v>6757776</v>
      </c>
      <c r="G430" s="35" t="s">
        <v>804</v>
      </c>
      <c r="H430">
        <v>5000</v>
      </c>
      <c r="I430" s="43">
        <f t="shared" si="31"/>
        <v>4750</v>
      </c>
      <c r="J430" s="3">
        <v>4750</v>
      </c>
      <c r="K430" s="44">
        <f t="shared" si="30"/>
        <v>0</v>
      </c>
      <c r="L430" s="23">
        <v>0.05</v>
      </c>
      <c r="M430" s="24">
        <f t="shared" si="32"/>
        <v>250</v>
      </c>
      <c r="N430" s="25">
        <v>10</v>
      </c>
      <c r="O430" s="22">
        <f t="shared" si="33"/>
        <v>475</v>
      </c>
      <c r="P430" s="24">
        <f t="shared" si="34"/>
        <v>10</v>
      </c>
    </row>
    <row r="431" spans="2:16" ht="24" customHeight="1" x14ac:dyDescent="0.25">
      <c r="B431" s="1">
        <v>292</v>
      </c>
      <c r="C431" s="6">
        <v>13180902</v>
      </c>
      <c r="D431" s="2" t="s">
        <v>411</v>
      </c>
      <c r="E431" s="2" t="s">
        <v>582</v>
      </c>
      <c r="F431" s="2">
        <v>6030470</v>
      </c>
      <c r="G431" s="35" t="s">
        <v>805</v>
      </c>
      <c r="H431">
        <v>5000</v>
      </c>
      <c r="I431" s="43">
        <f t="shared" si="31"/>
        <v>4750</v>
      </c>
      <c r="J431" s="3">
        <v>4750</v>
      </c>
      <c r="K431" s="44">
        <f t="shared" si="30"/>
        <v>0</v>
      </c>
      <c r="L431" s="23">
        <v>0.05</v>
      </c>
      <c r="M431" s="24">
        <f t="shared" si="32"/>
        <v>250</v>
      </c>
      <c r="N431" s="25">
        <v>10</v>
      </c>
      <c r="O431" s="22">
        <f t="shared" si="33"/>
        <v>475</v>
      </c>
      <c r="P431" s="24">
        <f t="shared" si="34"/>
        <v>10</v>
      </c>
    </row>
    <row r="432" spans="2:16" ht="24" customHeight="1" x14ac:dyDescent="0.25">
      <c r="B432" s="1">
        <v>292</v>
      </c>
      <c r="C432" s="6">
        <v>15574292</v>
      </c>
      <c r="D432" s="2" t="s">
        <v>412</v>
      </c>
      <c r="E432" s="2" t="s">
        <v>583</v>
      </c>
      <c r="F432" s="2">
        <v>6030471</v>
      </c>
      <c r="G432" s="35" t="s">
        <v>805</v>
      </c>
      <c r="H432">
        <v>5000</v>
      </c>
      <c r="I432" s="43">
        <f t="shared" si="31"/>
        <v>4750</v>
      </c>
      <c r="J432" s="3">
        <v>4750</v>
      </c>
      <c r="K432" s="44">
        <f t="shared" si="30"/>
        <v>0</v>
      </c>
      <c r="L432" s="23">
        <v>0.05</v>
      </c>
      <c r="M432" s="24">
        <f t="shared" si="32"/>
        <v>250</v>
      </c>
      <c r="N432" s="25">
        <v>10</v>
      </c>
      <c r="O432" s="22">
        <f t="shared" si="33"/>
        <v>475</v>
      </c>
      <c r="P432" s="24">
        <f t="shared" si="34"/>
        <v>10</v>
      </c>
    </row>
    <row r="433" spans="2:16" ht="24" customHeight="1" x14ac:dyDescent="0.25">
      <c r="B433" s="1">
        <v>293</v>
      </c>
      <c r="C433" s="6">
        <v>15604284</v>
      </c>
      <c r="D433" s="2" t="s">
        <v>413</v>
      </c>
      <c r="E433" s="2" t="s">
        <v>580</v>
      </c>
      <c r="F433" s="2">
        <v>9898103</v>
      </c>
      <c r="G433" s="35" t="s">
        <v>806</v>
      </c>
      <c r="H433">
        <v>5000</v>
      </c>
      <c r="I433" s="43">
        <f t="shared" si="31"/>
        <v>5000</v>
      </c>
      <c r="J433" s="3">
        <v>1000</v>
      </c>
      <c r="K433" s="44">
        <f t="shared" si="30"/>
        <v>4000</v>
      </c>
      <c r="L433" s="23">
        <v>0</v>
      </c>
      <c r="M433" s="24">
        <f t="shared" si="32"/>
        <v>0</v>
      </c>
      <c r="N433" s="25">
        <v>10</v>
      </c>
      <c r="O433" s="22">
        <f t="shared" si="33"/>
        <v>500</v>
      </c>
      <c r="P433" s="24">
        <f t="shared" si="34"/>
        <v>2</v>
      </c>
    </row>
    <row r="434" spans="2:16" ht="24" customHeight="1" x14ac:dyDescent="0.25">
      <c r="B434" s="1">
        <v>294</v>
      </c>
      <c r="C434" s="6">
        <v>15082111</v>
      </c>
      <c r="D434" s="2" t="s">
        <v>414</v>
      </c>
      <c r="E434" s="2" t="s">
        <v>584</v>
      </c>
      <c r="F434" s="2">
        <v>6097225</v>
      </c>
      <c r="G434" s="35" t="s">
        <v>761</v>
      </c>
      <c r="H434">
        <v>5000</v>
      </c>
      <c r="I434" s="43">
        <f t="shared" si="31"/>
        <v>5000</v>
      </c>
      <c r="J434" s="3">
        <v>1000</v>
      </c>
      <c r="K434" s="44">
        <f t="shared" si="30"/>
        <v>4000</v>
      </c>
      <c r="L434" s="23">
        <v>0</v>
      </c>
      <c r="M434" s="24">
        <f t="shared" si="32"/>
        <v>0</v>
      </c>
      <c r="N434" s="25">
        <v>10</v>
      </c>
      <c r="O434" s="22">
        <f t="shared" si="33"/>
        <v>500</v>
      </c>
      <c r="P434" s="24">
        <f t="shared" si="34"/>
        <v>2</v>
      </c>
    </row>
    <row r="435" spans="2:16" ht="24" customHeight="1" x14ac:dyDescent="0.25">
      <c r="B435" s="1">
        <v>295</v>
      </c>
      <c r="C435" s="6">
        <v>14782959</v>
      </c>
      <c r="D435" s="2" t="s">
        <v>415</v>
      </c>
      <c r="E435" s="2" t="s">
        <v>583</v>
      </c>
      <c r="F435" s="2">
        <v>9106224</v>
      </c>
      <c r="G435" s="35" t="s">
        <v>807</v>
      </c>
      <c r="H435">
        <v>5000</v>
      </c>
      <c r="I435" s="43">
        <f t="shared" si="31"/>
        <v>4750</v>
      </c>
      <c r="J435" s="3">
        <v>4750</v>
      </c>
      <c r="K435" s="44">
        <f t="shared" si="30"/>
        <v>0</v>
      </c>
      <c r="L435" s="23">
        <v>0.05</v>
      </c>
      <c r="M435" s="24">
        <f t="shared" si="32"/>
        <v>250</v>
      </c>
      <c r="N435" s="25">
        <v>10</v>
      </c>
      <c r="O435" s="22">
        <f t="shared" si="33"/>
        <v>475</v>
      </c>
      <c r="P435" s="24">
        <f t="shared" si="34"/>
        <v>10</v>
      </c>
    </row>
    <row r="436" spans="2:16" ht="24" customHeight="1" x14ac:dyDescent="0.25">
      <c r="B436" s="1">
        <v>296</v>
      </c>
      <c r="C436" s="6">
        <v>9951881</v>
      </c>
      <c r="D436" s="2" t="s">
        <v>416</v>
      </c>
      <c r="E436" s="2" t="s">
        <v>585</v>
      </c>
      <c r="F436" s="2">
        <v>6048109</v>
      </c>
      <c r="G436" s="35" t="s">
        <v>656</v>
      </c>
      <c r="H436">
        <v>5000</v>
      </c>
      <c r="I436" s="43">
        <f t="shared" si="31"/>
        <v>5000</v>
      </c>
      <c r="J436" s="3">
        <v>500</v>
      </c>
      <c r="K436" s="44">
        <f t="shared" si="30"/>
        <v>4500</v>
      </c>
      <c r="L436" s="23">
        <v>0</v>
      </c>
      <c r="M436" s="24">
        <f t="shared" si="32"/>
        <v>0</v>
      </c>
      <c r="N436" s="25">
        <v>10</v>
      </c>
      <c r="O436" s="22">
        <f t="shared" si="33"/>
        <v>500</v>
      </c>
      <c r="P436" s="24">
        <f t="shared" si="34"/>
        <v>1</v>
      </c>
    </row>
    <row r="437" spans="2:16" ht="24" customHeight="1" x14ac:dyDescent="0.25">
      <c r="B437" s="1">
        <v>296</v>
      </c>
      <c r="C437" s="6">
        <v>13022257</v>
      </c>
      <c r="D437" s="2" t="s">
        <v>417</v>
      </c>
      <c r="E437" s="2" t="s">
        <v>578</v>
      </c>
      <c r="F437" s="2">
        <v>6048110</v>
      </c>
      <c r="G437" s="35" t="s">
        <v>656</v>
      </c>
      <c r="H437">
        <v>5000</v>
      </c>
      <c r="I437" s="43">
        <f t="shared" si="31"/>
        <v>4750</v>
      </c>
      <c r="J437" s="3">
        <v>475</v>
      </c>
      <c r="K437" s="44">
        <f t="shared" si="30"/>
        <v>4275</v>
      </c>
      <c r="L437" s="23">
        <v>0.05</v>
      </c>
      <c r="M437" s="24">
        <f t="shared" si="32"/>
        <v>250</v>
      </c>
      <c r="N437" s="25">
        <v>10</v>
      </c>
      <c r="O437" s="22">
        <f t="shared" si="33"/>
        <v>475</v>
      </c>
      <c r="P437" s="24">
        <f t="shared" si="34"/>
        <v>1</v>
      </c>
    </row>
    <row r="438" spans="2:16" ht="24" customHeight="1" x14ac:dyDescent="0.25">
      <c r="B438" s="1">
        <v>297</v>
      </c>
      <c r="C438" s="6">
        <v>14627922</v>
      </c>
      <c r="D438" s="2" t="s">
        <v>418</v>
      </c>
      <c r="E438" s="2" t="s">
        <v>585</v>
      </c>
      <c r="F438" s="2">
        <v>4951383</v>
      </c>
      <c r="G438" s="35" t="s">
        <v>808</v>
      </c>
      <c r="H438">
        <v>5000</v>
      </c>
      <c r="I438" s="43">
        <f t="shared" si="31"/>
        <v>4750</v>
      </c>
      <c r="J438" s="3">
        <v>4750</v>
      </c>
      <c r="K438" s="44">
        <f t="shared" si="30"/>
        <v>0</v>
      </c>
      <c r="L438" s="23">
        <v>0.05</v>
      </c>
      <c r="M438" s="24">
        <f t="shared" si="32"/>
        <v>250</v>
      </c>
      <c r="N438" s="25">
        <v>10</v>
      </c>
      <c r="O438" s="22">
        <f t="shared" si="33"/>
        <v>475</v>
      </c>
      <c r="P438" s="24">
        <f t="shared" si="34"/>
        <v>10</v>
      </c>
    </row>
    <row r="439" spans="2:16" ht="24" customHeight="1" x14ac:dyDescent="0.25">
      <c r="B439" s="1">
        <v>298</v>
      </c>
      <c r="C439" s="6">
        <v>13640335</v>
      </c>
      <c r="D439" s="2" t="s">
        <v>419</v>
      </c>
      <c r="E439" s="2" t="s">
        <v>582</v>
      </c>
      <c r="F439" s="2">
        <v>7023556</v>
      </c>
      <c r="G439" s="35" t="s">
        <v>809</v>
      </c>
      <c r="H439">
        <v>5000</v>
      </c>
      <c r="I439" s="43">
        <f t="shared" si="31"/>
        <v>4750</v>
      </c>
      <c r="J439" s="3">
        <v>4750</v>
      </c>
      <c r="K439" s="44">
        <f t="shared" si="30"/>
        <v>0</v>
      </c>
      <c r="L439" s="23">
        <v>0.05</v>
      </c>
      <c r="M439" s="24">
        <f t="shared" si="32"/>
        <v>250</v>
      </c>
      <c r="N439" s="25">
        <v>10</v>
      </c>
      <c r="O439" s="22">
        <f t="shared" si="33"/>
        <v>475</v>
      </c>
      <c r="P439" s="24">
        <f t="shared" si="34"/>
        <v>10</v>
      </c>
    </row>
    <row r="440" spans="2:16" ht="24" customHeight="1" x14ac:dyDescent="0.25">
      <c r="B440" s="1">
        <v>299</v>
      </c>
      <c r="C440" s="6">
        <v>15038055</v>
      </c>
      <c r="D440" s="2" t="s">
        <v>420</v>
      </c>
      <c r="E440" s="2" t="s">
        <v>583</v>
      </c>
      <c r="F440" s="2">
        <v>6749840</v>
      </c>
      <c r="G440" s="35" t="s">
        <v>797</v>
      </c>
      <c r="H440">
        <v>5000</v>
      </c>
      <c r="I440" s="43">
        <f t="shared" si="31"/>
        <v>5000</v>
      </c>
      <c r="J440" s="3">
        <v>500</v>
      </c>
      <c r="K440" s="44">
        <f t="shared" si="30"/>
        <v>4500</v>
      </c>
      <c r="L440" s="23">
        <v>0</v>
      </c>
      <c r="M440" s="24">
        <f t="shared" si="32"/>
        <v>0</v>
      </c>
      <c r="N440" s="25">
        <v>10</v>
      </c>
      <c r="O440" s="22">
        <f t="shared" si="33"/>
        <v>500</v>
      </c>
      <c r="P440" s="24">
        <f t="shared" si="34"/>
        <v>1</v>
      </c>
    </row>
    <row r="441" spans="2:16" ht="24" customHeight="1" x14ac:dyDescent="0.25">
      <c r="B441" s="1">
        <v>300</v>
      </c>
      <c r="C441" s="6">
        <v>14401786</v>
      </c>
      <c r="D441" s="2" t="s">
        <v>421</v>
      </c>
      <c r="E441" s="2" t="s">
        <v>582</v>
      </c>
      <c r="F441" s="2">
        <v>4984599</v>
      </c>
      <c r="G441" s="35" t="s">
        <v>810</v>
      </c>
      <c r="H441">
        <v>5000</v>
      </c>
      <c r="I441" s="43">
        <f t="shared" si="31"/>
        <v>5000</v>
      </c>
      <c r="J441" s="3">
        <v>500</v>
      </c>
      <c r="K441" s="44">
        <f t="shared" si="30"/>
        <v>4500</v>
      </c>
      <c r="L441" s="23">
        <v>0</v>
      </c>
      <c r="M441" s="24">
        <f t="shared" si="32"/>
        <v>0</v>
      </c>
      <c r="N441" s="25">
        <v>10</v>
      </c>
      <c r="O441" s="22">
        <f t="shared" si="33"/>
        <v>500</v>
      </c>
      <c r="P441" s="24">
        <f t="shared" si="34"/>
        <v>1</v>
      </c>
    </row>
    <row r="442" spans="2:16" ht="24" customHeight="1" x14ac:dyDescent="0.25">
      <c r="B442" s="1">
        <v>301</v>
      </c>
      <c r="C442" s="6">
        <v>14782126</v>
      </c>
      <c r="D442" s="2" t="s">
        <v>422</v>
      </c>
      <c r="E442" s="2" t="s">
        <v>579</v>
      </c>
      <c r="F442" s="2">
        <v>6093899</v>
      </c>
      <c r="G442" s="35" t="s">
        <v>738</v>
      </c>
      <c r="H442">
        <v>5000</v>
      </c>
      <c r="I442" s="43">
        <f t="shared" si="31"/>
        <v>5000</v>
      </c>
      <c r="J442" s="3">
        <v>500</v>
      </c>
      <c r="K442" s="44">
        <f t="shared" si="30"/>
        <v>4500</v>
      </c>
      <c r="L442" s="23">
        <v>0</v>
      </c>
      <c r="M442" s="24">
        <f t="shared" si="32"/>
        <v>0</v>
      </c>
      <c r="N442" s="25">
        <v>10</v>
      </c>
      <c r="O442" s="22">
        <f t="shared" si="33"/>
        <v>500</v>
      </c>
      <c r="P442" s="24">
        <f t="shared" si="34"/>
        <v>1</v>
      </c>
    </row>
    <row r="443" spans="2:16" ht="24" customHeight="1" x14ac:dyDescent="0.25">
      <c r="B443" s="1">
        <v>301</v>
      </c>
      <c r="C443" s="6"/>
      <c r="D443" s="2" t="s">
        <v>423</v>
      </c>
      <c r="E443" s="10"/>
      <c r="F443" s="10"/>
      <c r="G443" s="36"/>
      <c r="H443">
        <v>5000</v>
      </c>
      <c r="I443" s="43">
        <f t="shared" si="31"/>
        <v>4750</v>
      </c>
      <c r="J443" s="3">
        <v>475</v>
      </c>
      <c r="K443" s="44">
        <f t="shared" si="30"/>
        <v>4275</v>
      </c>
      <c r="L443" s="23">
        <v>0.05</v>
      </c>
      <c r="M443" s="24">
        <f t="shared" si="32"/>
        <v>250</v>
      </c>
      <c r="N443" s="25">
        <v>10</v>
      </c>
      <c r="O443" s="22">
        <f t="shared" si="33"/>
        <v>475</v>
      </c>
      <c r="P443" s="24">
        <f t="shared" si="34"/>
        <v>1</v>
      </c>
    </row>
    <row r="444" spans="2:16" ht="24" customHeight="1" x14ac:dyDescent="0.25">
      <c r="B444" s="1">
        <v>302</v>
      </c>
      <c r="C444" s="6">
        <v>15909124</v>
      </c>
      <c r="D444" s="2" t="s">
        <v>424</v>
      </c>
      <c r="E444" s="2" t="s">
        <v>583</v>
      </c>
      <c r="F444" s="2">
        <v>4953804</v>
      </c>
      <c r="G444" s="35" t="s">
        <v>811</v>
      </c>
      <c r="H444">
        <v>5000</v>
      </c>
      <c r="I444" s="43">
        <f t="shared" si="31"/>
        <v>5000</v>
      </c>
      <c r="J444" s="3">
        <v>500</v>
      </c>
      <c r="K444" s="44">
        <f t="shared" si="30"/>
        <v>4500</v>
      </c>
      <c r="L444" s="23">
        <v>0</v>
      </c>
      <c r="M444" s="24">
        <f t="shared" si="32"/>
        <v>0</v>
      </c>
      <c r="N444" s="25">
        <v>10</v>
      </c>
      <c r="O444" s="22">
        <f t="shared" si="33"/>
        <v>500</v>
      </c>
      <c r="P444" s="24">
        <f t="shared" si="34"/>
        <v>1</v>
      </c>
    </row>
    <row r="445" spans="2:16" ht="24" customHeight="1" x14ac:dyDescent="0.25">
      <c r="B445" s="1">
        <v>303</v>
      </c>
      <c r="C445" s="6">
        <v>9880442</v>
      </c>
      <c r="D445" s="2" t="s">
        <v>425</v>
      </c>
      <c r="E445" s="2" t="s">
        <v>582</v>
      </c>
      <c r="F445" s="2">
        <v>8439456</v>
      </c>
      <c r="G445" s="35" t="s">
        <v>707</v>
      </c>
      <c r="H445">
        <v>5000</v>
      </c>
      <c r="I445" s="43">
        <f t="shared" si="31"/>
        <v>5000</v>
      </c>
      <c r="J445" s="3">
        <v>500</v>
      </c>
      <c r="K445" s="44">
        <f t="shared" si="30"/>
        <v>4500</v>
      </c>
      <c r="L445" s="23">
        <v>0</v>
      </c>
      <c r="M445" s="24">
        <f t="shared" si="32"/>
        <v>0</v>
      </c>
      <c r="N445" s="25">
        <v>10</v>
      </c>
      <c r="O445" s="22">
        <f t="shared" si="33"/>
        <v>500</v>
      </c>
      <c r="P445" s="24">
        <f t="shared" si="34"/>
        <v>1</v>
      </c>
    </row>
    <row r="446" spans="2:16" ht="24" customHeight="1" x14ac:dyDescent="0.25">
      <c r="B446" s="1">
        <v>304</v>
      </c>
      <c r="C446" s="6">
        <v>13846944</v>
      </c>
      <c r="D446" s="2" t="s">
        <v>426</v>
      </c>
      <c r="E446" s="2" t="s">
        <v>585</v>
      </c>
      <c r="F446" s="2">
        <v>6032026018</v>
      </c>
      <c r="G446" s="35" t="s">
        <v>640</v>
      </c>
      <c r="H446">
        <v>5000</v>
      </c>
      <c r="I446" s="43">
        <f t="shared" si="31"/>
        <v>5000</v>
      </c>
      <c r="J446" s="3">
        <v>500</v>
      </c>
      <c r="K446" s="44">
        <f t="shared" ref="K446:K509" si="35">I446-J446</f>
        <v>4500</v>
      </c>
      <c r="L446" s="23">
        <v>0</v>
      </c>
      <c r="M446" s="24">
        <f t="shared" si="32"/>
        <v>0</v>
      </c>
      <c r="N446" s="25">
        <v>10</v>
      </c>
      <c r="O446" s="22">
        <f t="shared" si="33"/>
        <v>500</v>
      </c>
      <c r="P446" s="24">
        <f t="shared" si="34"/>
        <v>1</v>
      </c>
    </row>
    <row r="447" spans="2:16" ht="24" customHeight="1" x14ac:dyDescent="0.25">
      <c r="B447" s="1">
        <v>304</v>
      </c>
      <c r="C447" s="6">
        <v>16275068</v>
      </c>
      <c r="D447" s="2" t="s">
        <v>427</v>
      </c>
      <c r="E447" s="2" t="s">
        <v>567</v>
      </c>
      <c r="F447" s="2">
        <v>6032026019</v>
      </c>
      <c r="G447" s="35" t="s">
        <v>640</v>
      </c>
      <c r="H447">
        <v>5000</v>
      </c>
      <c r="I447" s="43">
        <f t="shared" si="31"/>
        <v>4750</v>
      </c>
      <c r="J447" s="3">
        <v>475</v>
      </c>
      <c r="K447" s="44">
        <f t="shared" si="35"/>
        <v>4275</v>
      </c>
      <c r="L447" s="23">
        <v>0.05</v>
      </c>
      <c r="M447" s="24">
        <f t="shared" si="32"/>
        <v>250</v>
      </c>
      <c r="N447" s="25">
        <v>10</v>
      </c>
      <c r="O447" s="22">
        <f t="shared" si="33"/>
        <v>475</v>
      </c>
      <c r="P447" s="24">
        <f t="shared" si="34"/>
        <v>1</v>
      </c>
    </row>
    <row r="448" spans="2:16" ht="24" customHeight="1" x14ac:dyDescent="0.25">
      <c r="B448" s="1">
        <v>305</v>
      </c>
      <c r="C448" s="6">
        <v>13377042</v>
      </c>
      <c r="D448" s="2" t="s">
        <v>428</v>
      </c>
      <c r="E448" s="2" t="s">
        <v>582</v>
      </c>
      <c r="F448" s="2">
        <v>3558014</v>
      </c>
      <c r="G448" s="35" t="s">
        <v>812</v>
      </c>
      <c r="H448">
        <v>5000</v>
      </c>
      <c r="I448" s="43">
        <f t="shared" si="31"/>
        <v>5000</v>
      </c>
      <c r="J448" s="3">
        <v>500</v>
      </c>
      <c r="K448" s="44">
        <f t="shared" si="35"/>
        <v>4500</v>
      </c>
      <c r="L448" s="23">
        <v>0</v>
      </c>
      <c r="M448" s="24">
        <f t="shared" si="32"/>
        <v>0</v>
      </c>
      <c r="N448" s="25">
        <v>10</v>
      </c>
      <c r="O448" s="22">
        <f t="shared" si="33"/>
        <v>500</v>
      </c>
      <c r="P448" s="24">
        <f t="shared" si="34"/>
        <v>1</v>
      </c>
    </row>
    <row r="449" spans="2:16" ht="24" customHeight="1" x14ac:dyDescent="0.25">
      <c r="B449" s="1">
        <v>306</v>
      </c>
      <c r="C449" s="6">
        <v>13438048</v>
      </c>
      <c r="D449" s="2" t="s">
        <v>429</v>
      </c>
      <c r="E449" s="2" t="s">
        <v>578</v>
      </c>
      <c r="F449" s="2">
        <v>2535791018</v>
      </c>
      <c r="G449" s="35" t="s">
        <v>707</v>
      </c>
      <c r="H449">
        <v>5000</v>
      </c>
      <c r="I449" s="43">
        <f t="shared" si="31"/>
        <v>5000</v>
      </c>
      <c r="J449" s="3">
        <v>500</v>
      </c>
      <c r="K449" s="44">
        <f t="shared" si="35"/>
        <v>4500</v>
      </c>
      <c r="L449" s="23">
        <v>0</v>
      </c>
      <c r="M449" s="24">
        <f t="shared" si="32"/>
        <v>0</v>
      </c>
      <c r="N449" s="25">
        <v>10</v>
      </c>
      <c r="O449" s="22">
        <f t="shared" si="33"/>
        <v>500</v>
      </c>
      <c r="P449" s="24">
        <f t="shared" si="34"/>
        <v>1</v>
      </c>
    </row>
    <row r="450" spans="2:16" ht="24" customHeight="1" x14ac:dyDescent="0.25">
      <c r="B450" s="1">
        <v>307</v>
      </c>
      <c r="C450" s="6">
        <v>14883523</v>
      </c>
      <c r="D450" s="2" t="s">
        <v>430</v>
      </c>
      <c r="E450" s="2" t="s">
        <v>586</v>
      </c>
      <c r="F450" s="2">
        <v>4920618</v>
      </c>
      <c r="G450" s="35" t="s">
        <v>809</v>
      </c>
      <c r="H450">
        <v>5000</v>
      </c>
      <c r="I450" s="43">
        <f t="shared" ref="I450:I513" si="36">H450-M450</f>
        <v>5000</v>
      </c>
      <c r="J450" s="3">
        <v>500</v>
      </c>
      <c r="K450" s="44">
        <f t="shared" si="35"/>
        <v>4500</v>
      </c>
      <c r="L450" s="23">
        <v>0</v>
      </c>
      <c r="M450" s="24">
        <f t="shared" ref="M450:M513" si="37">H450*L450</f>
        <v>0</v>
      </c>
      <c r="N450" s="25">
        <v>10</v>
      </c>
      <c r="O450" s="22">
        <f t="shared" ref="O450:O513" si="38">I450/N450</f>
        <v>500</v>
      </c>
      <c r="P450" s="24">
        <f t="shared" ref="P450:P513" si="39">INT(J450/O450)</f>
        <v>1</v>
      </c>
    </row>
    <row r="451" spans="2:16" ht="24" customHeight="1" x14ac:dyDescent="0.25">
      <c r="B451" s="1">
        <v>308</v>
      </c>
      <c r="C451" s="6">
        <v>15014102</v>
      </c>
      <c r="D451" s="2" t="s">
        <v>431</v>
      </c>
      <c r="E451" s="2" t="s">
        <v>567</v>
      </c>
      <c r="F451" s="2">
        <v>7269360</v>
      </c>
      <c r="G451" s="35" t="s">
        <v>661</v>
      </c>
      <c r="H451">
        <v>5000</v>
      </c>
      <c r="I451" s="43">
        <f t="shared" si="36"/>
        <v>5000</v>
      </c>
      <c r="J451" s="3">
        <v>500</v>
      </c>
      <c r="K451" s="44">
        <f t="shared" si="35"/>
        <v>4500</v>
      </c>
      <c r="L451" s="23">
        <v>0</v>
      </c>
      <c r="M451" s="24">
        <f t="shared" si="37"/>
        <v>0</v>
      </c>
      <c r="N451" s="25">
        <v>10</v>
      </c>
      <c r="O451" s="22">
        <f t="shared" si="38"/>
        <v>500</v>
      </c>
      <c r="P451" s="24">
        <f t="shared" si="39"/>
        <v>1</v>
      </c>
    </row>
    <row r="452" spans="2:16" ht="24" customHeight="1" x14ac:dyDescent="0.25">
      <c r="B452" s="1">
        <v>309</v>
      </c>
      <c r="C452" s="6">
        <v>15331129</v>
      </c>
      <c r="D452" s="2" t="s">
        <v>432</v>
      </c>
      <c r="E452" s="2" t="s">
        <v>569</v>
      </c>
      <c r="F452" s="2">
        <v>9226091</v>
      </c>
      <c r="G452" s="35" t="s">
        <v>813</v>
      </c>
      <c r="H452">
        <v>5000</v>
      </c>
      <c r="I452" s="43">
        <f t="shared" si="36"/>
        <v>5000</v>
      </c>
      <c r="J452" s="3">
        <v>500</v>
      </c>
      <c r="K452" s="44">
        <f t="shared" si="35"/>
        <v>4500</v>
      </c>
      <c r="L452" s="23">
        <v>0</v>
      </c>
      <c r="M452" s="24">
        <f t="shared" si="37"/>
        <v>0</v>
      </c>
      <c r="N452" s="25">
        <v>10</v>
      </c>
      <c r="O452" s="22">
        <f t="shared" si="38"/>
        <v>500</v>
      </c>
      <c r="P452" s="24">
        <f t="shared" si="39"/>
        <v>1</v>
      </c>
    </row>
    <row r="453" spans="2:16" ht="24" customHeight="1" x14ac:dyDescent="0.25">
      <c r="B453" s="1">
        <v>310</v>
      </c>
      <c r="C453" s="6">
        <v>16028583</v>
      </c>
      <c r="D453" s="2" t="s">
        <v>433</v>
      </c>
      <c r="E453" s="2" t="s">
        <v>569</v>
      </c>
      <c r="F453" s="2">
        <v>5974433</v>
      </c>
      <c r="G453" s="35" t="s">
        <v>814</v>
      </c>
      <c r="H453">
        <v>5000</v>
      </c>
      <c r="I453" s="43">
        <f t="shared" si="36"/>
        <v>5000</v>
      </c>
      <c r="J453" s="3">
        <v>500</v>
      </c>
      <c r="K453" s="44">
        <f t="shared" si="35"/>
        <v>4500</v>
      </c>
      <c r="L453" s="23">
        <v>0</v>
      </c>
      <c r="M453" s="24">
        <f t="shared" si="37"/>
        <v>0</v>
      </c>
      <c r="N453" s="25">
        <v>10</v>
      </c>
      <c r="O453" s="22">
        <f t="shared" si="38"/>
        <v>500</v>
      </c>
      <c r="P453" s="24">
        <f t="shared" si="39"/>
        <v>1</v>
      </c>
    </row>
    <row r="454" spans="2:16" ht="24" customHeight="1" x14ac:dyDescent="0.25">
      <c r="B454" s="1">
        <v>311</v>
      </c>
      <c r="C454" s="6">
        <v>13455964</v>
      </c>
      <c r="D454" s="2" t="s">
        <v>434</v>
      </c>
      <c r="E454" s="2" t="s">
        <v>583</v>
      </c>
      <c r="F454" s="2">
        <v>4002003</v>
      </c>
      <c r="G454" s="35" t="s">
        <v>815</v>
      </c>
      <c r="H454">
        <v>5000</v>
      </c>
      <c r="I454" s="43">
        <f t="shared" si="36"/>
        <v>5000</v>
      </c>
      <c r="J454" s="3">
        <v>500</v>
      </c>
      <c r="K454" s="44">
        <f t="shared" si="35"/>
        <v>4500</v>
      </c>
      <c r="L454" s="23">
        <v>0</v>
      </c>
      <c r="M454" s="24">
        <f t="shared" si="37"/>
        <v>0</v>
      </c>
      <c r="N454" s="25">
        <v>10</v>
      </c>
      <c r="O454" s="22">
        <f t="shared" si="38"/>
        <v>500</v>
      </c>
      <c r="P454" s="24">
        <f t="shared" si="39"/>
        <v>1</v>
      </c>
    </row>
    <row r="455" spans="2:16" ht="24" customHeight="1" x14ac:dyDescent="0.25">
      <c r="B455" s="1">
        <v>312</v>
      </c>
      <c r="C455" s="6">
        <v>15972431</v>
      </c>
      <c r="D455" s="2" t="s">
        <v>435</v>
      </c>
      <c r="E455" s="2" t="s">
        <v>579</v>
      </c>
      <c r="F455" s="2">
        <v>6976712016</v>
      </c>
      <c r="G455" s="35" t="s">
        <v>816</v>
      </c>
      <c r="H455">
        <v>5000</v>
      </c>
      <c r="I455" s="43">
        <f t="shared" si="36"/>
        <v>4750</v>
      </c>
      <c r="J455" s="3">
        <v>4750</v>
      </c>
      <c r="K455" s="44">
        <f t="shared" si="35"/>
        <v>0</v>
      </c>
      <c r="L455" s="23">
        <v>0.05</v>
      </c>
      <c r="M455" s="24">
        <f t="shared" si="37"/>
        <v>250</v>
      </c>
      <c r="N455" s="25">
        <v>10</v>
      </c>
      <c r="O455" s="22">
        <f t="shared" si="38"/>
        <v>475</v>
      </c>
      <c r="P455" s="24">
        <f t="shared" si="39"/>
        <v>10</v>
      </c>
    </row>
    <row r="456" spans="2:16" ht="24" customHeight="1" x14ac:dyDescent="0.25">
      <c r="B456" s="1">
        <v>312</v>
      </c>
      <c r="C456" s="6">
        <v>17435036</v>
      </c>
      <c r="D456" s="2" t="s">
        <v>436</v>
      </c>
      <c r="E456" s="2" t="s">
        <v>587</v>
      </c>
      <c r="F456" s="2">
        <v>6976712017</v>
      </c>
      <c r="G456" s="35" t="s">
        <v>816</v>
      </c>
      <c r="H456">
        <v>5000</v>
      </c>
      <c r="I456" s="43">
        <f t="shared" si="36"/>
        <v>4750</v>
      </c>
      <c r="J456" s="3">
        <v>475</v>
      </c>
      <c r="K456" s="44">
        <f t="shared" si="35"/>
        <v>4275</v>
      </c>
      <c r="L456" s="23">
        <v>0.05</v>
      </c>
      <c r="M456" s="24">
        <f t="shared" si="37"/>
        <v>250</v>
      </c>
      <c r="N456" s="25">
        <v>10</v>
      </c>
      <c r="O456" s="22">
        <f t="shared" si="38"/>
        <v>475</v>
      </c>
      <c r="P456" s="24">
        <f t="shared" si="39"/>
        <v>1</v>
      </c>
    </row>
    <row r="457" spans="2:16" ht="24" customHeight="1" x14ac:dyDescent="0.25">
      <c r="B457" s="1">
        <v>313</v>
      </c>
      <c r="C457" s="5"/>
      <c r="D457" s="2" t="s">
        <v>99</v>
      </c>
      <c r="E457" s="10"/>
      <c r="F457" s="10"/>
      <c r="G457" s="36"/>
      <c r="H457">
        <v>5000</v>
      </c>
      <c r="I457" s="43">
        <f t="shared" si="36"/>
        <v>5000</v>
      </c>
      <c r="J457" s="3">
        <v>0</v>
      </c>
      <c r="K457" s="44">
        <f t="shared" si="35"/>
        <v>5000</v>
      </c>
      <c r="L457" s="23">
        <v>0</v>
      </c>
      <c r="M457" s="24">
        <f t="shared" si="37"/>
        <v>0</v>
      </c>
      <c r="N457" s="25">
        <v>10</v>
      </c>
      <c r="O457" s="22">
        <f t="shared" si="38"/>
        <v>500</v>
      </c>
      <c r="P457" s="24">
        <f t="shared" si="39"/>
        <v>0</v>
      </c>
    </row>
    <row r="458" spans="2:16" ht="24" customHeight="1" x14ac:dyDescent="0.25">
      <c r="B458" s="1">
        <v>314</v>
      </c>
      <c r="C458" s="6">
        <v>12832345</v>
      </c>
      <c r="D458" s="2" t="s">
        <v>437</v>
      </c>
      <c r="E458" s="2" t="s">
        <v>588</v>
      </c>
      <c r="F458" s="2">
        <v>2691828</v>
      </c>
      <c r="G458" s="35" t="s">
        <v>817</v>
      </c>
      <c r="H458">
        <v>5000</v>
      </c>
      <c r="I458" s="43">
        <f t="shared" si="36"/>
        <v>5000</v>
      </c>
      <c r="J458" s="3">
        <v>2500</v>
      </c>
      <c r="K458" s="44">
        <f t="shared" si="35"/>
        <v>2500</v>
      </c>
      <c r="L458" s="23">
        <v>0</v>
      </c>
      <c r="M458" s="24">
        <f t="shared" si="37"/>
        <v>0</v>
      </c>
      <c r="N458" s="25">
        <v>10</v>
      </c>
      <c r="O458" s="22">
        <f t="shared" si="38"/>
        <v>500</v>
      </c>
      <c r="P458" s="24">
        <f t="shared" si="39"/>
        <v>5</v>
      </c>
    </row>
    <row r="459" spans="2:16" ht="24" customHeight="1" x14ac:dyDescent="0.25">
      <c r="B459" s="1">
        <v>315</v>
      </c>
      <c r="C459" s="6">
        <v>14537542</v>
      </c>
      <c r="D459" s="2" t="s">
        <v>438</v>
      </c>
      <c r="E459" s="2" t="s">
        <v>583</v>
      </c>
      <c r="F459" s="2">
        <v>4858691</v>
      </c>
      <c r="G459" s="35" t="s">
        <v>614</v>
      </c>
      <c r="H459">
        <v>5000</v>
      </c>
      <c r="I459" s="43">
        <f t="shared" si="36"/>
        <v>5000</v>
      </c>
      <c r="J459" s="3">
        <v>500</v>
      </c>
      <c r="K459" s="44">
        <f t="shared" si="35"/>
        <v>4500</v>
      </c>
      <c r="L459" s="23">
        <v>0</v>
      </c>
      <c r="M459" s="24">
        <f t="shared" si="37"/>
        <v>0</v>
      </c>
      <c r="N459" s="25">
        <v>10</v>
      </c>
      <c r="O459" s="22">
        <f t="shared" si="38"/>
        <v>500</v>
      </c>
      <c r="P459" s="24">
        <f t="shared" si="39"/>
        <v>1</v>
      </c>
    </row>
    <row r="460" spans="2:16" ht="24" customHeight="1" x14ac:dyDescent="0.25">
      <c r="B460" s="1">
        <v>315</v>
      </c>
      <c r="C460" s="6">
        <v>16794572</v>
      </c>
      <c r="D460" s="2" t="s">
        <v>439</v>
      </c>
      <c r="E460" s="2" t="s">
        <v>581</v>
      </c>
      <c r="F460" s="2">
        <v>4858692</v>
      </c>
      <c r="G460" s="35" t="s">
        <v>614</v>
      </c>
      <c r="H460">
        <v>5000</v>
      </c>
      <c r="I460" s="43">
        <f t="shared" si="36"/>
        <v>4750</v>
      </c>
      <c r="J460" s="3">
        <v>475</v>
      </c>
      <c r="K460" s="44">
        <f t="shared" si="35"/>
        <v>4275</v>
      </c>
      <c r="L460" s="23">
        <v>0.05</v>
      </c>
      <c r="M460" s="24">
        <f t="shared" si="37"/>
        <v>250</v>
      </c>
      <c r="N460" s="25">
        <v>10</v>
      </c>
      <c r="O460" s="22">
        <f t="shared" si="38"/>
        <v>475</v>
      </c>
      <c r="P460" s="24">
        <f t="shared" si="39"/>
        <v>1</v>
      </c>
    </row>
    <row r="461" spans="2:16" ht="24" customHeight="1" x14ac:dyDescent="0.25">
      <c r="B461" s="1">
        <v>316</v>
      </c>
      <c r="C461" s="6">
        <v>14229584</v>
      </c>
      <c r="D461" s="2" t="s">
        <v>440</v>
      </c>
      <c r="E461" s="2" t="s">
        <v>583</v>
      </c>
      <c r="F461" s="2">
        <v>9095056</v>
      </c>
      <c r="G461" s="35" t="s">
        <v>785</v>
      </c>
      <c r="H461">
        <v>5000</v>
      </c>
      <c r="I461" s="43">
        <f t="shared" si="36"/>
        <v>5000</v>
      </c>
      <c r="J461" s="3">
        <v>500</v>
      </c>
      <c r="K461" s="44">
        <f t="shared" si="35"/>
        <v>4500</v>
      </c>
      <c r="L461" s="23">
        <v>0</v>
      </c>
      <c r="M461" s="24">
        <f t="shared" si="37"/>
        <v>0</v>
      </c>
      <c r="N461" s="25">
        <v>10</v>
      </c>
      <c r="O461" s="22">
        <f t="shared" si="38"/>
        <v>500</v>
      </c>
      <c r="P461" s="24">
        <f t="shared" si="39"/>
        <v>1</v>
      </c>
    </row>
    <row r="462" spans="2:16" ht="24" customHeight="1" x14ac:dyDescent="0.25">
      <c r="B462" s="1">
        <v>317</v>
      </c>
      <c r="C462" s="6">
        <v>13787778</v>
      </c>
      <c r="D462" s="2" t="s">
        <v>441</v>
      </c>
      <c r="E462" s="2" t="s">
        <v>584</v>
      </c>
      <c r="F462" s="2">
        <v>2684181014</v>
      </c>
      <c r="G462" s="35" t="s">
        <v>608</v>
      </c>
      <c r="H462">
        <v>5000</v>
      </c>
      <c r="I462" s="43">
        <f t="shared" si="36"/>
        <v>5000</v>
      </c>
      <c r="J462" s="3">
        <v>500</v>
      </c>
      <c r="K462" s="44">
        <f t="shared" si="35"/>
        <v>4500</v>
      </c>
      <c r="L462" s="23">
        <v>0</v>
      </c>
      <c r="M462" s="24">
        <f t="shared" si="37"/>
        <v>0</v>
      </c>
      <c r="N462" s="25">
        <v>10</v>
      </c>
      <c r="O462" s="22">
        <f t="shared" si="38"/>
        <v>500</v>
      </c>
      <c r="P462" s="24">
        <f t="shared" si="39"/>
        <v>1</v>
      </c>
    </row>
    <row r="463" spans="2:16" ht="24" customHeight="1" x14ac:dyDescent="0.25">
      <c r="B463" s="1">
        <v>318</v>
      </c>
      <c r="C463" s="6">
        <v>15936654</v>
      </c>
      <c r="D463" s="2" t="s">
        <v>442</v>
      </c>
      <c r="E463" s="2" t="s">
        <v>583</v>
      </c>
      <c r="F463" s="2">
        <v>4750428</v>
      </c>
      <c r="G463" s="35" t="s">
        <v>818</v>
      </c>
      <c r="H463">
        <v>5000</v>
      </c>
      <c r="I463" s="43">
        <f t="shared" si="36"/>
        <v>5000</v>
      </c>
      <c r="J463" s="3">
        <v>500</v>
      </c>
      <c r="K463" s="44">
        <f t="shared" si="35"/>
        <v>4500</v>
      </c>
      <c r="L463" s="23">
        <v>0</v>
      </c>
      <c r="M463" s="24">
        <f t="shared" si="37"/>
        <v>0</v>
      </c>
      <c r="N463" s="25">
        <v>10</v>
      </c>
      <c r="O463" s="22">
        <f t="shared" si="38"/>
        <v>500</v>
      </c>
      <c r="P463" s="24">
        <f t="shared" si="39"/>
        <v>1</v>
      </c>
    </row>
    <row r="464" spans="2:16" ht="24" customHeight="1" x14ac:dyDescent="0.25">
      <c r="B464" s="1">
        <v>319</v>
      </c>
      <c r="C464" s="6">
        <v>13692880</v>
      </c>
      <c r="D464" s="2" t="s">
        <v>443</v>
      </c>
      <c r="E464" s="2" t="s">
        <v>582</v>
      </c>
      <c r="F464" s="2">
        <v>4831272</v>
      </c>
      <c r="G464" s="35" t="s">
        <v>803</v>
      </c>
      <c r="H464">
        <v>5000</v>
      </c>
      <c r="I464" s="43">
        <f t="shared" si="36"/>
        <v>5000</v>
      </c>
      <c r="J464" s="3">
        <v>500</v>
      </c>
      <c r="K464" s="44">
        <f t="shared" si="35"/>
        <v>4500</v>
      </c>
      <c r="L464" s="23">
        <v>0</v>
      </c>
      <c r="M464" s="24">
        <f t="shared" si="37"/>
        <v>0</v>
      </c>
      <c r="N464" s="25">
        <v>10</v>
      </c>
      <c r="O464" s="22">
        <f t="shared" si="38"/>
        <v>500</v>
      </c>
      <c r="P464" s="24">
        <f t="shared" si="39"/>
        <v>1</v>
      </c>
    </row>
    <row r="465" spans="2:16" ht="24" customHeight="1" x14ac:dyDescent="0.25">
      <c r="B465" s="1">
        <v>320</v>
      </c>
      <c r="C465" s="6">
        <v>15524049</v>
      </c>
      <c r="D465" s="2" t="s">
        <v>444</v>
      </c>
      <c r="E465" s="2" t="s">
        <v>589</v>
      </c>
      <c r="F465" s="2">
        <v>12927272</v>
      </c>
      <c r="G465" s="35" t="s">
        <v>711</v>
      </c>
      <c r="H465">
        <v>5000</v>
      </c>
      <c r="I465" s="43">
        <f t="shared" si="36"/>
        <v>4750</v>
      </c>
      <c r="J465" s="3">
        <v>4750</v>
      </c>
      <c r="K465" s="44">
        <f t="shared" si="35"/>
        <v>0</v>
      </c>
      <c r="L465" s="23">
        <v>0.05</v>
      </c>
      <c r="M465" s="24">
        <f t="shared" si="37"/>
        <v>250</v>
      </c>
      <c r="N465" s="25">
        <v>10</v>
      </c>
      <c r="O465" s="22">
        <f t="shared" si="38"/>
        <v>475</v>
      </c>
      <c r="P465" s="24">
        <f t="shared" si="39"/>
        <v>10</v>
      </c>
    </row>
    <row r="466" spans="2:16" ht="24" customHeight="1" x14ac:dyDescent="0.25">
      <c r="B466" s="1">
        <v>321</v>
      </c>
      <c r="C466" s="6">
        <v>13922287</v>
      </c>
      <c r="D466" s="2" t="s">
        <v>445</v>
      </c>
      <c r="E466" s="2" t="s">
        <v>584</v>
      </c>
      <c r="F466" s="2">
        <v>4367238</v>
      </c>
      <c r="G466" s="35" t="s">
        <v>611</v>
      </c>
      <c r="H466">
        <v>5000</v>
      </c>
      <c r="I466" s="43">
        <f t="shared" si="36"/>
        <v>5000</v>
      </c>
      <c r="J466" s="3">
        <v>500</v>
      </c>
      <c r="K466" s="44">
        <f t="shared" si="35"/>
        <v>4500</v>
      </c>
      <c r="L466" s="23">
        <v>0</v>
      </c>
      <c r="M466" s="24">
        <f t="shared" si="37"/>
        <v>0</v>
      </c>
      <c r="N466" s="25">
        <v>10</v>
      </c>
      <c r="O466" s="22">
        <f t="shared" si="38"/>
        <v>500</v>
      </c>
      <c r="P466" s="24">
        <f t="shared" si="39"/>
        <v>1</v>
      </c>
    </row>
    <row r="467" spans="2:16" ht="24" customHeight="1" x14ac:dyDescent="0.25">
      <c r="B467" s="1">
        <v>321</v>
      </c>
      <c r="C467" s="6">
        <v>15007890</v>
      </c>
      <c r="D467" s="2" t="s">
        <v>446</v>
      </c>
      <c r="E467" s="2" t="s">
        <v>580</v>
      </c>
      <c r="F467" s="2">
        <v>4367238</v>
      </c>
      <c r="G467" s="35" t="s">
        <v>611</v>
      </c>
      <c r="H467">
        <v>5000</v>
      </c>
      <c r="I467" s="43">
        <f t="shared" si="36"/>
        <v>4750</v>
      </c>
      <c r="J467" s="3">
        <v>475</v>
      </c>
      <c r="K467" s="44">
        <f t="shared" si="35"/>
        <v>4275</v>
      </c>
      <c r="L467" s="23">
        <v>0.05</v>
      </c>
      <c r="M467" s="24">
        <f t="shared" si="37"/>
        <v>250</v>
      </c>
      <c r="N467" s="25">
        <v>10</v>
      </c>
      <c r="O467" s="22">
        <f t="shared" si="38"/>
        <v>475</v>
      </c>
      <c r="P467" s="24">
        <f t="shared" si="39"/>
        <v>1</v>
      </c>
    </row>
    <row r="468" spans="2:16" ht="24" customHeight="1" x14ac:dyDescent="0.25">
      <c r="B468" s="1">
        <v>322</v>
      </c>
      <c r="C468" s="6">
        <v>13276553</v>
      </c>
      <c r="D468" s="2" t="s">
        <v>447</v>
      </c>
      <c r="E468" s="2" t="s">
        <v>582</v>
      </c>
      <c r="F468" s="2">
        <v>8347172</v>
      </c>
      <c r="G468" s="35" t="s">
        <v>819</v>
      </c>
      <c r="H468">
        <v>5000</v>
      </c>
      <c r="I468" s="43">
        <f t="shared" si="36"/>
        <v>5000</v>
      </c>
      <c r="J468" s="3">
        <v>500</v>
      </c>
      <c r="K468" s="44">
        <f t="shared" si="35"/>
        <v>4500</v>
      </c>
      <c r="L468" s="23">
        <v>0</v>
      </c>
      <c r="M468" s="24">
        <f t="shared" si="37"/>
        <v>0</v>
      </c>
      <c r="N468" s="25">
        <v>10</v>
      </c>
      <c r="O468" s="22">
        <f t="shared" si="38"/>
        <v>500</v>
      </c>
      <c r="P468" s="24">
        <f t="shared" si="39"/>
        <v>1</v>
      </c>
    </row>
    <row r="469" spans="2:16" ht="24" customHeight="1" x14ac:dyDescent="0.25">
      <c r="B469" s="1">
        <v>322</v>
      </c>
      <c r="C469" s="6">
        <v>15149030</v>
      </c>
      <c r="D469" s="2" t="s">
        <v>448</v>
      </c>
      <c r="E469" s="2" t="s">
        <v>567</v>
      </c>
      <c r="F469" s="2">
        <v>8347173</v>
      </c>
      <c r="G469" s="35" t="s">
        <v>819</v>
      </c>
      <c r="H469">
        <v>5000</v>
      </c>
      <c r="I469" s="43">
        <f t="shared" si="36"/>
        <v>5000</v>
      </c>
      <c r="J469" s="3">
        <v>500</v>
      </c>
      <c r="K469" s="44">
        <f t="shared" si="35"/>
        <v>4500</v>
      </c>
      <c r="L469" s="23">
        <v>0</v>
      </c>
      <c r="M469" s="24">
        <f t="shared" si="37"/>
        <v>0</v>
      </c>
      <c r="N469" s="25">
        <v>10</v>
      </c>
      <c r="O469" s="22">
        <f t="shared" si="38"/>
        <v>500</v>
      </c>
      <c r="P469" s="24">
        <f t="shared" si="39"/>
        <v>1</v>
      </c>
    </row>
    <row r="470" spans="2:16" ht="24" customHeight="1" x14ac:dyDescent="0.25">
      <c r="B470" s="1">
        <v>323</v>
      </c>
      <c r="C470" s="6">
        <v>13961095</v>
      </c>
      <c r="D470" s="2" t="s">
        <v>449</v>
      </c>
      <c r="E470" s="2" t="s">
        <v>583</v>
      </c>
      <c r="F470" s="2">
        <v>9913898</v>
      </c>
      <c r="G470" s="35" t="s">
        <v>820</v>
      </c>
      <c r="H470">
        <v>5000</v>
      </c>
      <c r="I470" s="43">
        <f t="shared" si="36"/>
        <v>5000</v>
      </c>
      <c r="J470" s="3">
        <v>500</v>
      </c>
      <c r="K470" s="44">
        <f t="shared" si="35"/>
        <v>4500</v>
      </c>
      <c r="L470" s="23">
        <v>0</v>
      </c>
      <c r="M470" s="24">
        <f t="shared" si="37"/>
        <v>0</v>
      </c>
      <c r="N470" s="25">
        <v>10</v>
      </c>
      <c r="O470" s="22">
        <f t="shared" si="38"/>
        <v>500</v>
      </c>
      <c r="P470" s="24">
        <f t="shared" si="39"/>
        <v>1</v>
      </c>
    </row>
    <row r="471" spans="2:16" ht="24" customHeight="1" x14ac:dyDescent="0.25">
      <c r="B471" s="1">
        <v>324</v>
      </c>
      <c r="C471" s="6">
        <v>15596970</v>
      </c>
      <c r="D471" s="2" t="s">
        <v>450</v>
      </c>
      <c r="E471" s="2" t="s">
        <v>589</v>
      </c>
      <c r="F471" s="2">
        <v>6743608</v>
      </c>
      <c r="G471" s="35" t="s">
        <v>666</v>
      </c>
      <c r="H471">
        <v>5000</v>
      </c>
      <c r="I471" s="43">
        <f t="shared" si="36"/>
        <v>5000</v>
      </c>
      <c r="J471" s="3">
        <v>500</v>
      </c>
      <c r="K471" s="44">
        <f t="shared" si="35"/>
        <v>4500</v>
      </c>
      <c r="L471" s="23">
        <v>0</v>
      </c>
      <c r="M471" s="24">
        <f t="shared" si="37"/>
        <v>0</v>
      </c>
      <c r="N471" s="25">
        <v>10</v>
      </c>
      <c r="O471" s="22">
        <f t="shared" si="38"/>
        <v>500</v>
      </c>
      <c r="P471" s="24">
        <f t="shared" si="39"/>
        <v>1</v>
      </c>
    </row>
    <row r="472" spans="2:16" ht="24" customHeight="1" x14ac:dyDescent="0.25">
      <c r="B472" s="1">
        <v>325</v>
      </c>
      <c r="C472" s="6">
        <v>10916332</v>
      </c>
      <c r="D472" s="2" t="s">
        <v>451</v>
      </c>
      <c r="E472" s="2" t="s">
        <v>582</v>
      </c>
      <c r="F472" s="2">
        <v>4272380</v>
      </c>
      <c r="G472" s="35" t="s">
        <v>821</v>
      </c>
      <c r="H472">
        <v>5000</v>
      </c>
      <c r="I472" s="43">
        <f t="shared" si="36"/>
        <v>5000</v>
      </c>
      <c r="J472" s="3">
        <v>500</v>
      </c>
      <c r="K472" s="44">
        <f t="shared" si="35"/>
        <v>4500</v>
      </c>
      <c r="L472" s="23">
        <v>0</v>
      </c>
      <c r="M472" s="24">
        <f t="shared" si="37"/>
        <v>0</v>
      </c>
      <c r="N472" s="25">
        <v>10</v>
      </c>
      <c r="O472" s="22">
        <f t="shared" si="38"/>
        <v>500</v>
      </c>
      <c r="P472" s="24">
        <f t="shared" si="39"/>
        <v>1</v>
      </c>
    </row>
    <row r="473" spans="2:16" ht="24" customHeight="1" x14ac:dyDescent="0.25">
      <c r="B473" s="1">
        <v>326</v>
      </c>
      <c r="C473" s="6">
        <v>141847900</v>
      </c>
      <c r="D473" s="2" t="s">
        <v>452</v>
      </c>
      <c r="E473" s="2" t="s">
        <v>585</v>
      </c>
      <c r="F473" s="2">
        <v>5476033017</v>
      </c>
      <c r="G473" s="35" t="s">
        <v>772</v>
      </c>
      <c r="H473">
        <v>5000</v>
      </c>
      <c r="I473" s="43">
        <f t="shared" si="36"/>
        <v>5000</v>
      </c>
      <c r="J473" s="3">
        <v>500</v>
      </c>
      <c r="K473" s="44">
        <f t="shared" si="35"/>
        <v>4500</v>
      </c>
      <c r="L473" s="23">
        <v>0</v>
      </c>
      <c r="M473" s="24">
        <f t="shared" si="37"/>
        <v>0</v>
      </c>
      <c r="N473" s="25">
        <v>10</v>
      </c>
      <c r="O473" s="22">
        <f t="shared" si="38"/>
        <v>500</v>
      </c>
      <c r="P473" s="24">
        <f t="shared" si="39"/>
        <v>1</v>
      </c>
    </row>
    <row r="474" spans="2:16" ht="24" customHeight="1" x14ac:dyDescent="0.25">
      <c r="B474" s="1">
        <v>327</v>
      </c>
      <c r="C474" s="6">
        <v>14297005</v>
      </c>
      <c r="D474" s="2" t="s">
        <v>453</v>
      </c>
      <c r="E474" s="2" t="s">
        <v>583</v>
      </c>
      <c r="F474" s="2">
        <v>421442020</v>
      </c>
      <c r="G474" s="35" t="s">
        <v>822</v>
      </c>
      <c r="H474">
        <v>5000</v>
      </c>
      <c r="I474" s="43">
        <f t="shared" si="36"/>
        <v>4750</v>
      </c>
      <c r="J474" s="3">
        <v>4750</v>
      </c>
      <c r="K474" s="44">
        <f t="shared" si="35"/>
        <v>0</v>
      </c>
      <c r="L474" s="23">
        <v>0.05</v>
      </c>
      <c r="M474" s="24">
        <f t="shared" si="37"/>
        <v>250</v>
      </c>
      <c r="N474" s="25">
        <v>10</v>
      </c>
      <c r="O474" s="22">
        <f t="shared" si="38"/>
        <v>475</v>
      </c>
      <c r="P474" s="24">
        <f t="shared" si="39"/>
        <v>10</v>
      </c>
    </row>
    <row r="475" spans="2:16" ht="24" customHeight="1" x14ac:dyDescent="0.25">
      <c r="B475" s="1">
        <v>328</v>
      </c>
      <c r="C475" s="6">
        <v>13696178</v>
      </c>
      <c r="D475" s="2" t="s">
        <v>454</v>
      </c>
      <c r="E475" s="2" t="s">
        <v>588</v>
      </c>
      <c r="F475" s="2">
        <v>3492841</v>
      </c>
      <c r="G475" s="35" t="s">
        <v>735</v>
      </c>
      <c r="H475">
        <v>5000</v>
      </c>
      <c r="I475" s="43">
        <f t="shared" si="36"/>
        <v>5000</v>
      </c>
      <c r="J475" s="3">
        <v>500</v>
      </c>
      <c r="K475" s="44">
        <f t="shared" si="35"/>
        <v>4500</v>
      </c>
      <c r="L475" s="23">
        <v>0</v>
      </c>
      <c r="M475" s="24">
        <f t="shared" si="37"/>
        <v>0</v>
      </c>
      <c r="N475" s="25">
        <v>10</v>
      </c>
      <c r="O475" s="22">
        <f t="shared" si="38"/>
        <v>500</v>
      </c>
      <c r="P475" s="24">
        <f t="shared" si="39"/>
        <v>1</v>
      </c>
    </row>
    <row r="476" spans="2:16" ht="24" customHeight="1" x14ac:dyDescent="0.25">
      <c r="B476" s="1">
        <v>329</v>
      </c>
      <c r="C476" s="6">
        <v>15267683</v>
      </c>
      <c r="D476" s="2" t="s">
        <v>455</v>
      </c>
      <c r="E476" s="2" t="s">
        <v>583</v>
      </c>
      <c r="F476" s="2">
        <v>6018201</v>
      </c>
      <c r="G476" s="35" t="s">
        <v>823</v>
      </c>
      <c r="H476">
        <v>5000</v>
      </c>
      <c r="I476" s="43">
        <f t="shared" si="36"/>
        <v>5000</v>
      </c>
      <c r="J476" s="3">
        <v>500</v>
      </c>
      <c r="K476" s="44">
        <f t="shared" si="35"/>
        <v>4500</v>
      </c>
      <c r="L476" s="23">
        <v>0</v>
      </c>
      <c r="M476" s="24">
        <f t="shared" si="37"/>
        <v>0</v>
      </c>
      <c r="N476" s="25">
        <v>10</v>
      </c>
      <c r="O476" s="22">
        <f t="shared" si="38"/>
        <v>500</v>
      </c>
      <c r="P476" s="24">
        <f t="shared" si="39"/>
        <v>1</v>
      </c>
    </row>
    <row r="477" spans="2:16" ht="24" customHeight="1" x14ac:dyDescent="0.25">
      <c r="B477" s="1">
        <v>330</v>
      </c>
      <c r="C477" s="6">
        <v>13630076</v>
      </c>
      <c r="D477" s="2" t="s">
        <v>456</v>
      </c>
      <c r="E477" s="2" t="s">
        <v>585</v>
      </c>
      <c r="F477" s="2">
        <v>6009408</v>
      </c>
      <c r="G477" s="35" t="s">
        <v>661</v>
      </c>
      <c r="H477">
        <v>5000</v>
      </c>
      <c r="I477" s="43">
        <f t="shared" si="36"/>
        <v>5000</v>
      </c>
      <c r="J477" s="3">
        <v>500</v>
      </c>
      <c r="K477" s="44">
        <f t="shared" si="35"/>
        <v>4500</v>
      </c>
      <c r="L477" s="23">
        <v>0</v>
      </c>
      <c r="M477" s="24">
        <f t="shared" si="37"/>
        <v>0</v>
      </c>
      <c r="N477" s="25">
        <v>10</v>
      </c>
      <c r="O477" s="22">
        <f t="shared" si="38"/>
        <v>500</v>
      </c>
      <c r="P477" s="24">
        <f t="shared" si="39"/>
        <v>1</v>
      </c>
    </row>
    <row r="478" spans="2:16" ht="24" customHeight="1" x14ac:dyDescent="0.25">
      <c r="B478" s="1">
        <v>331</v>
      </c>
      <c r="C478" s="6">
        <v>15099971</v>
      </c>
      <c r="D478" s="2" t="s">
        <v>457</v>
      </c>
      <c r="E478" s="2" t="s">
        <v>573</v>
      </c>
      <c r="F478" s="2">
        <v>4938557</v>
      </c>
      <c r="G478" s="35" t="s">
        <v>824</v>
      </c>
      <c r="H478">
        <v>5000</v>
      </c>
      <c r="I478" s="43">
        <f t="shared" si="36"/>
        <v>5000</v>
      </c>
      <c r="J478" s="3">
        <v>500</v>
      </c>
      <c r="K478" s="44">
        <f t="shared" si="35"/>
        <v>4500</v>
      </c>
      <c r="L478" s="23">
        <v>0</v>
      </c>
      <c r="M478" s="24">
        <f t="shared" si="37"/>
        <v>0</v>
      </c>
      <c r="N478" s="25">
        <v>10</v>
      </c>
      <c r="O478" s="22">
        <f t="shared" si="38"/>
        <v>500</v>
      </c>
      <c r="P478" s="24">
        <f t="shared" si="39"/>
        <v>1</v>
      </c>
    </row>
    <row r="479" spans="2:16" ht="24" customHeight="1" x14ac:dyDescent="0.25">
      <c r="B479" s="1">
        <v>332</v>
      </c>
      <c r="C479" s="6">
        <v>15904301</v>
      </c>
      <c r="D479" s="2" t="s">
        <v>458</v>
      </c>
      <c r="E479" s="2" t="s">
        <v>579</v>
      </c>
      <c r="F479" s="2">
        <v>8305497010</v>
      </c>
      <c r="G479" s="35" t="s">
        <v>825</v>
      </c>
      <c r="H479">
        <v>5000</v>
      </c>
      <c r="I479" s="43">
        <f t="shared" si="36"/>
        <v>4750</v>
      </c>
      <c r="J479" s="3">
        <v>4750</v>
      </c>
      <c r="K479" s="44">
        <f t="shared" si="35"/>
        <v>0</v>
      </c>
      <c r="L479" s="23">
        <v>0.05</v>
      </c>
      <c r="M479" s="24">
        <f t="shared" si="37"/>
        <v>250</v>
      </c>
      <c r="N479" s="25">
        <v>10</v>
      </c>
      <c r="O479" s="22">
        <f t="shared" si="38"/>
        <v>475</v>
      </c>
      <c r="P479" s="24">
        <f t="shared" si="39"/>
        <v>10</v>
      </c>
    </row>
    <row r="480" spans="2:16" ht="24" customHeight="1" x14ac:dyDescent="0.25">
      <c r="B480" s="1">
        <v>333</v>
      </c>
      <c r="C480" s="6">
        <v>17003175</v>
      </c>
      <c r="D480" s="2" t="s">
        <v>459</v>
      </c>
      <c r="E480" s="2" t="s">
        <v>587</v>
      </c>
      <c r="F480" s="2">
        <v>4253474</v>
      </c>
      <c r="G480" s="35" t="s">
        <v>624</v>
      </c>
      <c r="H480">
        <v>5000</v>
      </c>
      <c r="I480" s="43">
        <f t="shared" si="36"/>
        <v>5000</v>
      </c>
      <c r="J480" s="3">
        <v>500</v>
      </c>
      <c r="K480" s="44">
        <f t="shared" si="35"/>
        <v>4500</v>
      </c>
      <c r="L480" s="23">
        <v>0</v>
      </c>
      <c r="M480" s="24">
        <f t="shared" si="37"/>
        <v>0</v>
      </c>
      <c r="N480" s="25">
        <v>10</v>
      </c>
      <c r="O480" s="22">
        <f t="shared" si="38"/>
        <v>500</v>
      </c>
      <c r="P480" s="24">
        <f t="shared" si="39"/>
        <v>1</v>
      </c>
    </row>
    <row r="481" spans="2:16" ht="24" customHeight="1" x14ac:dyDescent="0.25">
      <c r="B481" s="1">
        <v>334</v>
      </c>
      <c r="C481" s="6">
        <v>13519393</v>
      </c>
      <c r="D481" s="2" t="s">
        <v>460</v>
      </c>
      <c r="E481" s="2" t="s">
        <v>579</v>
      </c>
      <c r="F481" s="2">
        <v>6072702</v>
      </c>
      <c r="G481" s="35" t="s">
        <v>817</v>
      </c>
      <c r="H481">
        <v>5000</v>
      </c>
      <c r="I481" s="43">
        <f t="shared" si="36"/>
        <v>5000</v>
      </c>
      <c r="J481" s="3">
        <v>500</v>
      </c>
      <c r="K481" s="44">
        <f t="shared" si="35"/>
        <v>4500</v>
      </c>
      <c r="L481" s="23">
        <v>0</v>
      </c>
      <c r="M481" s="24">
        <f t="shared" si="37"/>
        <v>0</v>
      </c>
      <c r="N481" s="25">
        <v>10</v>
      </c>
      <c r="O481" s="22">
        <f t="shared" si="38"/>
        <v>500</v>
      </c>
      <c r="P481" s="24">
        <f t="shared" si="39"/>
        <v>1</v>
      </c>
    </row>
    <row r="482" spans="2:16" ht="24" customHeight="1" x14ac:dyDescent="0.25">
      <c r="B482" s="1">
        <v>335</v>
      </c>
      <c r="C482" s="6">
        <v>14182994</v>
      </c>
      <c r="D482" s="2" t="s">
        <v>461</v>
      </c>
      <c r="E482" s="2" t="s">
        <v>582</v>
      </c>
      <c r="F482" s="2">
        <v>4942222</v>
      </c>
      <c r="G482" s="35" t="s">
        <v>826</v>
      </c>
      <c r="H482">
        <v>5000</v>
      </c>
      <c r="I482" s="43">
        <f t="shared" si="36"/>
        <v>5000</v>
      </c>
      <c r="J482" s="45">
        <v>1000</v>
      </c>
      <c r="K482" s="44">
        <f t="shared" si="35"/>
        <v>4000</v>
      </c>
      <c r="L482" s="23">
        <v>0</v>
      </c>
      <c r="M482" s="24">
        <f t="shared" si="37"/>
        <v>0</v>
      </c>
      <c r="N482" s="25">
        <v>10</v>
      </c>
      <c r="O482" s="22">
        <f t="shared" si="38"/>
        <v>500</v>
      </c>
      <c r="P482" s="24">
        <f t="shared" si="39"/>
        <v>2</v>
      </c>
    </row>
    <row r="483" spans="2:16" ht="24" customHeight="1" x14ac:dyDescent="0.25">
      <c r="B483" s="1">
        <v>336</v>
      </c>
      <c r="C483" s="6">
        <v>15923461</v>
      </c>
      <c r="D483" s="2" t="s">
        <v>462</v>
      </c>
      <c r="E483" s="2" t="s">
        <v>590</v>
      </c>
      <c r="F483" s="2">
        <v>6777544</v>
      </c>
      <c r="G483" s="35" t="s">
        <v>827</v>
      </c>
      <c r="H483">
        <v>5000</v>
      </c>
      <c r="I483" s="43">
        <f t="shared" si="36"/>
        <v>5000</v>
      </c>
      <c r="J483" s="3">
        <v>500</v>
      </c>
      <c r="K483" s="44">
        <f t="shared" si="35"/>
        <v>4500</v>
      </c>
      <c r="L483" s="23">
        <v>0</v>
      </c>
      <c r="M483" s="24">
        <f t="shared" si="37"/>
        <v>0</v>
      </c>
      <c r="N483" s="25">
        <v>10</v>
      </c>
      <c r="O483" s="22">
        <f t="shared" si="38"/>
        <v>500</v>
      </c>
      <c r="P483" s="24">
        <f t="shared" si="39"/>
        <v>1</v>
      </c>
    </row>
    <row r="484" spans="2:16" ht="24" customHeight="1" x14ac:dyDescent="0.25">
      <c r="B484" s="1">
        <v>336</v>
      </c>
      <c r="C484" s="6">
        <v>15923456</v>
      </c>
      <c r="D484" s="2" t="s">
        <v>463</v>
      </c>
      <c r="E484" s="2" t="s">
        <v>583</v>
      </c>
      <c r="F484" s="2">
        <v>6777545</v>
      </c>
      <c r="G484" s="35" t="s">
        <v>827</v>
      </c>
      <c r="H484">
        <v>5000</v>
      </c>
      <c r="I484" s="43">
        <f t="shared" si="36"/>
        <v>4750</v>
      </c>
      <c r="J484" s="3">
        <v>475</v>
      </c>
      <c r="K484" s="44">
        <f t="shared" si="35"/>
        <v>4275</v>
      </c>
      <c r="L484" s="23">
        <v>0.05</v>
      </c>
      <c r="M484" s="24">
        <f t="shared" si="37"/>
        <v>250</v>
      </c>
      <c r="N484" s="25">
        <v>10</v>
      </c>
      <c r="O484" s="22">
        <f t="shared" si="38"/>
        <v>475</v>
      </c>
      <c r="P484" s="24">
        <f t="shared" si="39"/>
        <v>1</v>
      </c>
    </row>
    <row r="485" spans="2:16" ht="24" customHeight="1" x14ac:dyDescent="0.25">
      <c r="B485" s="1">
        <v>337</v>
      </c>
      <c r="C485" s="6">
        <v>12481959</v>
      </c>
      <c r="D485" s="2" t="s">
        <v>464</v>
      </c>
      <c r="E485" s="2" t="s">
        <v>582</v>
      </c>
      <c r="F485" s="2">
        <v>4773410</v>
      </c>
      <c r="G485" s="35" t="s">
        <v>828</v>
      </c>
      <c r="H485">
        <v>5000</v>
      </c>
      <c r="I485" s="43">
        <f t="shared" si="36"/>
        <v>5000</v>
      </c>
      <c r="J485" s="3">
        <v>500</v>
      </c>
      <c r="K485" s="44">
        <f t="shared" si="35"/>
        <v>4500</v>
      </c>
      <c r="L485" s="23">
        <v>0</v>
      </c>
      <c r="M485" s="24">
        <f t="shared" si="37"/>
        <v>0</v>
      </c>
      <c r="N485" s="25">
        <v>10</v>
      </c>
      <c r="O485" s="22">
        <f t="shared" si="38"/>
        <v>500</v>
      </c>
      <c r="P485" s="24">
        <f t="shared" si="39"/>
        <v>1</v>
      </c>
    </row>
    <row r="486" spans="2:16" ht="24" customHeight="1" x14ac:dyDescent="0.25">
      <c r="B486" s="1">
        <v>338</v>
      </c>
      <c r="C486" s="6">
        <v>12831713</v>
      </c>
      <c r="D486" s="2" t="s">
        <v>465</v>
      </c>
      <c r="E486" s="2" t="s">
        <v>591</v>
      </c>
      <c r="F486" s="2">
        <v>6829534019</v>
      </c>
      <c r="G486" s="35" t="s">
        <v>829</v>
      </c>
      <c r="H486">
        <v>5000</v>
      </c>
      <c r="I486" s="43">
        <f t="shared" si="36"/>
        <v>5000</v>
      </c>
      <c r="J486" s="3">
        <v>500</v>
      </c>
      <c r="K486" s="44">
        <f t="shared" si="35"/>
        <v>4500</v>
      </c>
      <c r="L486" s="23">
        <v>0</v>
      </c>
      <c r="M486" s="24">
        <f t="shared" si="37"/>
        <v>0</v>
      </c>
      <c r="N486" s="25">
        <v>10</v>
      </c>
      <c r="O486" s="22">
        <f t="shared" si="38"/>
        <v>500</v>
      </c>
      <c r="P486" s="24">
        <f t="shared" si="39"/>
        <v>1</v>
      </c>
    </row>
    <row r="487" spans="2:16" ht="24" customHeight="1" x14ac:dyDescent="0.25">
      <c r="B487" s="1">
        <v>339</v>
      </c>
      <c r="C487" s="6">
        <v>15984913</v>
      </c>
      <c r="D487" s="2" t="s">
        <v>466</v>
      </c>
      <c r="E487" s="2" t="s">
        <v>579</v>
      </c>
      <c r="F487" s="2">
        <v>9862163</v>
      </c>
      <c r="G487" s="35" t="s">
        <v>830</v>
      </c>
      <c r="H487">
        <v>5000</v>
      </c>
      <c r="I487" s="43">
        <f t="shared" si="36"/>
        <v>4750</v>
      </c>
      <c r="J487" s="3">
        <v>475</v>
      </c>
      <c r="K487" s="44">
        <f t="shared" si="35"/>
        <v>4275</v>
      </c>
      <c r="L487" s="23">
        <v>0.05</v>
      </c>
      <c r="M487" s="24">
        <f t="shared" si="37"/>
        <v>250</v>
      </c>
      <c r="N487" s="25">
        <v>10</v>
      </c>
      <c r="O487" s="22">
        <f t="shared" si="38"/>
        <v>475</v>
      </c>
      <c r="P487" s="24">
        <f t="shared" si="39"/>
        <v>1</v>
      </c>
    </row>
    <row r="488" spans="2:16" ht="24" customHeight="1" x14ac:dyDescent="0.25">
      <c r="B488" s="1">
        <v>339</v>
      </c>
      <c r="C488" s="6">
        <v>12604393</v>
      </c>
      <c r="D488" s="2" t="s">
        <v>467</v>
      </c>
      <c r="E488" s="2" t="s">
        <v>586</v>
      </c>
      <c r="F488" s="2">
        <v>9862164</v>
      </c>
      <c r="G488" s="35" t="s">
        <v>830</v>
      </c>
      <c r="H488">
        <v>5000</v>
      </c>
      <c r="I488" s="43">
        <f t="shared" si="36"/>
        <v>5000</v>
      </c>
      <c r="J488" s="3">
        <v>500</v>
      </c>
      <c r="K488" s="44">
        <f t="shared" si="35"/>
        <v>4500</v>
      </c>
      <c r="L488" s="23">
        <v>0</v>
      </c>
      <c r="M488" s="24">
        <f t="shared" si="37"/>
        <v>0</v>
      </c>
      <c r="N488" s="25">
        <v>10</v>
      </c>
      <c r="O488" s="22">
        <f t="shared" si="38"/>
        <v>500</v>
      </c>
      <c r="P488" s="24">
        <f t="shared" si="39"/>
        <v>1</v>
      </c>
    </row>
    <row r="489" spans="2:16" ht="24" customHeight="1" x14ac:dyDescent="0.25">
      <c r="B489" s="1">
        <v>340</v>
      </c>
      <c r="C489" s="6">
        <v>14401103</v>
      </c>
      <c r="D489" s="2" t="s">
        <v>468</v>
      </c>
      <c r="E489" s="2" t="s">
        <v>583</v>
      </c>
      <c r="F489" s="2">
        <v>592567023</v>
      </c>
      <c r="G489" s="35" t="s">
        <v>831</v>
      </c>
      <c r="H489">
        <v>5000</v>
      </c>
      <c r="I489" s="43">
        <f t="shared" si="36"/>
        <v>4750</v>
      </c>
      <c r="J489" s="3">
        <v>4750</v>
      </c>
      <c r="K489" s="44">
        <f t="shared" si="35"/>
        <v>0</v>
      </c>
      <c r="L489" s="23">
        <v>0.05</v>
      </c>
      <c r="M489" s="24">
        <f t="shared" si="37"/>
        <v>250</v>
      </c>
      <c r="N489" s="25">
        <v>10</v>
      </c>
      <c r="O489" s="22">
        <f t="shared" si="38"/>
        <v>475</v>
      </c>
      <c r="P489" s="24">
        <f t="shared" si="39"/>
        <v>10</v>
      </c>
    </row>
    <row r="490" spans="2:16" ht="24" customHeight="1" x14ac:dyDescent="0.25">
      <c r="B490" s="1">
        <v>340</v>
      </c>
      <c r="C490" s="6">
        <v>14401102</v>
      </c>
      <c r="D490" s="2" t="s">
        <v>469</v>
      </c>
      <c r="E490" s="2" t="s">
        <v>585</v>
      </c>
      <c r="F490" s="2">
        <v>592567024</v>
      </c>
      <c r="G490" s="35" t="s">
        <v>831</v>
      </c>
      <c r="H490">
        <v>5000</v>
      </c>
      <c r="I490" s="43">
        <f t="shared" si="36"/>
        <v>4750</v>
      </c>
      <c r="J490" s="3">
        <v>4750</v>
      </c>
      <c r="K490" s="44">
        <f t="shared" si="35"/>
        <v>0</v>
      </c>
      <c r="L490" s="23">
        <v>0.05</v>
      </c>
      <c r="M490" s="24">
        <f t="shared" si="37"/>
        <v>250</v>
      </c>
      <c r="N490" s="25">
        <v>10</v>
      </c>
      <c r="O490" s="22">
        <f t="shared" si="38"/>
        <v>475</v>
      </c>
      <c r="P490" s="24">
        <f t="shared" si="39"/>
        <v>10</v>
      </c>
    </row>
    <row r="491" spans="2:16" ht="24" customHeight="1" x14ac:dyDescent="0.25">
      <c r="B491" s="1">
        <v>341</v>
      </c>
      <c r="C491" s="6">
        <v>11068205</v>
      </c>
      <c r="D491" s="2" t="s">
        <v>470</v>
      </c>
      <c r="E491" s="2" t="s">
        <v>592</v>
      </c>
      <c r="F491" s="2">
        <v>4775011</v>
      </c>
      <c r="G491" s="35" t="s">
        <v>832</v>
      </c>
      <c r="H491">
        <v>5000</v>
      </c>
      <c r="I491" s="43">
        <f t="shared" si="36"/>
        <v>5000</v>
      </c>
      <c r="J491" s="3">
        <v>500</v>
      </c>
      <c r="K491" s="44">
        <f t="shared" si="35"/>
        <v>4500</v>
      </c>
      <c r="L491" s="23">
        <v>0</v>
      </c>
      <c r="M491" s="24">
        <f t="shared" si="37"/>
        <v>0</v>
      </c>
      <c r="N491" s="25">
        <v>10</v>
      </c>
      <c r="O491" s="22">
        <f t="shared" si="38"/>
        <v>500</v>
      </c>
      <c r="P491" s="24">
        <f t="shared" si="39"/>
        <v>1</v>
      </c>
    </row>
    <row r="492" spans="2:16" ht="24" customHeight="1" x14ac:dyDescent="0.25">
      <c r="B492" s="1">
        <v>342</v>
      </c>
      <c r="C492" s="6">
        <v>15319032</v>
      </c>
      <c r="D492" s="2" t="s">
        <v>471</v>
      </c>
      <c r="E492" s="2" t="s">
        <v>583</v>
      </c>
      <c r="F492" s="2">
        <v>8335423</v>
      </c>
      <c r="G492" s="35" t="s">
        <v>802</v>
      </c>
      <c r="H492">
        <v>5000</v>
      </c>
      <c r="I492" s="43">
        <f t="shared" si="36"/>
        <v>5000</v>
      </c>
      <c r="J492" s="3">
        <v>500</v>
      </c>
      <c r="K492" s="44">
        <f t="shared" si="35"/>
        <v>4500</v>
      </c>
      <c r="L492" s="23">
        <v>0</v>
      </c>
      <c r="M492" s="24">
        <f t="shared" si="37"/>
        <v>0</v>
      </c>
      <c r="N492" s="25">
        <v>10</v>
      </c>
      <c r="O492" s="22">
        <f t="shared" si="38"/>
        <v>500</v>
      </c>
      <c r="P492" s="24">
        <f t="shared" si="39"/>
        <v>1</v>
      </c>
    </row>
    <row r="493" spans="2:16" ht="24" customHeight="1" x14ac:dyDescent="0.25">
      <c r="B493" s="1">
        <v>343</v>
      </c>
      <c r="C493" s="6">
        <v>16250354</v>
      </c>
      <c r="D493" s="2" t="s">
        <v>472</v>
      </c>
      <c r="E493" s="2" t="s">
        <v>580</v>
      </c>
      <c r="F493" s="2">
        <v>10064584</v>
      </c>
      <c r="G493" s="35" t="s">
        <v>833</v>
      </c>
      <c r="H493">
        <v>5000</v>
      </c>
      <c r="I493" s="43">
        <f t="shared" si="36"/>
        <v>5000</v>
      </c>
      <c r="J493" s="3">
        <v>500</v>
      </c>
      <c r="K493" s="44">
        <f t="shared" si="35"/>
        <v>4500</v>
      </c>
      <c r="L493" s="23">
        <v>0</v>
      </c>
      <c r="M493" s="24">
        <f t="shared" si="37"/>
        <v>0</v>
      </c>
      <c r="N493" s="25">
        <v>10</v>
      </c>
      <c r="O493" s="22">
        <f t="shared" si="38"/>
        <v>500</v>
      </c>
      <c r="P493" s="24">
        <f t="shared" si="39"/>
        <v>1</v>
      </c>
    </row>
    <row r="494" spans="2:16" ht="24" customHeight="1" x14ac:dyDescent="0.25">
      <c r="B494" s="1">
        <v>344</v>
      </c>
      <c r="C494" s="6">
        <v>17188325</v>
      </c>
      <c r="D494" s="2" t="s">
        <v>473</v>
      </c>
      <c r="E494" s="2" t="s">
        <v>582</v>
      </c>
      <c r="F494" s="2">
        <v>6091273019</v>
      </c>
      <c r="G494" s="35" t="s">
        <v>662</v>
      </c>
      <c r="H494">
        <v>5000</v>
      </c>
      <c r="I494" s="43">
        <f t="shared" si="36"/>
        <v>5000</v>
      </c>
      <c r="J494" s="3">
        <v>500</v>
      </c>
      <c r="K494" s="44">
        <f t="shared" si="35"/>
        <v>4500</v>
      </c>
      <c r="L494" s="23">
        <v>0</v>
      </c>
      <c r="M494" s="24">
        <f t="shared" si="37"/>
        <v>0</v>
      </c>
      <c r="N494" s="25">
        <v>10</v>
      </c>
      <c r="O494" s="22">
        <f t="shared" si="38"/>
        <v>500</v>
      </c>
      <c r="P494" s="24">
        <f t="shared" si="39"/>
        <v>1</v>
      </c>
    </row>
    <row r="495" spans="2:16" ht="24" customHeight="1" x14ac:dyDescent="0.25">
      <c r="B495" s="1">
        <v>344</v>
      </c>
      <c r="C495" s="6">
        <v>17188293</v>
      </c>
      <c r="D495" s="2" t="s">
        <v>474</v>
      </c>
      <c r="E495" s="2" t="s">
        <v>590</v>
      </c>
      <c r="F495" s="2">
        <v>6091273020</v>
      </c>
      <c r="G495" s="35" t="s">
        <v>662</v>
      </c>
      <c r="H495">
        <v>5000</v>
      </c>
      <c r="I495" s="43">
        <f t="shared" si="36"/>
        <v>4750</v>
      </c>
      <c r="J495" s="3">
        <v>475</v>
      </c>
      <c r="K495" s="44">
        <f t="shared" si="35"/>
        <v>4275</v>
      </c>
      <c r="L495" s="23">
        <v>0.05</v>
      </c>
      <c r="M495" s="24">
        <f t="shared" si="37"/>
        <v>250</v>
      </c>
      <c r="N495" s="25">
        <v>10</v>
      </c>
      <c r="O495" s="22">
        <f t="shared" si="38"/>
        <v>475</v>
      </c>
      <c r="P495" s="24">
        <f t="shared" si="39"/>
        <v>1</v>
      </c>
    </row>
    <row r="496" spans="2:16" ht="24" customHeight="1" x14ac:dyDescent="0.25">
      <c r="B496" s="1">
        <v>344</v>
      </c>
      <c r="C496" s="6">
        <v>15330023</v>
      </c>
      <c r="D496" s="2" t="s">
        <v>475</v>
      </c>
      <c r="E496" s="2" t="s">
        <v>589</v>
      </c>
      <c r="F496" s="2">
        <v>6091273021</v>
      </c>
      <c r="G496" s="35" t="s">
        <v>662</v>
      </c>
      <c r="H496">
        <v>5000</v>
      </c>
      <c r="I496" s="43">
        <f t="shared" si="36"/>
        <v>4500</v>
      </c>
      <c r="J496" s="3">
        <v>450</v>
      </c>
      <c r="K496" s="44">
        <f t="shared" si="35"/>
        <v>4050</v>
      </c>
      <c r="L496" s="23">
        <v>0.1</v>
      </c>
      <c r="M496" s="24">
        <f t="shared" si="37"/>
        <v>500</v>
      </c>
      <c r="N496" s="25">
        <v>10</v>
      </c>
      <c r="O496" s="22">
        <f t="shared" si="38"/>
        <v>450</v>
      </c>
      <c r="P496" s="24">
        <f t="shared" si="39"/>
        <v>1</v>
      </c>
    </row>
    <row r="497" spans="2:16" ht="24" customHeight="1" x14ac:dyDescent="0.25">
      <c r="B497" s="1">
        <v>345</v>
      </c>
      <c r="C497" s="6">
        <v>15291779</v>
      </c>
      <c r="D497" s="2" t="s">
        <v>476</v>
      </c>
      <c r="E497" s="2" t="s">
        <v>584</v>
      </c>
      <c r="F497" s="2">
        <v>6012679</v>
      </c>
      <c r="G497" s="35" t="s">
        <v>611</v>
      </c>
      <c r="H497">
        <v>5000</v>
      </c>
      <c r="I497" s="43">
        <f t="shared" si="36"/>
        <v>5000</v>
      </c>
      <c r="J497" s="3">
        <v>500</v>
      </c>
      <c r="K497" s="44">
        <f t="shared" si="35"/>
        <v>4500</v>
      </c>
      <c r="L497" s="23">
        <v>0</v>
      </c>
      <c r="M497" s="24">
        <f t="shared" si="37"/>
        <v>0</v>
      </c>
      <c r="N497" s="25">
        <v>10</v>
      </c>
      <c r="O497" s="22">
        <f t="shared" si="38"/>
        <v>500</v>
      </c>
      <c r="P497" s="24">
        <f t="shared" si="39"/>
        <v>1</v>
      </c>
    </row>
    <row r="498" spans="2:16" ht="24" customHeight="1" x14ac:dyDescent="0.25">
      <c r="B498" s="1">
        <v>346</v>
      </c>
      <c r="C498" s="6">
        <v>15389115</v>
      </c>
      <c r="D498" s="2" t="s">
        <v>477</v>
      </c>
      <c r="E498" s="2" t="s">
        <v>583</v>
      </c>
      <c r="F498" s="2">
        <v>4367527</v>
      </c>
      <c r="G498" s="35" t="s">
        <v>651</v>
      </c>
      <c r="H498">
        <v>5000</v>
      </c>
      <c r="I498" s="43">
        <f t="shared" si="36"/>
        <v>5000</v>
      </c>
      <c r="J498" s="3">
        <v>500</v>
      </c>
      <c r="K498" s="44">
        <f t="shared" si="35"/>
        <v>4500</v>
      </c>
      <c r="L498" s="23">
        <v>0</v>
      </c>
      <c r="M498" s="24">
        <f t="shared" si="37"/>
        <v>0</v>
      </c>
      <c r="N498" s="25">
        <v>10</v>
      </c>
      <c r="O498" s="22">
        <f t="shared" si="38"/>
        <v>500</v>
      </c>
      <c r="P498" s="24">
        <f t="shared" si="39"/>
        <v>1</v>
      </c>
    </row>
    <row r="499" spans="2:16" ht="24" customHeight="1" x14ac:dyDescent="0.25">
      <c r="B499" s="1">
        <v>347</v>
      </c>
      <c r="C499" s="6">
        <v>13494549</v>
      </c>
      <c r="D499" s="2" t="s">
        <v>478</v>
      </c>
      <c r="E499" s="2" t="s">
        <v>593</v>
      </c>
      <c r="F499" s="2">
        <v>4839273</v>
      </c>
      <c r="G499" s="35" t="s">
        <v>834</v>
      </c>
      <c r="H499">
        <v>5000</v>
      </c>
      <c r="I499" s="43">
        <f t="shared" si="36"/>
        <v>5000</v>
      </c>
      <c r="J499" s="3">
        <v>500</v>
      </c>
      <c r="K499" s="44">
        <f t="shared" si="35"/>
        <v>4500</v>
      </c>
      <c r="L499" s="23">
        <v>0</v>
      </c>
      <c r="M499" s="24">
        <f t="shared" si="37"/>
        <v>0</v>
      </c>
      <c r="N499" s="25">
        <v>10</v>
      </c>
      <c r="O499" s="22">
        <f t="shared" si="38"/>
        <v>500</v>
      </c>
      <c r="P499" s="24">
        <f t="shared" si="39"/>
        <v>1</v>
      </c>
    </row>
    <row r="500" spans="2:16" ht="24" customHeight="1" x14ac:dyDescent="0.25">
      <c r="B500" s="1">
        <v>347</v>
      </c>
      <c r="C500" s="6">
        <v>15124379</v>
      </c>
      <c r="D500" s="2" t="s">
        <v>479</v>
      </c>
      <c r="E500" s="2" t="s">
        <v>594</v>
      </c>
      <c r="F500" s="2">
        <v>4839274</v>
      </c>
      <c r="G500" s="35" t="s">
        <v>834</v>
      </c>
      <c r="H500">
        <v>5000</v>
      </c>
      <c r="I500" s="43">
        <f t="shared" si="36"/>
        <v>4750</v>
      </c>
      <c r="J500" s="3">
        <v>475</v>
      </c>
      <c r="K500" s="44">
        <f t="shared" si="35"/>
        <v>4275</v>
      </c>
      <c r="L500" s="23">
        <v>0.05</v>
      </c>
      <c r="M500" s="24">
        <f t="shared" si="37"/>
        <v>250</v>
      </c>
      <c r="N500" s="25">
        <v>10</v>
      </c>
      <c r="O500" s="22">
        <f t="shared" si="38"/>
        <v>475</v>
      </c>
      <c r="P500" s="24">
        <f t="shared" si="39"/>
        <v>1</v>
      </c>
    </row>
    <row r="501" spans="2:16" ht="24" customHeight="1" x14ac:dyDescent="0.25">
      <c r="B501" s="1">
        <v>348</v>
      </c>
      <c r="C501" s="6">
        <v>15547656</v>
      </c>
      <c r="D501" s="2" t="s">
        <v>480</v>
      </c>
      <c r="E501" s="2" t="s">
        <v>589</v>
      </c>
      <c r="F501" s="2">
        <v>7001740</v>
      </c>
      <c r="G501" s="35" t="s">
        <v>835</v>
      </c>
      <c r="H501">
        <v>5000</v>
      </c>
      <c r="I501" s="43">
        <f t="shared" si="36"/>
        <v>5000</v>
      </c>
      <c r="J501" s="3">
        <v>500</v>
      </c>
      <c r="K501" s="44">
        <f t="shared" si="35"/>
        <v>4500</v>
      </c>
      <c r="L501" s="23">
        <v>0</v>
      </c>
      <c r="M501" s="24">
        <f t="shared" si="37"/>
        <v>0</v>
      </c>
      <c r="N501" s="25">
        <v>10</v>
      </c>
      <c r="O501" s="22">
        <f t="shared" si="38"/>
        <v>500</v>
      </c>
      <c r="P501" s="24">
        <f t="shared" si="39"/>
        <v>1</v>
      </c>
    </row>
    <row r="502" spans="2:16" ht="24" customHeight="1" x14ac:dyDescent="0.25">
      <c r="B502" s="1">
        <v>348</v>
      </c>
      <c r="C502" s="6">
        <v>16780947</v>
      </c>
      <c r="D502" s="2" t="s">
        <v>481</v>
      </c>
      <c r="E502" s="2" t="s">
        <v>581</v>
      </c>
      <c r="F502" s="2">
        <v>7001741</v>
      </c>
      <c r="G502" s="35" t="s">
        <v>835</v>
      </c>
      <c r="H502">
        <v>5000</v>
      </c>
      <c r="I502" s="43">
        <f t="shared" si="36"/>
        <v>4750</v>
      </c>
      <c r="J502" s="3">
        <v>475</v>
      </c>
      <c r="K502" s="44">
        <f t="shared" si="35"/>
        <v>4275</v>
      </c>
      <c r="L502" s="23">
        <v>0.05</v>
      </c>
      <c r="M502" s="24">
        <f t="shared" si="37"/>
        <v>250</v>
      </c>
      <c r="N502" s="25">
        <v>10</v>
      </c>
      <c r="O502" s="22">
        <f t="shared" si="38"/>
        <v>475</v>
      </c>
      <c r="P502" s="24">
        <f t="shared" si="39"/>
        <v>1</v>
      </c>
    </row>
    <row r="503" spans="2:16" ht="24" customHeight="1" x14ac:dyDescent="0.25">
      <c r="B503" s="1">
        <v>349</v>
      </c>
      <c r="C503" s="6">
        <v>13696749</v>
      </c>
      <c r="D503" s="2" t="s">
        <v>482</v>
      </c>
      <c r="E503" s="2" t="s">
        <v>582</v>
      </c>
      <c r="F503" s="2">
        <v>6033831</v>
      </c>
      <c r="G503" s="35" t="s">
        <v>836</v>
      </c>
      <c r="H503">
        <v>5000</v>
      </c>
      <c r="I503" s="43">
        <f t="shared" si="36"/>
        <v>5000</v>
      </c>
      <c r="J503" s="3">
        <v>500</v>
      </c>
      <c r="K503" s="44">
        <f t="shared" si="35"/>
        <v>4500</v>
      </c>
      <c r="L503" s="23">
        <v>0</v>
      </c>
      <c r="M503" s="24">
        <f t="shared" si="37"/>
        <v>0</v>
      </c>
      <c r="N503" s="25">
        <v>10</v>
      </c>
      <c r="O503" s="22">
        <f t="shared" si="38"/>
        <v>500</v>
      </c>
      <c r="P503" s="24">
        <f t="shared" si="39"/>
        <v>1</v>
      </c>
    </row>
    <row r="504" spans="2:16" ht="24" customHeight="1" x14ac:dyDescent="0.25">
      <c r="B504" s="1">
        <v>350</v>
      </c>
      <c r="C504" s="6">
        <v>13494519</v>
      </c>
      <c r="D504" s="2" t="s">
        <v>483</v>
      </c>
      <c r="E504" s="2" t="s">
        <v>585</v>
      </c>
      <c r="F504" s="2">
        <v>5983950012</v>
      </c>
      <c r="G504" s="35" t="s">
        <v>837</v>
      </c>
      <c r="H504">
        <v>5000</v>
      </c>
      <c r="I504" s="43">
        <f t="shared" si="36"/>
        <v>5000</v>
      </c>
      <c r="J504" s="3">
        <v>500</v>
      </c>
      <c r="K504" s="44">
        <f t="shared" si="35"/>
        <v>4500</v>
      </c>
      <c r="L504" s="23">
        <v>0</v>
      </c>
      <c r="M504" s="24">
        <f t="shared" si="37"/>
        <v>0</v>
      </c>
      <c r="N504" s="25">
        <v>10</v>
      </c>
      <c r="O504" s="22">
        <f t="shared" si="38"/>
        <v>500</v>
      </c>
      <c r="P504" s="24">
        <f t="shared" si="39"/>
        <v>1</v>
      </c>
    </row>
    <row r="505" spans="2:16" ht="24" customHeight="1" x14ac:dyDescent="0.25">
      <c r="B505" s="1">
        <v>351</v>
      </c>
      <c r="C505" s="6">
        <v>14937547</v>
      </c>
      <c r="D505" s="2" t="s">
        <v>484</v>
      </c>
      <c r="E505" s="2" t="s">
        <v>586</v>
      </c>
      <c r="F505" s="2">
        <v>7001235</v>
      </c>
      <c r="G505" s="35" t="s">
        <v>656</v>
      </c>
      <c r="H505">
        <v>5000</v>
      </c>
      <c r="I505" s="43">
        <f t="shared" si="36"/>
        <v>5000</v>
      </c>
      <c r="J505" s="3">
        <v>2500</v>
      </c>
      <c r="K505" s="44">
        <f t="shared" si="35"/>
        <v>2500</v>
      </c>
      <c r="L505" s="23">
        <v>0</v>
      </c>
      <c r="M505" s="24">
        <f t="shared" si="37"/>
        <v>0</v>
      </c>
      <c r="N505" s="25">
        <v>10</v>
      </c>
      <c r="O505" s="22">
        <f t="shared" si="38"/>
        <v>500</v>
      </c>
      <c r="P505" s="24">
        <f t="shared" si="39"/>
        <v>5</v>
      </c>
    </row>
    <row r="506" spans="2:16" ht="24" customHeight="1" x14ac:dyDescent="0.25">
      <c r="B506" s="1">
        <v>351</v>
      </c>
      <c r="C506" s="6">
        <v>15184912</v>
      </c>
      <c r="D506" s="2" t="s">
        <v>485</v>
      </c>
      <c r="E506" s="2" t="s">
        <v>580</v>
      </c>
      <c r="F506" s="2">
        <v>7001235</v>
      </c>
      <c r="G506" s="35" t="s">
        <v>656</v>
      </c>
      <c r="H506">
        <v>5000</v>
      </c>
      <c r="I506" s="43">
        <f t="shared" si="36"/>
        <v>4750</v>
      </c>
      <c r="J506" s="3">
        <v>2375</v>
      </c>
      <c r="K506" s="44">
        <f t="shared" si="35"/>
        <v>2375</v>
      </c>
      <c r="L506" s="23">
        <v>0.05</v>
      </c>
      <c r="M506" s="24">
        <f t="shared" si="37"/>
        <v>250</v>
      </c>
      <c r="N506" s="25">
        <v>10</v>
      </c>
      <c r="O506" s="22">
        <f t="shared" si="38"/>
        <v>475</v>
      </c>
      <c r="P506" s="24">
        <f t="shared" si="39"/>
        <v>5</v>
      </c>
    </row>
    <row r="507" spans="2:16" ht="24" customHeight="1" x14ac:dyDescent="0.25">
      <c r="B507" s="1">
        <v>352</v>
      </c>
      <c r="C507" s="6">
        <v>13634407</v>
      </c>
      <c r="D507" s="2" t="s">
        <v>486</v>
      </c>
      <c r="E507" s="2" t="s">
        <v>584</v>
      </c>
      <c r="F507" s="2">
        <v>4926591013</v>
      </c>
      <c r="G507" s="35" t="s">
        <v>656</v>
      </c>
      <c r="H507">
        <v>5000</v>
      </c>
      <c r="I507" s="43">
        <f t="shared" si="36"/>
        <v>5000</v>
      </c>
      <c r="J507" s="3">
        <v>500</v>
      </c>
      <c r="K507" s="44">
        <f t="shared" si="35"/>
        <v>4500</v>
      </c>
      <c r="L507" s="23">
        <v>0</v>
      </c>
      <c r="M507" s="24">
        <f t="shared" si="37"/>
        <v>0</v>
      </c>
      <c r="N507" s="25">
        <v>10</v>
      </c>
      <c r="O507" s="22">
        <f t="shared" si="38"/>
        <v>500</v>
      </c>
      <c r="P507" s="24">
        <f t="shared" si="39"/>
        <v>1</v>
      </c>
    </row>
    <row r="508" spans="2:16" ht="24" customHeight="1" x14ac:dyDescent="0.25">
      <c r="B508" s="1">
        <v>352</v>
      </c>
      <c r="C508" s="6">
        <v>15230284</v>
      </c>
      <c r="D508" s="2" t="s">
        <v>487</v>
      </c>
      <c r="E508" s="2" t="s">
        <v>595</v>
      </c>
      <c r="F508" s="2">
        <v>4926591014</v>
      </c>
      <c r="G508" s="35" t="s">
        <v>656</v>
      </c>
      <c r="H508">
        <v>5000</v>
      </c>
      <c r="I508" s="43">
        <f t="shared" si="36"/>
        <v>4750</v>
      </c>
      <c r="J508" s="3">
        <v>475</v>
      </c>
      <c r="K508" s="44">
        <f t="shared" si="35"/>
        <v>4275</v>
      </c>
      <c r="L508" s="23">
        <v>0.05</v>
      </c>
      <c r="M508" s="24">
        <f t="shared" si="37"/>
        <v>250</v>
      </c>
      <c r="N508" s="25">
        <v>10</v>
      </c>
      <c r="O508" s="22">
        <f t="shared" si="38"/>
        <v>475</v>
      </c>
      <c r="P508" s="24">
        <f t="shared" si="39"/>
        <v>1</v>
      </c>
    </row>
    <row r="509" spans="2:16" ht="24" customHeight="1" x14ac:dyDescent="0.25">
      <c r="B509" s="1">
        <v>353</v>
      </c>
      <c r="C509" s="6">
        <v>14651015</v>
      </c>
      <c r="D509" s="2" t="s">
        <v>488</v>
      </c>
      <c r="E509" s="2" t="s">
        <v>596</v>
      </c>
      <c r="F509" s="2">
        <v>7094493014</v>
      </c>
      <c r="G509" s="35" t="s">
        <v>748</v>
      </c>
      <c r="H509">
        <v>5000</v>
      </c>
      <c r="I509" s="43">
        <f t="shared" si="36"/>
        <v>5000</v>
      </c>
      <c r="J509" s="3">
        <v>500</v>
      </c>
      <c r="K509" s="44">
        <f t="shared" si="35"/>
        <v>4500</v>
      </c>
      <c r="L509" s="23">
        <v>0</v>
      </c>
      <c r="M509" s="24">
        <f t="shared" si="37"/>
        <v>0</v>
      </c>
      <c r="N509" s="25">
        <v>10</v>
      </c>
      <c r="O509" s="22">
        <f t="shared" si="38"/>
        <v>500</v>
      </c>
      <c r="P509" s="24">
        <f t="shared" si="39"/>
        <v>1</v>
      </c>
    </row>
    <row r="510" spans="2:16" ht="24" customHeight="1" x14ac:dyDescent="0.25">
      <c r="B510" s="1">
        <v>353</v>
      </c>
      <c r="C510" s="6">
        <v>15171641</v>
      </c>
      <c r="D510" s="2" t="s">
        <v>489</v>
      </c>
      <c r="E510" s="2" t="s">
        <v>580</v>
      </c>
      <c r="F510" s="2">
        <v>7094493015</v>
      </c>
      <c r="G510" s="35" t="s">
        <v>748</v>
      </c>
      <c r="H510">
        <v>5000</v>
      </c>
      <c r="I510" s="43">
        <f t="shared" si="36"/>
        <v>4750</v>
      </c>
      <c r="J510" s="3">
        <v>475</v>
      </c>
      <c r="K510" s="44">
        <f t="shared" ref="K510:K569" si="40">I510-J510</f>
        <v>4275</v>
      </c>
      <c r="L510" s="23">
        <v>0.05</v>
      </c>
      <c r="M510" s="24">
        <f t="shared" si="37"/>
        <v>250</v>
      </c>
      <c r="N510" s="25">
        <v>10</v>
      </c>
      <c r="O510" s="22">
        <f t="shared" si="38"/>
        <v>475</v>
      </c>
      <c r="P510" s="24">
        <f t="shared" si="39"/>
        <v>1</v>
      </c>
    </row>
    <row r="511" spans="2:16" ht="24" customHeight="1" x14ac:dyDescent="0.25">
      <c r="B511" s="1">
        <v>354</v>
      </c>
      <c r="C511" s="6">
        <v>15210415</v>
      </c>
      <c r="D511" s="2" t="s">
        <v>490</v>
      </c>
      <c r="E511" s="2" t="s">
        <v>580</v>
      </c>
      <c r="F511" s="2">
        <v>678365</v>
      </c>
      <c r="G511" s="35" t="s">
        <v>656</v>
      </c>
      <c r="H511">
        <v>5000</v>
      </c>
      <c r="I511" s="43">
        <f t="shared" si="36"/>
        <v>4750</v>
      </c>
      <c r="J511" s="3">
        <v>475</v>
      </c>
      <c r="K511" s="44">
        <f t="shared" si="40"/>
        <v>4275</v>
      </c>
      <c r="L511" s="23">
        <v>0.05</v>
      </c>
      <c r="M511" s="24">
        <f t="shared" si="37"/>
        <v>250</v>
      </c>
      <c r="N511" s="25">
        <v>10</v>
      </c>
      <c r="O511" s="22">
        <f t="shared" si="38"/>
        <v>475</v>
      </c>
      <c r="P511" s="24">
        <f t="shared" si="39"/>
        <v>1</v>
      </c>
    </row>
    <row r="512" spans="2:16" ht="24" customHeight="1" x14ac:dyDescent="0.25">
      <c r="B512" s="1">
        <v>354</v>
      </c>
      <c r="C512" s="6">
        <v>11542648</v>
      </c>
      <c r="D512" s="2" t="s">
        <v>491</v>
      </c>
      <c r="E512" s="2" t="s">
        <v>588</v>
      </c>
      <c r="F512" s="2">
        <v>678366</v>
      </c>
      <c r="G512" s="35" t="s">
        <v>656</v>
      </c>
      <c r="H512">
        <v>5000</v>
      </c>
      <c r="I512" s="43">
        <f t="shared" si="36"/>
        <v>5000</v>
      </c>
      <c r="J512" s="3">
        <v>500</v>
      </c>
      <c r="K512" s="44">
        <f t="shared" si="40"/>
        <v>4500</v>
      </c>
      <c r="L512" s="23">
        <v>0</v>
      </c>
      <c r="M512" s="24">
        <f t="shared" si="37"/>
        <v>0</v>
      </c>
      <c r="N512" s="25">
        <v>10</v>
      </c>
      <c r="O512" s="22">
        <f t="shared" si="38"/>
        <v>500</v>
      </c>
      <c r="P512" s="24">
        <f t="shared" si="39"/>
        <v>1</v>
      </c>
    </row>
    <row r="513" spans="2:16" ht="24" customHeight="1" x14ac:dyDescent="0.25">
      <c r="B513" s="1"/>
      <c r="C513" s="5"/>
      <c r="D513" s="2" t="s">
        <v>492</v>
      </c>
      <c r="E513" s="10" t="s">
        <v>583</v>
      </c>
      <c r="F513" s="10"/>
      <c r="G513" s="36"/>
      <c r="H513">
        <v>5000</v>
      </c>
      <c r="I513" s="43">
        <f t="shared" si="36"/>
        <v>5000</v>
      </c>
      <c r="J513" s="4">
        <v>500</v>
      </c>
      <c r="K513" s="44">
        <f t="shared" si="40"/>
        <v>4500</v>
      </c>
      <c r="L513" s="23">
        <v>0</v>
      </c>
      <c r="M513" s="24">
        <f t="shared" si="37"/>
        <v>0</v>
      </c>
      <c r="N513" s="25">
        <v>10</v>
      </c>
      <c r="O513" s="22">
        <f t="shared" si="38"/>
        <v>500</v>
      </c>
      <c r="P513" s="24">
        <f t="shared" si="39"/>
        <v>1</v>
      </c>
    </row>
    <row r="514" spans="2:16" ht="24" customHeight="1" x14ac:dyDescent="0.25">
      <c r="B514" s="1"/>
      <c r="C514" s="5"/>
      <c r="D514" s="2" t="s">
        <v>493</v>
      </c>
      <c r="E514" s="10" t="s">
        <v>579</v>
      </c>
      <c r="F514" s="10"/>
      <c r="G514" s="36"/>
      <c r="H514">
        <v>5000</v>
      </c>
      <c r="I514" s="43">
        <f t="shared" ref="I514:I577" si="41">H514-M514</f>
        <v>5000</v>
      </c>
      <c r="J514" s="4">
        <v>5000</v>
      </c>
      <c r="K514" s="44">
        <f t="shared" si="40"/>
        <v>0</v>
      </c>
      <c r="L514" s="23">
        <v>0</v>
      </c>
      <c r="M514" s="24">
        <f t="shared" ref="M514:M577" si="42">H514*L514</f>
        <v>0</v>
      </c>
      <c r="N514" s="25">
        <v>10</v>
      </c>
      <c r="O514" s="22">
        <f t="shared" ref="O514:O577" si="43">I514/N514</f>
        <v>500</v>
      </c>
      <c r="P514" s="24">
        <f t="shared" ref="P514:P577" si="44">INT(J514/O514)</f>
        <v>10</v>
      </c>
    </row>
    <row r="515" spans="2:16" ht="24" customHeight="1" x14ac:dyDescent="0.25">
      <c r="B515" s="1"/>
      <c r="C515" s="5"/>
      <c r="D515" s="2" t="s">
        <v>494</v>
      </c>
      <c r="E515" s="10" t="s">
        <v>589</v>
      </c>
      <c r="F515" s="10"/>
      <c r="G515" s="36"/>
      <c r="H515">
        <v>5000</v>
      </c>
      <c r="I515" s="43">
        <f t="shared" si="41"/>
        <v>5000</v>
      </c>
      <c r="J515" s="4">
        <v>5000</v>
      </c>
      <c r="K515" s="44">
        <f t="shared" si="40"/>
        <v>0</v>
      </c>
      <c r="L515" s="23">
        <v>0</v>
      </c>
      <c r="M515" s="24">
        <f t="shared" si="42"/>
        <v>0</v>
      </c>
      <c r="N515" s="25">
        <v>10</v>
      </c>
      <c r="O515" s="22">
        <f t="shared" si="43"/>
        <v>500</v>
      </c>
      <c r="P515" s="24">
        <f t="shared" si="44"/>
        <v>10</v>
      </c>
    </row>
    <row r="516" spans="2:16" ht="24" customHeight="1" x14ac:dyDescent="0.25">
      <c r="B516" s="1"/>
      <c r="C516" s="5"/>
      <c r="D516" s="2" t="s">
        <v>495</v>
      </c>
      <c r="E516" s="10" t="s">
        <v>600</v>
      </c>
      <c r="F516" s="10"/>
      <c r="G516" s="36"/>
      <c r="H516">
        <v>5000</v>
      </c>
      <c r="I516" s="43">
        <f t="shared" si="41"/>
        <v>5000</v>
      </c>
      <c r="J516" s="4">
        <v>5000</v>
      </c>
      <c r="K516" s="44">
        <f t="shared" si="40"/>
        <v>0</v>
      </c>
      <c r="L516" s="23">
        <v>0</v>
      </c>
      <c r="M516" s="24">
        <f t="shared" si="42"/>
        <v>0</v>
      </c>
      <c r="N516" s="25">
        <v>10</v>
      </c>
      <c r="O516" s="22">
        <f t="shared" si="43"/>
        <v>500</v>
      </c>
      <c r="P516" s="24">
        <f t="shared" si="44"/>
        <v>10</v>
      </c>
    </row>
    <row r="517" spans="2:16" ht="24" customHeight="1" x14ac:dyDescent="0.25">
      <c r="B517" s="1">
        <v>355</v>
      </c>
      <c r="C517" s="6">
        <v>13695661</v>
      </c>
      <c r="D517" s="2" t="s">
        <v>496</v>
      </c>
      <c r="E517" s="2" t="s">
        <v>582</v>
      </c>
      <c r="F517" s="2">
        <v>2534800</v>
      </c>
      <c r="G517" s="35" t="s">
        <v>838</v>
      </c>
      <c r="H517">
        <v>5000</v>
      </c>
      <c r="I517" s="43">
        <f t="shared" si="41"/>
        <v>4750</v>
      </c>
      <c r="J517" s="3">
        <v>4750</v>
      </c>
      <c r="K517" s="44">
        <f t="shared" si="40"/>
        <v>0</v>
      </c>
      <c r="L517" s="23">
        <v>0.05</v>
      </c>
      <c r="M517" s="24">
        <f t="shared" si="42"/>
        <v>250</v>
      </c>
      <c r="N517" s="25">
        <v>10</v>
      </c>
      <c r="O517" s="22">
        <f t="shared" si="43"/>
        <v>475</v>
      </c>
      <c r="P517" s="24">
        <f t="shared" si="44"/>
        <v>10</v>
      </c>
    </row>
    <row r="518" spans="2:16" ht="24" customHeight="1" x14ac:dyDescent="0.25">
      <c r="B518" s="1">
        <v>356</v>
      </c>
      <c r="C518" s="5"/>
      <c r="D518" s="2" t="s">
        <v>99</v>
      </c>
      <c r="E518" s="10"/>
      <c r="F518" s="10"/>
      <c r="G518" s="36"/>
      <c r="H518">
        <v>5000</v>
      </c>
      <c r="I518" s="43">
        <f t="shared" si="41"/>
        <v>5000</v>
      </c>
      <c r="J518" s="3">
        <v>0</v>
      </c>
      <c r="K518" s="44">
        <f t="shared" si="40"/>
        <v>5000</v>
      </c>
      <c r="L518" s="23">
        <v>0</v>
      </c>
      <c r="M518" s="24">
        <f t="shared" si="42"/>
        <v>0</v>
      </c>
      <c r="N518" s="25">
        <v>10</v>
      </c>
      <c r="O518" s="22">
        <f t="shared" si="43"/>
        <v>500</v>
      </c>
      <c r="P518" s="24">
        <f t="shared" si="44"/>
        <v>0</v>
      </c>
    </row>
    <row r="519" spans="2:16" ht="24" customHeight="1" x14ac:dyDescent="0.25">
      <c r="B519" s="1">
        <v>357</v>
      </c>
      <c r="C519" s="6">
        <v>15261374</v>
      </c>
      <c r="D519" s="2" t="s">
        <v>497</v>
      </c>
      <c r="E519" s="2" t="s">
        <v>588</v>
      </c>
      <c r="F519" s="2">
        <v>9115522</v>
      </c>
      <c r="G519" s="35" t="s">
        <v>839</v>
      </c>
      <c r="H519">
        <v>5000</v>
      </c>
      <c r="I519" s="43">
        <f t="shared" si="41"/>
        <v>4750</v>
      </c>
      <c r="J519" s="3">
        <v>4750</v>
      </c>
      <c r="K519" s="44">
        <f t="shared" si="40"/>
        <v>0</v>
      </c>
      <c r="L519" s="23">
        <v>0.05</v>
      </c>
      <c r="M519" s="24">
        <f t="shared" si="42"/>
        <v>250</v>
      </c>
      <c r="N519" s="25">
        <v>10</v>
      </c>
      <c r="O519" s="22">
        <f t="shared" si="43"/>
        <v>475</v>
      </c>
      <c r="P519" s="24">
        <f t="shared" si="44"/>
        <v>10</v>
      </c>
    </row>
    <row r="520" spans="2:16" ht="24" customHeight="1" x14ac:dyDescent="0.25">
      <c r="B520" s="1">
        <v>358</v>
      </c>
      <c r="C520" s="6">
        <v>15502456</v>
      </c>
      <c r="D520" s="2" t="s">
        <v>498</v>
      </c>
      <c r="E520" s="2" t="s">
        <v>589</v>
      </c>
      <c r="F520" s="2">
        <v>10807294</v>
      </c>
      <c r="G520" s="35" t="s">
        <v>840</v>
      </c>
      <c r="H520">
        <v>5000</v>
      </c>
      <c r="I520" s="43">
        <f t="shared" si="41"/>
        <v>5000</v>
      </c>
      <c r="J520" s="3">
        <v>500</v>
      </c>
      <c r="K520" s="44">
        <f t="shared" si="40"/>
        <v>4500</v>
      </c>
      <c r="L520" s="23">
        <v>0</v>
      </c>
      <c r="M520" s="24">
        <f t="shared" si="42"/>
        <v>0</v>
      </c>
      <c r="N520" s="25">
        <v>10</v>
      </c>
      <c r="O520" s="22">
        <f t="shared" si="43"/>
        <v>500</v>
      </c>
      <c r="P520" s="24">
        <f t="shared" si="44"/>
        <v>1</v>
      </c>
    </row>
    <row r="521" spans="2:16" ht="24" customHeight="1" x14ac:dyDescent="0.25">
      <c r="B521" s="1">
        <v>359</v>
      </c>
      <c r="C521" s="6">
        <v>14044204</v>
      </c>
      <c r="D521" s="2" t="s">
        <v>499</v>
      </c>
      <c r="E521" s="2" t="s">
        <v>583</v>
      </c>
      <c r="F521" s="2">
        <v>8441090</v>
      </c>
      <c r="G521" s="35" t="s">
        <v>841</v>
      </c>
      <c r="H521">
        <v>5000</v>
      </c>
      <c r="I521" s="43">
        <f t="shared" si="41"/>
        <v>5000</v>
      </c>
      <c r="J521" s="3">
        <v>500</v>
      </c>
      <c r="K521" s="44">
        <f t="shared" si="40"/>
        <v>4500</v>
      </c>
      <c r="L521" s="23">
        <v>0</v>
      </c>
      <c r="M521" s="24">
        <f t="shared" si="42"/>
        <v>0</v>
      </c>
      <c r="N521" s="25">
        <v>10</v>
      </c>
      <c r="O521" s="22">
        <f t="shared" si="43"/>
        <v>500</v>
      </c>
      <c r="P521" s="24">
        <f t="shared" si="44"/>
        <v>1</v>
      </c>
    </row>
    <row r="522" spans="2:16" ht="24" customHeight="1" x14ac:dyDescent="0.25">
      <c r="B522" s="1">
        <v>360</v>
      </c>
      <c r="C522" s="5">
        <v>14884437</v>
      </c>
      <c r="D522" s="2" t="s">
        <v>500</v>
      </c>
      <c r="E522" s="2" t="s">
        <v>590</v>
      </c>
      <c r="F522" s="2">
        <v>7067087</v>
      </c>
      <c r="G522" s="35" t="s">
        <v>842</v>
      </c>
      <c r="H522">
        <v>5000</v>
      </c>
      <c r="I522" s="43">
        <f t="shared" si="41"/>
        <v>5000</v>
      </c>
      <c r="J522" s="3">
        <v>500</v>
      </c>
      <c r="K522" s="44">
        <f t="shared" si="40"/>
        <v>4500</v>
      </c>
      <c r="L522" s="23">
        <v>0</v>
      </c>
      <c r="M522" s="24">
        <f t="shared" si="42"/>
        <v>0</v>
      </c>
      <c r="N522" s="25">
        <v>10</v>
      </c>
      <c r="O522" s="22">
        <f t="shared" si="43"/>
        <v>500</v>
      </c>
      <c r="P522" s="24">
        <f t="shared" si="44"/>
        <v>1</v>
      </c>
    </row>
    <row r="523" spans="2:16" ht="24" customHeight="1" x14ac:dyDescent="0.25">
      <c r="B523" s="1">
        <v>361</v>
      </c>
      <c r="C523" s="6">
        <v>16277639</v>
      </c>
      <c r="D523" s="2" t="s">
        <v>501</v>
      </c>
      <c r="E523" s="2" t="s">
        <v>565</v>
      </c>
      <c r="F523" s="2">
        <v>6076773</v>
      </c>
      <c r="G523" s="35" t="s">
        <v>843</v>
      </c>
      <c r="H523">
        <v>5000</v>
      </c>
      <c r="I523" s="43">
        <f t="shared" si="41"/>
        <v>5000</v>
      </c>
      <c r="J523" s="3">
        <v>500</v>
      </c>
      <c r="K523" s="44">
        <f t="shared" si="40"/>
        <v>4500</v>
      </c>
      <c r="L523" s="23">
        <v>0</v>
      </c>
      <c r="M523" s="24">
        <f t="shared" si="42"/>
        <v>0</v>
      </c>
      <c r="N523" s="25">
        <v>10</v>
      </c>
      <c r="O523" s="22">
        <f t="shared" si="43"/>
        <v>500</v>
      </c>
      <c r="P523" s="24">
        <f t="shared" si="44"/>
        <v>1</v>
      </c>
    </row>
    <row r="524" spans="2:16" ht="24" customHeight="1" x14ac:dyDescent="0.25">
      <c r="B524" s="1">
        <v>362</v>
      </c>
      <c r="C524" s="6">
        <v>15266457</v>
      </c>
      <c r="D524" s="2" t="s">
        <v>502</v>
      </c>
      <c r="E524" s="2" t="s">
        <v>597</v>
      </c>
      <c r="F524" s="2">
        <v>4175853</v>
      </c>
      <c r="G524" s="35" t="s">
        <v>775</v>
      </c>
      <c r="H524">
        <v>5000</v>
      </c>
      <c r="I524" s="43">
        <f t="shared" si="41"/>
        <v>5000</v>
      </c>
      <c r="J524" s="3">
        <v>500</v>
      </c>
      <c r="K524" s="44">
        <f t="shared" si="40"/>
        <v>4500</v>
      </c>
      <c r="L524" s="23">
        <v>0</v>
      </c>
      <c r="M524" s="24">
        <f t="shared" si="42"/>
        <v>0</v>
      </c>
      <c r="N524" s="25">
        <v>10</v>
      </c>
      <c r="O524" s="22">
        <f t="shared" si="43"/>
        <v>500</v>
      </c>
      <c r="P524" s="24">
        <f t="shared" si="44"/>
        <v>1</v>
      </c>
    </row>
    <row r="525" spans="2:16" ht="24" customHeight="1" x14ac:dyDescent="0.25">
      <c r="B525" s="1">
        <v>362</v>
      </c>
      <c r="C525" s="6">
        <v>15266491</v>
      </c>
      <c r="D525" s="2" t="s">
        <v>503</v>
      </c>
      <c r="E525" s="2" t="s">
        <v>584</v>
      </c>
      <c r="F525" s="2">
        <v>4175854</v>
      </c>
      <c r="G525" s="35" t="s">
        <v>775</v>
      </c>
      <c r="H525">
        <v>5000</v>
      </c>
      <c r="I525" s="43">
        <f t="shared" si="41"/>
        <v>4750</v>
      </c>
      <c r="J525" s="3">
        <v>475</v>
      </c>
      <c r="K525" s="44">
        <f t="shared" si="40"/>
        <v>4275</v>
      </c>
      <c r="L525" s="23">
        <v>0.05</v>
      </c>
      <c r="M525" s="24">
        <f t="shared" si="42"/>
        <v>250</v>
      </c>
      <c r="N525" s="25">
        <v>10</v>
      </c>
      <c r="O525" s="22">
        <f t="shared" si="43"/>
        <v>475</v>
      </c>
      <c r="P525" s="24">
        <f t="shared" si="44"/>
        <v>1</v>
      </c>
    </row>
    <row r="526" spans="2:16" ht="24" customHeight="1" x14ac:dyDescent="0.25">
      <c r="B526" s="1">
        <v>363</v>
      </c>
      <c r="C526" s="5"/>
      <c r="D526" s="2" t="s">
        <v>99</v>
      </c>
      <c r="E526" s="10"/>
      <c r="F526" s="10"/>
      <c r="G526" s="36"/>
      <c r="H526">
        <v>5000</v>
      </c>
      <c r="I526" s="43">
        <f t="shared" si="41"/>
        <v>5000</v>
      </c>
      <c r="J526" s="3">
        <v>0</v>
      </c>
      <c r="K526" s="44">
        <f t="shared" si="40"/>
        <v>5000</v>
      </c>
      <c r="L526" s="23">
        <v>0</v>
      </c>
      <c r="M526" s="24">
        <f t="shared" si="42"/>
        <v>0</v>
      </c>
      <c r="N526" s="25">
        <v>10</v>
      </c>
      <c r="O526" s="22">
        <f t="shared" si="43"/>
        <v>500</v>
      </c>
      <c r="P526" s="24">
        <f t="shared" si="44"/>
        <v>0</v>
      </c>
    </row>
    <row r="527" spans="2:16" ht="24" customHeight="1" x14ac:dyDescent="0.25">
      <c r="B527" s="1">
        <v>364</v>
      </c>
      <c r="C527" s="5"/>
      <c r="D527" s="2" t="s">
        <v>99</v>
      </c>
      <c r="E527" s="10"/>
      <c r="F527" s="10"/>
      <c r="G527" s="36"/>
      <c r="H527">
        <v>5000</v>
      </c>
      <c r="I527" s="43">
        <f t="shared" si="41"/>
        <v>5000</v>
      </c>
      <c r="J527" s="3">
        <v>0</v>
      </c>
      <c r="K527" s="44">
        <f t="shared" si="40"/>
        <v>5000</v>
      </c>
      <c r="L527" s="23">
        <v>0</v>
      </c>
      <c r="M527" s="24">
        <f t="shared" si="42"/>
        <v>0</v>
      </c>
      <c r="N527" s="25">
        <v>10</v>
      </c>
      <c r="O527" s="22">
        <f t="shared" si="43"/>
        <v>500</v>
      </c>
      <c r="P527" s="24">
        <f t="shared" si="44"/>
        <v>0</v>
      </c>
    </row>
    <row r="528" spans="2:16" ht="24" customHeight="1" x14ac:dyDescent="0.25">
      <c r="B528" s="1">
        <v>365</v>
      </c>
      <c r="C528" s="6">
        <v>14415960</v>
      </c>
      <c r="D528" s="2" t="s">
        <v>504</v>
      </c>
      <c r="E528" s="2" t="s">
        <v>574</v>
      </c>
      <c r="F528" s="2">
        <v>3376405</v>
      </c>
      <c r="G528" s="35" t="s">
        <v>844</v>
      </c>
      <c r="H528">
        <v>5000</v>
      </c>
      <c r="I528" s="43">
        <f t="shared" si="41"/>
        <v>5000</v>
      </c>
      <c r="J528" s="3">
        <v>500</v>
      </c>
      <c r="K528" s="44">
        <f t="shared" si="40"/>
        <v>4500</v>
      </c>
      <c r="L528" s="23">
        <v>0</v>
      </c>
      <c r="M528" s="24">
        <f t="shared" si="42"/>
        <v>0</v>
      </c>
      <c r="N528" s="25">
        <v>10</v>
      </c>
      <c r="O528" s="22">
        <f t="shared" si="43"/>
        <v>500</v>
      </c>
      <c r="P528" s="24">
        <f t="shared" si="44"/>
        <v>1</v>
      </c>
    </row>
    <row r="529" spans="2:16" ht="24" customHeight="1" x14ac:dyDescent="0.25">
      <c r="B529" s="1">
        <v>366</v>
      </c>
      <c r="C529" s="6">
        <v>150526530</v>
      </c>
      <c r="D529" s="2" t="s">
        <v>505</v>
      </c>
      <c r="E529" s="2" t="s">
        <v>572</v>
      </c>
      <c r="F529" s="2">
        <v>4249507</v>
      </c>
      <c r="G529" s="35" t="s">
        <v>674</v>
      </c>
      <c r="H529">
        <v>5000</v>
      </c>
      <c r="I529" s="43">
        <f t="shared" si="41"/>
        <v>4750</v>
      </c>
      <c r="J529" s="3">
        <v>4750</v>
      </c>
      <c r="K529" s="44">
        <f t="shared" si="40"/>
        <v>0</v>
      </c>
      <c r="L529" s="23">
        <v>0.05</v>
      </c>
      <c r="M529" s="24">
        <f t="shared" si="42"/>
        <v>250</v>
      </c>
      <c r="N529" s="25">
        <v>10</v>
      </c>
      <c r="O529" s="22">
        <f t="shared" si="43"/>
        <v>475</v>
      </c>
      <c r="P529" s="24">
        <f t="shared" si="44"/>
        <v>10</v>
      </c>
    </row>
    <row r="530" spans="2:16" ht="24" customHeight="1" x14ac:dyDescent="0.25">
      <c r="B530" s="1">
        <v>367</v>
      </c>
      <c r="C530" s="31">
        <v>16295851</v>
      </c>
      <c r="D530" s="2" t="s">
        <v>506</v>
      </c>
      <c r="E530" s="2" t="s">
        <v>573</v>
      </c>
      <c r="F530" s="2">
        <v>4943036010</v>
      </c>
      <c r="G530" s="35" t="s">
        <v>845</v>
      </c>
      <c r="H530">
        <v>5000</v>
      </c>
      <c r="I530" s="43">
        <f t="shared" si="41"/>
        <v>4750</v>
      </c>
      <c r="J530" s="3">
        <v>4750</v>
      </c>
      <c r="K530" s="44">
        <f t="shared" si="40"/>
        <v>0</v>
      </c>
      <c r="L530" s="23">
        <v>0.05</v>
      </c>
      <c r="M530" s="24">
        <f t="shared" si="42"/>
        <v>250</v>
      </c>
      <c r="N530" s="25">
        <v>10</v>
      </c>
      <c r="O530" s="22">
        <f t="shared" si="43"/>
        <v>475</v>
      </c>
      <c r="P530" s="24">
        <f t="shared" si="44"/>
        <v>10</v>
      </c>
    </row>
    <row r="531" spans="2:16" ht="24" customHeight="1" x14ac:dyDescent="0.25">
      <c r="B531" s="1">
        <v>367</v>
      </c>
      <c r="C531" s="6">
        <v>16295872</v>
      </c>
      <c r="D531" s="2" t="s">
        <v>507</v>
      </c>
      <c r="E531" s="2" t="s">
        <v>575</v>
      </c>
      <c r="F531" s="2">
        <v>4943036010</v>
      </c>
      <c r="G531" s="35" t="s">
        <v>845</v>
      </c>
      <c r="H531">
        <v>5000</v>
      </c>
      <c r="I531" s="43">
        <f t="shared" si="41"/>
        <v>4750</v>
      </c>
      <c r="J531" s="3">
        <v>4750</v>
      </c>
      <c r="K531" s="44">
        <f t="shared" si="40"/>
        <v>0</v>
      </c>
      <c r="L531" s="23">
        <v>0.05</v>
      </c>
      <c r="M531" s="24">
        <f t="shared" si="42"/>
        <v>250</v>
      </c>
      <c r="N531" s="25">
        <v>10</v>
      </c>
      <c r="O531" s="22">
        <f t="shared" si="43"/>
        <v>475</v>
      </c>
      <c r="P531" s="24">
        <f t="shared" si="44"/>
        <v>10</v>
      </c>
    </row>
    <row r="532" spans="2:16" ht="24" customHeight="1" x14ac:dyDescent="0.25">
      <c r="B532" s="1">
        <v>368</v>
      </c>
      <c r="C532" s="5"/>
      <c r="D532" s="2" t="s">
        <v>99</v>
      </c>
      <c r="E532" s="10"/>
      <c r="F532" s="10"/>
      <c r="G532" s="36"/>
      <c r="H532">
        <v>5000</v>
      </c>
      <c r="I532" s="43">
        <f t="shared" si="41"/>
        <v>5000</v>
      </c>
      <c r="J532" s="3">
        <v>0</v>
      </c>
      <c r="K532" s="44">
        <f t="shared" si="40"/>
        <v>5000</v>
      </c>
      <c r="L532" s="23">
        <v>0</v>
      </c>
      <c r="M532" s="24">
        <f t="shared" si="42"/>
        <v>0</v>
      </c>
      <c r="N532" s="25">
        <v>10</v>
      </c>
      <c r="O532" s="22">
        <f t="shared" si="43"/>
        <v>500</v>
      </c>
      <c r="P532" s="24">
        <f t="shared" si="44"/>
        <v>0</v>
      </c>
    </row>
    <row r="533" spans="2:16" ht="24" customHeight="1" x14ac:dyDescent="0.25">
      <c r="B533" s="1">
        <v>369</v>
      </c>
      <c r="C533" s="6">
        <v>15730817</v>
      </c>
      <c r="D533" s="2" t="s">
        <v>508</v>
      </c>
      <c r="E533" s="2" t="s">
        <v>569</v>
      </c>
      <c r="F533" s="2">
        <v>9971491011</v>
      </c>
      <c r="G533" s="35" t="s">
        <v>741</v>
      </c>
      <c r="H533">
        <v>5000</v>
      </c>
      <c r="I533" s="43">
        <f t="shared" si="41"/>
        <v>4750</v>
      </c>
      <c r="J533" s="3">
        <v>4750</v>
      </c>
      <c r="K533" s="44">
        <f t="shared" si="40"/>
        <v>0</v>
      </c>
      <c r="L533" s="23">
        <v>0.05</v>
      </c>
      <c r="M533" s="24">
        <f t="shared" si="42"/>
        <v>250</v>
      </c>
      <c r="N533" s="25">
        <v>10</v>
      </c>
      <c r="O533" s="22">
        <f t="shared" si="43"/>
        <v>475</v>
      </c>
      <c r="P533" s="24">
        <f t="shared" si="44"/>
        <v>10</v>
      </c>
    </row>
    <row r="534" spans="2:16" ht="24" customHeight="1" x14ac:dyDescent="0.25">
      <c r="B534" s="1">
        <v>370</v>
      </c>
      <c r="C534" s="6">
        <v>13552526</v>
      </c>
      <c r="D534" s="2" t="s">
        <v>509</v>
      </c>
      <c r="E534" s="2" t="s">
        <v>578</v>
      </c>
      <c r="F534" s="2">
        <v>3395036</v>
      </c>
      <c r="G534" s="35" t="s">
        <v>846</v>
      </c>
      <c r="H534">
        <v>5000</v>
      </c>
      <c r="I534" s="43">
        <f t="shared" si="41"/>
        <v>5000</v>
      </c>
      <c r="J534" s="3">
        <v>500</v>
      </c>
      <c r="K534" s="44">
        <f t="shared" si="40"/>
        <v>4500</v>
      </c>
      <c r="L534" s="23">
        <v>0</v>
      </c>
      <c r="M534" s="24">
        <f t="shared" si="42"/>
        <v>0</v>
      </c>
      <c r="N534" s="25">
        <v>10</v>
      </c>
      <c r="O534" s="22">
        <f t="shared" si="43"/>
        <v>500</v>
      </c>
      <c r="P534" s="24">
        <f t="shared" si="44"/>
        <v>1</v>
      </c>
    </row>
    <row r="535" spans="2:16" ht="24" customHeight="1" x14ac:dyDescent="0.25">
      <c r="B535" s="1">
        <v>371</v>
      </c>
      <c r="C535" s="6">
        <v>14918457</v>
      </c>
      <c r="D535" s="2" t="s">
        <v>510</v>
      </c>
      <c r="E535" s="2" t="s">
        <v>573</v>
      </c>
      <c r="F535" s="2">
        <v>9242820</v>
      </c>
      <c r="G535" s="35" t="s">
        <v>617</v>
      </c>
      <c r="H535">
        <v>5000</v>
      </c>
      <c r="I535" s="43">
        <f t="shared" si="41"/>
        <v>5000</v>
      </c>
      <c r="J535" s="3">
        <v>500</v>
      </c>
      <c r="K535" s="44">
        <f t="shared" si="40"/>
        <v>4500</v>
      </c>
      <c r="L535" s="23">
        <v>0</v>
      </c>
      <c r="M535" s="24">
        <f t="shared" si="42"/>
        <v>0</v>
      </c>
      <c r="N535" s="25">
        <v>10</v>
      </c>
      <c r="O535" s="22">
        <f t="shared" si="43"/>
        <v>500</v>
      </c>
      <c r="P535" s="24">
        <f t="shared" si="44"/>
        <v>1</v>
      </c>
    </row>
    <row r="536" spans="2:16" ht="24" customHeight="1" x14ac:dyDescent="0.25">
      <c r="B536" s="1">
        <v>372</v>
      </c>
      <c r="C536" s="6">
        <v>14044204</v>
      </c>
      <c r="D536" s="2" t="s">
        <v>499</v>
      </c>
      <c r="E536" s="2" t="s">
        <v>575</v>
      </c>
      <c r="F536" s="2">
        <v>8441090</v>
      </c>
      <c r="G536" s="35" t="s">
        <v>841</v>
      </c>
      <c r="H536">
        <v>5000</v>
      </c>
      <c r="I536" s="43">
        <f t="shared" si="41"/>
        <v>4500</v>
      </c>
      <c r="J536" s="3">
        <v>4500</v>
      </c>
      <c r="K536" s="44">
        <f t="shared" si="40"/>
        <v>0</v>
      </c>
      <c r="L536" s="23">
        <v>0.1</v>
      </c>
      <c r="M536" s="24">
        <f t="shared" si="42"/>
        <v>500</v>
      </c>
      <c r="N536" s="25">
        <v>10</v>
      </c>
      <c r="O536" s="22">
        <f t="shared" si="43"/>
        <v>450</v>
      </c>
      <c r="P536" s="24">
        <f t="shared" si="44"/>
        <v>10</v>
      </c>
    </row>
    <row r="537" spans="2:16" ht="24" customHeight="1" x14ac:dyDescent="0.25">
      <c r="B537" s="1">
        <v>373</v>
      </c>
      <c r="C537" s="6">
        <v>13317315</v>
      </c>
      <c r="D537" s="2" t="s">
        <v>511</v>
      </c>
      <c r="E537" s="2" t="s">
        <v>578</v>
      </c>
      <c r="F537" s="2">
        <v>5568239</v>
      </c>
      <c r="G537" s="35" t="s">
        <v>847</v>
      </c>
      <c r="H537">
        <v>5000</v>
      </c>
      <c r="I537" s="43">
        <f t="shared" si="41"/>
        <v>5000</v>
      </c>
      <c r="J537" s="3">
        <v>1000</v>
      </c>
      <c r="K537" s="44">
        <f t="shared" si="40"/>
        <v>4000</v>
      </c>
      <c r="L537" s="23">
        <v>0</v>
      </c>
      <c r="M537" s="24">
        <f t="shared" si="42"/>
        <v>0</v>
      </c>
      <c r="N537" s="25">
        <v>10</v>
      </c>
      <c r="O537" s="22">
        <f t="shared" si="43"/>
        <v>500</v>
      </c>
      <c r="P537" s="24">
        <f t="shared" si="44"/>
        <v>2</v>
      </c>
    </row>
    <row r="538" spans="2:16" ht="24" customHeight="1" x14ac:dyDescent="0.25">
      <c r="B538" s="1">
        <v>374</v>
      </c>
      <c r="C538" s="6">
        <v>15493977</v>
      </c>
      <c r="D538" s="2" t="s">
        <v>512</v>
      </c>
      <c r="E538" s="2" t="s">
        <v>570</v>
      </c>
      <c r="F538" s="2">
        <v>3411076015</v>
      </c>
      <c r="G538" s="35" t="s">
        <v>848</v>
      </c>
      <c r="H538">
        <v>5000</v>
      </c>
      <c r="I538" s="43">
        <f t="shared" si="41"/>
        <v>4750</v>
      </c>
      <c r="J538" s="3">
        <v>475</v>
      </c>
      <c r="K538" s="44">
        <f t="shared" si="40"/>
        <v>4275</v>
      </c>
      <c r="L538" s="23">
        <v>0.05</v>
      </c>
      <c r="M538" s="24">
        <f t="shared" si="42"/>
        <v>250</v>
      </c>
      <c r="N538" s="25">
        <v>10</v>
      </c>
      <c r="O538" s="22">
        <f t="shared" si="43"/>
        <v>475</v>
      </c>
      <c r="P538" s="24">
        <f t="shared" si="44"/>
        <v>1</v>
      </c>
    </row>
    <row r="539" spans="2:16" ht="24" customHeight="1" x14ac:dyDescent="0.25">
      <c r="B539" s="1">
        <v>374</v>
      </c>
      <c r="C539" s="6">
        <v>15285286</v>
      </c>
      <c r="D539" s="2" t="s">
        <v>513</v>
      </c>
      <c r="E539" s="2" t="s">
        <v>577</v>
      </c>
      <c r="F539" s="2">
        <v>3411076015</v>
      </c>
      <c r="G539" s="35" t="s">
        <v>848</v>
      </c>
      <c r="H539">
        <v>5000</v>
      </c>
      <c r="I539" s="43">
        <f t="shared" si="41"/>
        <v>5000</v>
      </c>
      <c r="J539" s="3">
        <v>500</v>
      </c>
      <c r="K539" s="44">
        <f t="shared" si="40"/>
        <v>4500</v>
      </c>
      <c r="L539" s="23">
        <v>0</v>
      </c>
      <c r="M539" s="24">
        <f t="shared" si="42"/>
        <v>0</v>
      </c>
      <c r="N539" s="25">
        <v>10</v>
      </c>
      <c r="O539" s="22">
        <f t="shared" si="43"/>
        <v>500</v>
      </c>
      <c r="P539" s="24">
        <f t="shared" si="44"/>
        <v>1</v>
      </c>
    </row>
    <row r="540" spans="2:16" ht="24" customHeight="1" x14ac:dyDescent="0.25">
      <c r="B540" s="1">
        <v>375</v>
      </c>
      <c r="C540" s="6">
        <v>17249502</v>
      </c>
      <c r="D540" s="2" t="s">
        <v>514</v>
      </c>
      <c r="E540" s="2" t="s">
        <v>565</v>
      </c>
      <c r="F540" s="2">
        <v>4804603017</v>
      </c>
      <c r="G540" s="35" t="s">
        <v>849</v>
      </c>
      <c r="H540">
        <v>5000</v>
      </c>
      <c r="I540" s="43">
        <f t="shared" si="41"/>
        <v>5000</v>
      </c>
      <c r="J540" s="3">
        <v>500</v>
      </c>
      <c r="K540" s="44">
        <f t="shared" si="40"/>
        <v>4500</v>
      </c>
      <c r="L540" s="23">
        <v>0</v>
      </c>
      <c r="M540" s="24">
        <f t="shared" si="42"/>
        <v>0</v>
      </c>
      <c r="N540" s="25">
        <v>10</v>
      </c>
      <c r="O540" s="22">
        <f t="shared" si="43"/>
        <v>500</v>
      </c>
      <c r="P540" s="24">
        <f t="shared" si="44"/>
        <v>1</v>
      </c>
    </row>
    <row r="541" spans="2:16" ht="24" customHeight="1" x14ac:dyDescent="0.25">
      <c r="B541" s="1">
        <v>376</v>
      </c>
      <c r="C541" s="6">
        <v>14801601</v>
      </c>
      <c r="D541" s="2" t="s">
        <v>515</v>
      </c>
      <c r="E541" s="2" t="s">
        <v>578</v>
      </c>
      <c r="F541" s="2">
        <v>4793908</v>
      </c>
      <c r="G541" s="35" t="s">
        <v>850</v>
      </c>
      <c r="H541">
        <v>5000</v>
      </c>
      <c r="I541" s="43">
        <f t="shared" si="41"/>
        <v>5000</v>
      </c>
      <c r="J541" s="3">
        <v>500</v>
      </c>
      <c r="K541" s="44">
        <f t="shared" si="40"/>
        <v>4500</v>
      </c>
      <c r="L541" s="23">
        <v>0</v>
      </c>
      <c r="M541" s="24">
        <f t="shared" si="42"/>
        <v>0</v>
      </c>
      <c r="N541" s="25">
        <v>10</v>
      </c>
      <c r="O541" s="22">
        <f t="shared" si="43"/>
        <v>500</v>
      </c>
      <c r="P541" s="24">
        <f t="shared" si="44"/>
        <v>1</v>
      </c>
    </row>
    <row r="542" spans="2:16" ht="24" customHeight="1" x14ac:dyDescent="0.25">
      <c r="B542" s="1">
        <v>377</v>
      </c>
      <c r="C542" s="6">
        <v>14153601</v>
      </c>
      <c r="D542" s="2" t="s">
        <v>516</v>
      </c>
      <c r="E542" s="2" t="s">
        <v>598</v>
      </c>
      <c r="F542" s="2">
        <v>4992411</v>
      </c>
      <c r="G542" s="35" t="s">
        <v>851</v>
      </c>
      <c r="H542">
        <v>5000</v>
      </c>
      <c r="I542" s="43">
        <f t="shared" si="41"/>
        <v>5000</v>
      </c>
      <c r="J542" s="3">
        <v>500</v>
      </c>
      <c r="K542" s="44">
        <f t="shared" si="40"/>
        <v>4500</v>
      </c>
      <c r="L542" s="23">
        <v>0</v>
      </c>
      <c r="M542" s="24">
        <f t="shared" si="42"/>
        <v>0</v>
      </c>
      <c r="N542" s="25">
        <v>10</v>
      </c>
      <c r="O542" s="22">
        <f t="shared" si="43"/>
        <v>500</v>
      </c>
      <c r="P542" s="24">
        <f t="shared" si="44"/>
        <v>1</v>
      </c>
    </row>
    <row r="543" spans="2:16" ht="24" customHeight="1" x14ac:dyDescent="0.25">
      <c r="B543" s="1">
        <v>378</v>
      </c>
      <c r="C543" s="6" t="s">
        <v>563</v>
      </c>
      <c r="D543" s="2" t="s">
        <v>517</v>
      </c>
      <c r="E543" s="2" t="s">
        <v>585</v>
      </c>
      <c r="F543" s="2">
        <v>4836255</v>
      </c>
      <c r="G543" s="35" t="s">
        <v>852</v>
      </c>
      <c r="H543">
        <v>5000</v>
      </c>
      <c r="I543" s="43">
        <f t="shared" si="41"/>
        <v>4750</v>
      </c>
      <c r="J543" s="3">
        <v>4750</v>
      </c>
      <c r="K543" s="44">
        <f t="shared" si="40"/>
        <v>0</v>
      </c>
      <c r="L543" s="23">
        <v>0.05</v>
      </c>
      <c r="M543" s="24">
        <f t="shared" si="42"/>
        <v>250</v>
      </c>
      <c r="N543" s="25">
        <v>10</v>
      </c>
      <c r="O543" s="22">
        <f t="shared" si="43"/>
        <v>475</v>
      </c>
      <c r="P543" s="24">
        <f t="shared" si="44"/>
        <v>10</v>
      </c>
    </row>
    <row r="544" spans="2:16" ht="24" customHeight="1" x14ac:dyDescent="0.25">
      <c r="B544" s="1">
        <v>378</v>
      </c>
      <c r="C544" s="32" t="s">
        <v>564</v>
      </c>
      <c r="D544" s="2" t="s">
        <v>518</v>
      </c>
      <c r="E544" s="2" t="s">
        <v>586</v>
      </c>
      <c r="F544" s="2">
        <v>4836256</v>
      </c>
      <c r="G544" s="35" t="s">
        <v>852</v>
      </c>
      <c r="H544">
        <v>5000</v>
      </c>
      <c r="I544" s="43">
        <f t="shared" si="41"/>
        <v>4750</v>
      </c>
      <c r="J544" s="3">
        <v>475</v>
      </c>
      <c r="K544" s="44">
        <f t="shared" si="40"/>
        <v>4275</v>
      </c>
      <c r="L544" s="23">
        <v>0.05</v>
      </c>
      <c r="M544" s="24">
        <f t="shared" si="42"/>
        <v>250</v>
      </c>
      <c r="N544" s="25">
        <v>10</v>
      </c>
      <c r="O544" s="22">
        <f t="shared" si="43"/>
        <v>475</v>
      </c>
      <c r="P544" s="24">
        <f t="shared" si="44"/>
        <v>1</v>
      </c>
    </row>
    <row r="545" spans="2:16" ht="24" customHeight="1" x14ac:dyDescent="0.25">
      <c r="B545" s="1">
        <v>379</v>
      </c>
      <c r="C545" s="6">
        <v>13248834</v>
      </c>
      <c r="D545" s="2" t="s">
        <v>519</v>
      </c>
      <c r="E545" s="2" t="s">
        <v>599</v>
      </c>
      <c r="F545" s="2">
        <v>13248834</v>
      </c>
      <c r="G545" s="35" t="s">
        <v>853</v>
      </c>
      <c r="H545">
        <v>5000</v>
      </c>
      <c r="I545" s="43">
        <f t="shared" si="41"/>
        <v>4750</v>
      </c>
      <c r="J545" s="3">
        <v>4750</v>
      </c>
      <c r="K545" s="44">
        <f t="shared" si="40"/>
        <v>0</v>
      </c>
      <c r="L545" s="23">
        <v>0.05</v>
      </c>
      <c r="M545" s="24">
        <f t="shared" si="42"/>
        <v>250</v>
      </c>
      <c r="N545" s="25">
        <v>10</v>
      </c>
      <c r="O545" s="22">
        <f t="shared" si="43"/>
        <v>475</v>
      </c>
      <c r="P545" s="24">
        <f t="shared" si="44"/>
        <v>10</v>
      </c>
    </row>
    <row r="546" spans="2:16" ht="24" customHeight="1" x14ac:dyDescent="0.25">
      <c r="B546" s="1">
        <v>380</v>
      </c>
      <c r="C546" s="6">
        <v>16254609</v>
      </c>
      <c r="D546" s="2" t="s">
        <v>520</v>
      </c>
      <c r="E546" s="2" t="s">
        <v>570</v>
      </c>
      <c r="F546" s="2">
        <v>676644</v>
      </c>
      <c r="G546" s="35" t="s">
        <v>820</v>
      </c>
      <c r="H546">
        <v>5000</v>
      </c>
      <c r="I546" s="43">
        <f t="shared" si="41"/>
        <v>5000</v>
      </c>
      <c r="J546" s="3">
        <v>500</v>
      </c>
      <c r="K546" s="44">
        <f t="shared" si="40"/>
        <v>4500</v>
      </c>
      <c r="L546" s="23">
        <v>0</v>
      </c>
      <c r="M546" s="24">
        <f t="shared" si="42"/>
        <v>0</v>
      </c>
      <c r="N546" s="25">
        <v>10</v>
      </c>
      <c r="O546" s="22">
        <f t="shared" si="43"/>
        <v>500</v>
      </c>
      <c r="P546" s="24">
        <f t="shared" si="44"/>
        <v>1</v>
      </c>
    </row>
    <row r="547" spans="2:16" ht="24" customHeight="1" x14ac:dyDescent="0.25">
      <c r="B547" s="1">
        <v>381</v>
      </c>
      <c r="C547" s="6">
        <v>14152922</v>
      </c>
      <c r="D547" s="2" t="s">
        <v>521</v>
      </c>
      <c r="E547" s="2" t="s">
        <v>590</v>
      </c>
      <c r="F547" s="2">
        <v>6162760</v>
      </c>
      <c r="G547" s="35" t="s">
        <v>854</v>
      </c>
      <c r="H547">
        <v>5000</v>
      </c>
      <c r="I547" s="43">
        <f t="shared" si="41"/>
        <v>5000</v>
      </c>
      <c r="J547" s="3">
        <v>500</v>
      </c>
      <c r="K547" s="44">
        <f t="shared" si="40"/>
        <v>4500</v>
      </c>
      <c r="L547" s="23">
        <v>0</v>
      </c>
      <c r="M547" s="24">
        <f t="shared" si="42"/>
        <v>0</v>
      </c>
      <c r="N547" s="25">
        <v>10</v>
      </c>
      <c r="O547" s="22">
        <f t="shared" si="43"/>
        <v>500</v>
      </c>
      <c r="P547" s="24">
        <f t="shared" si="44"/>
        <v>1</v>
      </c>
    </row>
    <row r="548" spans="2:16" ht="24" customHeight="1" x14ac:dyDescent="0.25">
      <c r="B548" s="1">
        <v>382</v>
      </c>
      <c r="C548" s="6">
        <v>13959393</v>
      </c>
      <c r="D548" s="2" t="s">
        <v>522</v>
      </c>
      <c r="E548" s="2" t="s">
        <v>586</v>
      </c>
      <c r="F548" s="2">
        <v>4962257011</v>
      </c>
      <c r="G548" s="35" t="s">
        <v>855</v>
      </c>
      <c r="H548">
        <v>5000</v>
      </c>
      <c r="I548" s="43">
        <f t="shared" si="41"/>
        <v>5000</v>
      </c>
      <c r="J548" s="3">
        <v>1500</v>
      </c>
      <c r="K548" s="44">
        <f t="shared" si="40"/>
        <v>3500</v>
      </c>
      <c r="L548" s="23">
        <v>0</v>
      </c>
      <c r="M548" s="24">
        <f t="shared" si="42"/>
        <v>0</v>
      </c>
      <c r="N548" s="25">
        <v>10</v>
      </c>
      <c r="O548" s="22">
        <f t="shared" si="43"/>
        <v>500</v>
      </c>
      <c r="P548" s="24">
        <f t="shared" si="44"/>
        <v>3</v>
      </c>
    </row>
    <row r="549" spans="2:16" ht="24" customHeight="1" x14ac:dyDescent="0.25">
      <c r="B549" s="1">
        <v>382</v>
      </c>
      <c r="C549" s="6">
        <v>13959394</v>
      </c>
      <c r="D549" s="2" t="s">
        <v>523</v>
      </c>
      <c r="E549" s="2" t="s">
        <v>584</v>
      </c>
      <c r="F549" s="2">
        <v>4962257012</v>
      </c>
      <c r="G549" s="35" t="s">
        <v>855</v>
      </c>
      <c r="H549">
        <v>5000</v>
      </c>
      <c r="I549" s="43">
        <f t="shared" si="41"/>
        <v>4750</v>
      </c>
      <c r="J549" s="3">
        <v>1425</v>
      </c>
      <c r="K549" s="44">
        <f t="shared" si="40"/>
        <v>3325</v>
      </c>
      <c r="L549" s="23">
        <v>0.05</v>
      </c>
      <c r="M549" s="24">
        <f t="shared" si="42"/>
        <v>250</v>
      </c>
      <c r="N549" s="25">
        <v>10</v>
      </c>
      <c r="O549" s="22">
        <f t="shared" si="43"/>
        <v>475</v>
      </c>
      <c r="P549" s="24">
        <f t="shared" si="44"/>
        <v>3</v>
      </c>
    </row>
    <row r="550" spans="2:16" ht="24" customHeight="1" x14ac:dyDescent="0.25">
      <c r="B550" s="1">
        <v>383</v>
      </c>
      <c r="C550" s="6">
        <v>16837269</v>
      </c>
      <c r="D550" s="2" t="s">
        <v>524</v>
      </c>
      <c r="E550" s="2" t="s">
        <v>600</v>
      </c>
      <c r="F550" s="2">
        <v>6848085017</v>
      </c>
      <c r="G550" s="35" t="s">
        <v>856</v>
      </c>
      <c r="H550">
        <v>5000</v>
      </c>
      <c r="I550" s="43">
        <f t="shared" si="41"/>
        <v>4750</v>
      </c>
      <c r="J550" s="3">
        <v>475</v>
      </c>
      <c r="K550" s="44">
        <f t="shared" si="40"/>
        <v>4275</v>
      </c>
      <c r="L550" s="23">
        <v>0.05</v>
      </c>
      <c r="M550" s="24">
        <f t="shared" si="42"/>
        <v>250</v>
      </c>
      <c r="N550" s="25">
        <v>10</v>
      </c>
      <c r="O550" s="22">
        <f t="shared" si="43"/>
        <v>475</v>
      </c>
      <c r="P550" s="24">
        <f t="shared" si="44"/>
        <v>1</v>
      </c>
    </row>
    <row r="551" spans="2:16" ht="24" customHeight="1" x14ac:dyDescent="0.25">
      <c r="B551" s="1">
        <v>383</v>
      </c>
      <c r="C551" s="6">
        <v>12658431</v>
      </c>
      <c r="D551" s="2" t="s">
        <v>525</v>
      </c>
      <c r="E551" s="2" t="s">
        <v>588</v>
      </c>
      <c r="F551" s="2">
        <v>6848085018</v>
      </c>
      <c r="G551" s="35" t="s">
        <v>856</v>
      </c>
      <c r="H551">
        <v>5000</v>
      </c>
      <c r="I551" s="43">
        <f t="shared" si="41"/>
        <v>5000</v>
      </c>
      <c r="J551" s="3">
        <v>500</v>
      </c>
      <c r="K551" s="44">
        <f t="shared" si="40"/>
        <v>4500</v>
      </c>
      <c r="L551" s="23">
        <v>0</v>
      </c>
      <c r="M551" s="24">
        <f t="shared" si="42"/>
        <v>0</v>
      </c>
      <c r="N551" s="25">
        <v>10</v>
      </c>
      <c r="O551" s="22">
        <f t="shared" si="43"/>
        <v>500</v>
      </c>
      <c r="P551" s="24">
        <f t="shared" si="44"/>
        <v>1</v>
      </c>
    </row>
    <row r="552" spans="2:16" ht="24" customHeight="1" x14ac:dyDescent="0.25">
      <c r="B552" s="1"/>
      <c r="C552" s="5"/>
      <c r="D552" s="2" t="s">
        <v>526</v>
      </c>
      <c r="E552" s="10" t="s">
        <v>595</v>
      </c>
      <c r="F552" s="10"/>
      <c r="G552" s="36"/>
      <c r="H552">
        <v>5000</v>
      </c>
      <c r="I552" s="43">
        <f t="shared" si="41"/>
        <v>4650</v>
      </c>
      <c r="J552" s="4">
        <v>465</v>
      </c>
      <c r="K552" s="44">
        <f t="shared" si="40"/>
        <v>4185</v>
      </c>
      <c r="L552" s="23">
        <v>7.0000000000000007E-2</v>
      </c>
      <c r="M552" s="24">
        <f t="shared" si="42"/>
        <v>350.00000000000006</v>
      </c>
      <c r="N552" s="25">
        <v>10</v>
      </c>
      <c r="O552" s="22">
        <f t="shared" si="43"/>
        <v>465</v>
      </c>
      <c r="P552" s="24">
        <f t="shared" si="44"/>
        <v>1</v>
      </c>
    </row>
    <row r="553" spans="2:16" ht="24" customHeight="1" x14ac:dyDescent="0.25">
      <c r="B553" s="1"/>
      <c r="C553" s="5"/>
      <c r="D553" s="2" t="s">
        <v>527</v>
      </c>
      <c r="E553" s="10" t="s">
        <v>583</v>
      </c>
      <c r="F553" s="10"/>
      <c r="G553" s="36"/>
      <c r="H553">
        <v>5000</v>
      </c>
      <c r="I553" s="43">
        <f t="shared" si="41"/>
        <v>4500</v>
      </c>
      <c r="J553" s="4">
        <v>450</v>
      </c>
      <c r="K553" s="44">
        <f t="shared" si="40"/>
        <v>4050</v>
      </c>
      <c r="L553" s="23">
        <v>0.1</v>
      </c>
      <c r="M553" s="24">
        <f t="shared" si="42"/>
        <v>500</v>
      </c>
      <c r="N553" s="25">
        <v>10</v>
      </c>
      <c r="O553" s="22">
        <f t="shared" si="43"/>
        <v>450</v>
      </c>
      <c r="P553" s="24">
        <f t="shared" si="44"/>
        <v>1</v>
      </c>
    </row>
    <row r="554" spans="2:16" ht="24" customHeight="1" x14ac:dyDescent="0.25">
      <c r="B554" s="1">
        <v>384</v>
      </c>
      <c r="C554" s="6">
        <v>14184801</v>
      </c>
      <c r="D554" s="2" t="s">
        <v>528</v>
      </c>
      <c r="E554" s="2" t="s">
        <v>601</v>
      </c>
      <c r="F554" s="2">
        <v>4941620</v>
      </c>
      <c r="G554" s="35" t="s">
        <v>857</v>
      </c>
      <c r="H554">
        <v>5000</v>
      </c>
      <c r="I554" s="43">
        <f t="shared" si="41"/>
        <v>4750</v>
      </c>
      <c r="J554" s="3">
        <v>4750</v>
      </c>
      <c r="K554" s="44">
        <f t="shared" si="40"/>
        <v>0</v>
      </c>
      <c r="L554" s="23">
        <v>0.05</v>
      </c>
      <c r="M554" s="24">
        <f t="shared" si="42"/>
        <v>250</v>
      </c>
      <c r="N554" s="25">
        <v>10</v>
      </c>
      <c r="O554" s="22">
        <f t="shared" si="43"/>
        <v>475</v>
      </c>
      <c r="P554" s="24">
        <f t="shared" si="44"/>
        <v>10</v>
      </c>
    </row>
    <row r="555" spans="2:16" ht="24" customHeight="1" x14ac:dyDescent="0.25">
      <c r="B555" s="1">
        <v>385</v>
      </c>
      <c r="C555" s="6">
        <v>15127412</v>
      </c>
      <c r="D555" s="2" t="s">
        <v>529</v>
      </c>
      <c r="E555" s="2" t="s">
        <v>580</v>
      </c>
      <c r="F555" s="2">
        <v>6995420</v>
      </c>
      <c r="G555" s="35" t="s">
        <v>858</v>
      </c>
      <c r="H555">
        <v>5000</v>
      </c>
      <c r="I555" s="43">
        <f t="shared" si="41"/>
        <v>5000</v>
      </c>
      <c r="J555" s="3">
        <v>500</v>
      </c>
      <c r="K555" s="44">
        <f t="shared" si="40"/>
        <v>4500</v>
      </c>
      <c r="L555" s="23">
        <v>0</v>
      </c>
      <c r="M555" s="24">
        <f t="shared" si="42"/>
        <v>0</v>
      </c>
      <c r="N555" s="25">
        <v>10</v>
      </c>
      <c r="O555" s="22">
        <f t="shared" si="43"/>
        <v>500</v>
      </c>
      <c r="P555" s="24">
        <f t="shared" si="44"/>
        <v>1</v>
      </c>
    </row>
    <row r="556" spans="2:16" ht="24" customHeight="1" x14ac:dyDescent="0.25">
      <c r="B556" s="1">
        <v>385</v>
      </c>
      <c r="C556" s="6">
        <v>16486462</v>
      </c>
      <c r="D556" s="2" t="s">
        <v>530</v>
      </c>
      <c r="E556" s="2" t="s">
        <v>581</v>
      </c>
      <c r="F556" s="2">
        <v>6995421</v>
      </c>
      <c r="G556" s="35" t="s">
        <v>858</v>
      </c>
      <c r="H556">
        <v>5000</v>
      </c>
      <c r="I556" s="43">
        <f t="shared" si="41"/>
        <v>4750</v>
      </c>
      <c r="J556" s="3">
        <v>475</v>
      </c>
      <c r="K556" s="44">
        <f t="shared" si="40"/>
        <v>4275</v>
      </c>
      <c r="L556" s="23">
        <v>0.05</v>
      </c>
      <c r="M556" s="24">
        <f t="shared" si="42"/>
        <v>250</v>
      </c>
      <c r="N556" s="25">
        <v>10</v>
      </c>
      <c r="O556" s="22">
        <f t="shared" si="43"/>
        <v>475</v>
      </c>
      <c r="P556" s="24">
        <f t="shared" si="44"/>
        <v>1</v>
      </c>
    </row>
    <row r="557" spans="2:16" ht="24" customHeight="1" x14ac:dyDescent="0.25">
      <c r="B557" s="1">
        <v>386</v>
      </c>
      <c r="C557" s="6">
        <v>13922792</v>
      </c>
      <c r="D557" s="2" t="s">
        <v>531</v>
      </c>
      <c r="E557" s="2" t="s">
        <v>584</v>
      </c>
      <c r="F557" s="2">
        <v>4249507</v>
      </c>
      <c r="G557" s="35" t="s">
        <v>608</v>
      </c>
      <c r="H557">
        <v>5000</v>
      </c>
      <c r="I557" s="43">
        <f t="shared" si="41"/>
        <v>4750</v>
      </c>
      <c r="J557" s="3">
        <v>4750</v>
      </c>
      <c r="K557" s="44">
        <f t="shared" si="40"/>
        <v>0</v>
      </c>
      <c r="L557" s="23">
        <v>0.05</v>
      </c>
      <c r="M557" s="24">
        <f t="shared" si="42"/>
        <v>250</v>
      </c>
      <c r="N557" s="25">
        <v>10</v>
      </c>
      <c r="O557" s="22">
        <f t="shared" si="43"/>
        <v>475</v>
      </c>
      <c r="P557" s="24">
        <f t="shared" si="44"/>
        <v>10</v>
      </c>
    </row>
    <row r="558" spans="2:16" ht="24" customHeight="1" x14ac:dyDescent="0.25">
      <c r="B558" s="1">
        <v>387</v>
      </c>
      <c r="C558" s="6">
        <v>15358505</v>
      </c>
      <c r="D558" s="2" t="s">
        <v>532</v>
      </c>
      <c r="E558" s="2" t="s">
        <v>589</v>
      </c>
      <c r="F558" s="2">
        <v>15358505</v>
      </c>
      <c r="G558" s="35" t="s">
        <v>716</v>
      </c>
      <c r="H558">
        <v>5000</v>
      </c>
      <c r="I558" s="43">
        <f t="shared" si="41"/>
        <v>5000</v>
      </c>
      <c r="J558" s="3">
        <v>500</v>
      </c>
      <c r="K558" s="44">
        <f t="shared" si="40"/>
        <v>4500</v>
      </c>
      <c r="L558" s="23">
        <v>0</v>
      </c>
      <c r="M558" s="24">
        <f t="shared" si="42"/>
        <v>0</v>
      </c>
      <c r="N558" s="25">
        <v>10</v>
      </c>
      <c r="O558" s="22">
        <f t="shared" si="43"/>
        <v>500</v>
      </c>
      <c r="P558" s="24">
        <f t="shared" si="44"/>
        <v>1</v>
      </c>
    </row>
    <row r="559" spans="2:16" ht="24" customHeight="1" x14ac:dyDescent="0.25">
      <c r="B559" s="1">
        <v>388</v>
      </c>
      <c r="C559" s="6">
        <v>15936118</v>
      </c>
      <c r="D559" s="2" t="s">
        <v>533</v>
      </c>
      <c r="E559" s="2" t="s">
        <v>589</v>
      </c>
      <c r="F559" s="2">
        <v>6771380</v>
      </c>
      <c r="G559" s="35" t="s">
        <v>608</v>
      </c>
      <c r="H559">
        <v>5000</v>
      </c>
      <c r="I559" s="43">
        <f t="shared" si="41"/>
        <v>5000</v>
      </c>
      <c r="J559" s="3">
        <v>500</v>
      </c>
      <c r="K559" s="44">
        <f t="shared" si="40"/>
        <v>4500</v>
      </c>
      <c r="L559" s="23">
        <v>0</v>
      </c>
      <c r="M559" s="24">
        <f t="shared" si="42"/>
        <v>0</v>
      </c>
      <c r="N559" s="25">
        <v>10</v>
      </c>
      <c r="O559" s="22">
        <f t="shared" si="43"/>
        <v>500</v>
      </c>
      <c r="P559" s="24">
        <f t="shared" si="44"/>
        <v>1</v>
      </c>
    </row>
    <row r="560" spans="2:16" ht="24" customHeight="1" x14ac:dyDescent="0.25">
      <c r="B560" s="1">
        <v>389</v>
      </c>
      <c r="C560" s="6">
        <v>14484192</v>
      </c>
      <c r="D560" s="2" t="s">
        <v>534</v>
      </c>
      <c r="E560" s="2" t="s">
        <v>586</v>
      </c>
      <c r="F560" s="2">
        <v>4942472016</v>
      </c>
      <c r="G560" s="35" t="s">
        <v>859</v>
      </c>
      <c r="H560">
        <v>5000</v>
      </c>
      <c r="I560" s="43">
        <f t="shared" si="41"/>
        <v>4750</v>
      </c>
      <c r="J560" s="3">
        <v>4750</v>
      </c>
      <c r="K560" s="44">
        <f t="shared" si="40"/>
        <v>0</v>
      </c>
      <c r="L560" s="23">
        <v>0.05</v>
      </c>
      <c r="M560" s="24">
        <f t="shared" si="42"/>
        <v>250</v>
      </c>
      <c r="N560" s="25">
        <v>10</v>
      </c>
      <c r="O560" s="22">
        <f t="shared" si="43"/>
        <v>475</v>
      </c>
      <c r="P560" s="24">
        <f t="shared" si="44"/>
        <v>10</v>
      </c>
    </row>
    <row r="561" spans="2:16" ht="24" customHeight="1" x14ac:dyDescent="0.25">
      <c r="B561" s="1">
        <v>390</v>
      </c>
      <c r="C561" s="6">
        <v>16545472</v>
      </c>
      <c r="D561" s="2" t="s">
        <v>535</v>
      </c>
      <c r="E561" s="2" t="s">
        <v>595</v>
      </c>
      <c r="F561" s="2">
        <v>6954495</v>
      </c>
      <c r="G561" s="35" t="s">
        <v>662</v>
      </c>
      <c r="H561">
        <v>5000</v>
      </c>
      <c r="I561" s="43">
        <f t="shared" si="41"/>
        <v>5000</v>
      </c>
      <c r="J561" s="3">
        <v>500</v>
      </c>
      <c r="K561" s="44">
        <f t="shared" si="40"/>
        <v>4500</v>
      </c>
      <c r="L561" s="23">
        <v>0</v>
      </c>
      <c r="M561" s="24">
        <f t="shared" si="42"/>
        <v>0</v>
      </c>
      <c r="N561" s="25">
        <v>10</v>
      </c>
      <c r="O561" s="22">
        <f t="shared" si="43"/>
        <v>500</v>
      </c>
      <c r="P561" s="24">
        <f t="shared" si="44"/>
        <v>1</v>
      </c>
    </row>
    <row r="562" spans="2:16" ht="24" customHeight="1" x14ac:dyDescent="0.25">
      <c r="B562" s="1">
        <v>390</v>
      </c>
      <c r="C562" s="6">
        <v>15458051</v>
      </c>
      <c r="D562" s="2" t="s">
        <v>536</v>
      </c>
      <c r="E562" s="2" t="s">
        <v>589</v>
      </c>
      <c r="F562" s="2">
        <v>6954496</v>
      </c>
      <c r="G562" s="35" t="s">
        <v>662</v>
      </c>
      <c r="H562">
        <v>5000</v>
      </c>
      <c r="I562" s="43">
        <f t="shared" si="41"/>
        <v>4750</v>
      </c>
      <c r="J562" s="3">
        <v>475</v>
      </c>
      <c r="K562" s="44">
        <f t="shared" si="40"/>
        <v>4275</v>
      </c>
      <c r="L562" s="23">
        <v>0.05</v>
      </c>
      <c r="M562" s="24">
        <f t="shared" si="42"/>
        <v>250</v>
      </c>
      <c r="N562" s="25">
        <v>10</v>
      </c>
      <c r="O562" s="22">
        <f t="shared" si="43"/>
        <v>475</v>
      </c>
      <c r="P562" s="24">
        <f t="shared" si="44"/>
        <v>1</v>
      </c>
    </row>
    <row r="563" spans="2:16" ht="24" customHeight="1" x14ac:dyDescent="0.25">
      <c r="B563" s="1">
        <v>391</v>
      </c>
      <c r="C563" s="6">
        <v>17139784</v>
      </c>
      <c r="D563" s="2" t="s">
        <v>537</v>
      </c>
      <c r="E563" s="2" t="s">
        <v>579</v>
      </c>
      <c r="F563" s="2">
        <v>9109140</v>
      </c>
      <c r="G563" s="35" t="s">
        <v>790</v>
      </c>
      <c r="H563">
        <v>5000</v>
      </c>
      <c r="I563" s="43">
        <f t="shared" si="41"/>
        <v>5000</v>
      </c>
      <c r="J563" s="3">
        <v>500</v>
      </c>
      <c r="K563" s="44">
        <f t="shared" si="40"/>
        <v>4500</v>
      </c>
      <c r="L563" s="23">
        <v>0</v>
      </c>
      <c r="M563" s="24">
        <f t="shared" si="42"/>
        <v>0</v>
      </c>
      <c r="N563" s="25">
        <v>10</v>
      </c>
      <c r="O563" s="22">
        <f t="shared" si="43"/>
        <v>500</v>
      </c>
      <c r="P563" s="24">
        <f t="shared" si="44"/>
        <v>1</v>
      </c>
    </row>
    <row r="564" spans="2:16" ht="24" customHeight="1" x14ac:dyDescent="0.25">
      <c r="B564" s="1">
        <v>392</v>
      </c>
      <c r="C564" s="6">
        <v>12894935</v>
      </c>
      <c r="D564" s="2" t="s">
        <v>538</v>
      </c>
      <c r="E564" s="2" t="s">
        <v>588</v>
      </c>
      <c r="F564" s="2">
        <v>2698076</v>
      </c>
      <c r="G564" s="35" t="s">
        <v>860</v>
      </c>
      <c r="H564">
        <v>5000</v>
      </c>
      <c r="I564" s="43">
        <f t="shared" si="41"/>
        <v>4750</v>
      </c>
      <c r="J564" s="3">
        <v>4750</v>
      </c>
      <c r="K564" s="44">
        <f t="shared" si="40"/>
        <v>0</v>
      </c>
      <c r="L564" s="23">
        <v>0.05</v>
      </c>
      <c r="M564" s="24">
        <f t="shared" si="42"/>
        <v>250</v>
      </c>
      <c r="N564" s="25">
        <v>10</v>
      </c>
      <c r="O564" s="22">
        <f t="shared" si="43"/>
        <v>475</v>
      </c>
      <c r="P564" s="24">
        <f t="shared" si="44"/>
        <v>10</v>
      </c>
    </row>
    <row r="565" spans="2:16" ht="24" customHeight="1" x14ac:dyDescent="0.25">
      <c r="B565" s="1">
        <v>392</v>
      </c>
      <c r="C565" s="6">
        <v>15398577</v>
      </c>
      <c r="D565" s="2" t="s">
        <v>539</v>
      </c>
      <c r="E565" s="2" t="s">
        <v>580</v>
      </c>
      <c r="F565" s="2">
        <v>2698077</v>
      </c>
      <c r="G565" s="35" t="s">
        <v>860</v>
      </c>
      <c r="H565">
        <v>5000</v>
      </c>
      <c r="I565" s="43">
        <f t="shared" si="41"/>
        <v>4750</v>
      </c>
      <c r="J565" s="3">
        <v>4750</v>
      </c>
      <c r="K565" s="44">
        <f t="shared" si="40"/>
        <v>0</v>
      </c>
      <c r="L565" s="23">
        <v>0.05</v>
      </c>
      <c r="M565" s="24">
        <f t="shared" si="42"/>
        <v>250</v>
      </c>
      <c r="N565" s="25">
        <v>10</v>
      </c>
      <c r="O565" s="22">
        <f t="shared" si="43"/>
        <v>475</v>
      </c>
      <c r="P565" s="24">
        <f t="shared" si="44"/>
        <v>10</v>
      </c>
    </row>
    <row r="566" spans="2:16" ht="24" customHeight="1" x14ac:dyDescent="0.25">
      <c r="B566" s="1">
        <v>393</v>
      </c>
      <c r="C566" s="6">
        <v>15592808</v>
      </c>
      <c r="D566" s="2" t="s">
        <v>540</v>
      </c>
      <c r="E566" s="2" t="s">
        <v>583</v>
      </c>
      <c r="F566" s="2">
        <v>2623049016</v>
      </c>
      <c r="G566" s="35" t="s">
        <v>861</v>
      </c>
      <c r="H566">
        <v>5000</v>
      </c>
      <c r="I566" s="43">
        <f t="shared" si="41"/>
        <v>5000</v>
      </c>
      <c r="J566" s="3">
        <v>500</v>
      </c>
      <c r="K566" s="44">
        <f t="shared" si="40"/>
        <v>4500</v>
      </c>
      <c r="L566" s="23">
        <v>0</v>
      </c>
      <c r="M566" s="24">
        <f t="shared" si="42"/>
        <v>0</v>
      </c>
      <c r="N566" s="25">
        <v>10</v>
      </c>
      <c r="O566" s="22">
        <f t="shared" si="43"/>
        <v>500</v>
      </c>
      <c r="P566" s="24">
        <f t="shared" si="44"/>
        <v>1</v>
      </c>
    </row>
    <row r="567" spans="2:16" ht="24" customHeight="1" x14ac:dyDescent="0.25">
      <c r="B567" s="1">
        <v>393</v>
      </c>
      <c r="C567" s="6">
        <v>16668288</v>
      </c>
      <c r="D567" s="2" t="s">
        <v>541</v>
      </c>
      <c r="E567" s="2" t="s">
        <v>595</v>
      </c>
      <c r="F567" s="2">
        <v>2623049017</v>
      </c>
      <c r="G567" s="35" t="s">
        <v>861</v>
      </c>
      <c r="H567">
        <v>5000</v>
      </c>
      <c r="I567" s="43">
        <f t="shared" si="41"/>
        <v>4750</v>
      </c>
      <c r="J567" s="3">
        <v>475</v>
      </c>
      <c r="K567" s="44">
        <f t="shared" si="40"/>
        <v>4275</v>
      </c>
      <c r="L567" s="23">
        <v>0.05</v>
      </c>
      <c r="M567" s="24">
        <f t="shared" si="42"/>
        <v>250</v>
      </c>
      <c r="N567" s="25">
        <v>10</v>
      </c>
      <c r="O567" s="22">
        <f t="shared" si="43"/>
        <v>475</v>
      </c>
      <c r="P567" s="24">
        <f t="shared" si="44"/>
        <v>1</v>
      </c>
    </row>
    <row r="568" spans="2:16" ht="24" customHeight="1" x14ac:dyDescent="0.25">
      <c r="B568" s="1">
        <v>394</v>
      </c>
      <c r="C568" s="6">
        <v>16404278</v>
      </c>
      <c r="D568" s="2" t="s">
        <v>542</v>
      </c>
      <c r="E568" s="2" t="s">
        <v>602</v>
      </c>
      <c r="F568" s="2">
        <v>12483507</v>
      </c>
      <c r="G568" s="35" t="s">
        <v>862</v>
      </c>
      <c r="H568">
        <v>5000</v>
      </c>
      <c r="I568" s="43">
        <f t="shared" si="41"/>
        <v>5000</v>
      </c>
      <c r="J568" s="3">
        <v>500</v>
      </c>
      <c r="K568" s="44">
        <f t="shared" si="40"/>
        <v>4500</v>
      </c>
      <c r="L568" s="23">
        <v>0</v>
      </c>
      <c r="M568" s="24">
        <f t="shared" si="42"/>
        <v>0</v>
      </c>
      <c r="N568" s="25">
        <v>10</v>
      </c>
      <c r="O568" s="22">
        <f t="shared" si="43"/>
        <v>500</v>
      </c>
      <c r="P568" s="24">
        <f t="shared" si="44"/>
        <v>1</v>
      </c>
    </row>
    <row r="569" spans="2:16" ht="24" customHeight="1" x14ac:dyDescent="0.25">
      <c r="B569" s="1">
        <v>395</v>
      </c>
      <c r="C569" s="6">
        <v>16946817</v>
      </c>
      <c r="D569" s="2" t="s">
        <v>543</v>
      </c>
      <c r="E569" s="2" t="s">
        <v>595</v>
      </c>
      <c r="F569" s="2">
        <v>16946817</v>
      </c>
      <c r="G569" s="35" t="s">
        <v>614</v>
      </c>
      <c r="H569">
        <v>5000</v>
      </c>
      <c r="I569" s="43">
        <f t="shared" si="41"/>
        <v>5000</v>
      </c>
      <c r="J569" s="3">
        <v>500</v>
      </c>
      <c r="K569" s="44">
        <f t="shared" si="40"/>
        <v>4500</v>
      </c>
      <c r="L569" s="23">
        <v>0</v>
      </c>
      <c r="M569" s="24">
        <f t="shared" si="42"/>
        <v>0</v>
      </c>
      <c r="N569" s="25">
        <v>10</v>
      </c>
      <c r="O569" s="22">
        <f t="shared" si="43"/>
        <v>500</v>
      </c>
      <c r="P569" s="24">
        <f t="shared" si="44"/>
        <v>1</v>
      </c>
    </row>
    <row r="570" spans="2:16" ht="24" customHeight="1" x14ac:dyDescent="0.25">
      <c r="B570" s="1"/>
      <c r="C570" s="5"/>
      <c r="D570" s="2" t="s">
        <v>544</v>
      </c>
      <c r="E570" s="2" t="s">
        <v>587</v>
      </c>
      <c r="F570" s="2"/>
      <c r="G570" s="35"/>
      <c r="H570">
        <v>5000</v>
      </c>
      <c r="I570" s="43">
        <f t="shared" si="41"/>
        <v>4500</v>
      </c>
      <c r="J570" s="4">
        <v>450</v>
      </c>
      <c r="K570" s="44">
        <f t="shared" ref="K570" si="45">I570-J570</f>
        <v>4050</v>
      </c>
      <c r="L570" s="23">
        <v>0.1</v>
      </c>
      <c r="M570" s="24">
        <f t="shared" si="42"/>
        <v>500</v>
      </c>
      <c r="N570" s="25">
        <v>10</v>
      </c>
      <c r="O570" s="22">
        <f t="shared" si="43"/>
        <v>450</v>
      </c>
      <c r="P570" s="24">
        <f t="shared" si="44"/>
        <v>1</v>
      </c>
    </row>
    <row r="571" spans="2:16" ht="24" customHeight="1" x14ac:dyDescent="0.25">
      <c r="B571" s="6"/>
      <c r="C571" s="6"/>
      <c r="D571" s="2"/>
      <c r="E571" s="2"/>
      <c r="F571" s="2"/>
      <c r="G571" s="35"/>
      <c r="I571" s="50"/>
      <c r="J571" s="43"/>
      <c r="K571" s="50"/>
      <c r="L571" s="23"/>
      <c r="M571" s="24"/>
      <c r="N571" s="25"/>
      <c r="O571" s="22"/>
      <c r="P571" s="24"/>
    </row>
    <row r="572" spans="2:16" ht="24" customHeight="1" x14ac:dyDescent="0.25">
      <c r="B572" s="6"/>
      <c r="C572" s="6"/>
      <c r="D572" s="2"/>
      <c r="E572" s="2"/>
      <c r="F572" s="2"/>
      <c r="G572" s="35"/>
      <c r="I572" s="21"/>
      <c r="J572" s="50"/>
      <c r="K572" s="22"/>
      <c r="L572" s="23"/>
      <c r="M572" s="24"/>
      <c r="N572" s="25"/>
      <c r="O572" s="22"/>
      <c r="P572" s="24"/>
    </row>
    <row r="573" spans="2:16" ht="24" customHeight="1" x14ac:dyDescent="0.25">
      <c r="B573" s="6"/>
      <c r="C573" s="6"/>
      <c r="D573" s="2"/>
      <c r="E573" s="2"/>
      <c r="F573" s="2"/>
      <c r="G573" s="35"/>
      <c r="I573" s="21"/>
      <c r="J573" s="43"/>
      <c r="K573" s="22"/>
      <c r="L573" s="23"/>
      <c r="M573" s="24"/>
      <c r="N573" s="25"/>
      <c r="O573" s="22"/>
      <c r="P573" s="24"/>
    </row>
    <row r="574" spans="2:16" ht="24" customHeight="1" x14ac:dyDescent="0.25">
      <c r="B574" s="6"/>
      <c r="C574" s="6"/>
      <c r="D574" s="2"/>
      <c r="E574" s="2"/>
      <c r="F574" s="2"/>
      <c r="G574" s="35"/>
      <c r="I574" s="21"/>
      <c r="J574" s="21"/>
      <c r="K574" s="22"/>
      <c r="L574" s="23"/>
      <c r="M574" s="24"/>
      <c r="N574" s="25"/>
      <c r="O574" s="22"/>
      <c r="P574" s="24"/>
    </row>
    <row r="575" spans="2:16" ht="24" customHeight="1" x14ac:dyDescent="0.25">
      <c r="B575" s="6"/>
      <c r="C575" s="6"/>
      <c r="D575" s="2"/>
      <c r="E575" s="2"/>
      <c r="F575" s="2"/>
      <c r="G575" s="35"/>
      <c r="I575" s="21"/>
      <c r="J575" s="21"/>
      <c r="K575" s="22"/>
      <c r="L575" s="23"/>
      <c r="M575" s="24"/>
      <c r="N575" s="25"/>
      <c r="O575" s="22"/>
      <c r="P575" s="24"/>
    </row>
    <row r="576" spans="2:16" ht="24" customHeight="1" x14ac:dyDescent="0.25"/>
    <row r="577" ht="24" customHeight="1" x14ac:dyDescent="0.25"/>
    <row r="578" ht="24" customHeight="1" x14ac:dyDescent="0.25"/>
    <row r="579" ht="24" customHeight="1" x14ac:dyDescent="0.25"/>
    <row r="580" ht="24" customHeight="1" x14ac:dyDescent="0.25"/>
  </sheetData>
  <autoFilter ref="B1:P575" xr:uid="{1C5E4103-B4C0-4772-BC77-2ACE07DFF9CF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Caja-IAB</dc:creator>
  <cp:lastModifiedBy>Nicolas Gonzales</cp:lastModifiedBy>
  <dcterms:created xsi:type="dcterms:W3CDTF">2026-02-03T15:10:42Z</dcterms:created>
  <dcterms:modified xsi:type="dcterms:W3CDTF">2026-03-02T14:39:50Z</dcterms:modified>
</cp:coreProperties>
</file>